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fanic\Desktop\"/>
    </mc:Choice>
  </mc:AlternateContent>
  <bookViews>
    <workbookView xWindow="0" yWindow="0" windowWidth="19440" windowHeight="11535" tabRatio="855"/>
  </bookViews>
  <sheets>
    <sheet name="SCAP_Test_Matrix" sheetId="22" r:id="rId1"/>
    <sheet name="Assignment Summary" sheetId="23" r:id="rId2"/>
    <sheet name="QA Status" sheetId="24" r:id="rId3"/>
    <sheet name="Sanity Test" sheetId="25" r:id="rId4"/>
    <sheet name="Benchmark validations" sheetId="27" r:id="rId5"/>
    <sheet name="Platform additions" sheetId="28" r:id="rId6"/>
    <sheet name="Release readiness" sheetId="26" r:id="rId7"/>
    <sheet name="Status" sheetId="29" r:id="rId8"/>
  </sheets>
  <definedNames>
    <definedName name="_xlnm._FilterDatabase" localSheetId="4" hidden="1">'Benchmark validations'!$A$1:$H$18</definedName>
    <definedName name="_xlnm._FilterDatabase" localSheetId="5" hidden="1">'Platform additions'!$A$1:$H$1</definedName>
    <definedName name="_xlnm._FilterDatabase" localSheetId="6" hidden="1">'Release readiness'!$A$1:$G$1</definedName>
    <definedName name="_xlnm._FilterDatabase" localSheetId="3" hidden="1">'Sanity Test'!$A$1:$G$157</definedName>
    <definedName name="_xlnm._FilterDatabase" localSheetId="0" hidden="1">SCAP_Test_Matrix!$A$2:$R$348</definedName>
  </definedNames>
  <calcPr calcId="152511"/>
  <pivotCaches>
    <pivotCache cacheId="5" r:id="rId9"/>
  </pivotCaches>
</workbook>
</file>

<file path=xl/calcChain.xml><?xml version="1.0" encoding="utf-8"?>
<calcChain xmlns="http://schemas.openxmlformats.org/spreadsheetml/2006/main">
  <c r="C4" i="29" l="1" a="1"/>
  <c r="C4" i="29" s="1"/>
  <c r="C3" i="29" a="1"/>
  <c r="C3" i="29" s="1"/>
  <c r="C5" i="29" a="1"/>
  <c r="C5" i="29" s="1"/>
  <c r="B5" i="29" l="1"/>
  <c r="B3" i="29"/>
  <c r="B4" i="29"/>
  <c r="B6" i="23" l="1" a="1"/>
  <c r="B6" i="23" s="1"/>
  <c r="C6" i="23" a="1"/>
  <c r="C6" i="23" s="1"/>
  <c r="C2" i="23" a="1"/>
  <c r="C2" i="23" s="1"/>
  <c r="B5" i="23" a="1"/>
  <c r="B5" i="23" s="1"/>
  <c r="B2" i="23" a="1"/>
  <c r="B2" i="23" s="1"/>
  <c r="B3" i="23" a="1"/>
  <c r="B3" i="23" s="1"/>
  <c r="C5" i="23" a="1"/>
  <c r="C5" i="23" s="1"/>
  <c r="B7" i="23" a="1"/>
  <c r="B7" i="23" s="1"/>
  <c r="B4" i="23" a="1"/>
  <c r="B4" i="23" s="1"/>
  <c r="C7" i="23" a="1"/>
  <c r="C7" i="23" s="1"/>
  <c r="C3" i="23" a="1"/>
  <c r="C3" i="23" s="1"/>
  <c r="C4" i="23" a="1"/>
  <c r="C4" i="23" s="1"/>
  <c r="D6" i="23" l="1"/>
  <c r="C8" i="23"/>
  <c r="D3" i="23"/>
  <c r="D4" i="23"/>
  <c r="D5" i="23"/>
  <c r="D7" i="23"/>
  <c r="B8" i="23"/>
  <c r="D2" i="23"/>
  <c r="D8" i="23" l="1"/>
</calcChain>
</file>

<file path=xl/sharedStrings.xml><?xml version="1.0" encoding="utf-8"?>
<sst xmlns="http://schemas.openxmlformats.org/spreadsheetml/2006/main" count="438" uniqueCount="168">
  <si>
    <t>Description</t>
  </si>
  <si>
    <t>QA status</t>
  </si>
  <si>
    <t>Yes</t>
  </si>
  <si>
    <t>No</t>
  </si>
  <si>
    <t>Test</t>
  </si>
  <si>
    <t>Products</t>
  </si>
  <si>
    <t>Performed</t>
  </si>
  <si>
    <t>Automated</t>
  </si>
  <si>
    <t>Benchmarks activation</t>
  </si>
  <si>
    <t>Activate all benchmarks available in the package, e.g. MS Windows Bulletin Benchmark &lt;year&gt;, Microsoft Office Patch Policy for &lt;version&gt;, etc.</t>
  </si>
  <si>
    <t>Backlog items in the Check Catalog</t>
  </si>
  <si>
    <t>Verify the oval items stored in the backlog spreadsheet within the check catalog in Policy Auditor in order to ensure that none check is being left prior to release, regarding RTW date.</t>
  </si>
  <si>
    <t>SCAP Test Matrix items in the Check Catalog</t>
  </si>
  <si>
    <t>Verify the oval items stored in the SCAP Test Matrix sheet within the check catalog in Policy Auditor in order to ensure that none check is being left prior to release (Announced by Microsoft, Adobe, among others).</t>
  </si>
  <si>
    <t>Run audit round trip of critical content</t>
  </si>
  <si>
    <t>Check in package</t>
  </si>
  <si>
    <t>Check in package to verify compatibility with Oval Schema and with no signing warning or errors.</t>
  </si>
  <si>
    <t>CPE filtering</t>
  </si>
  <si>
    <t>Dropdown platform</t>
  </si>
  <si>
    <t>All supported platforms have to appear in platform dropdown of the ePO user interface.</t>
  </si>
  <si>
    <t>New Bulletin IDs rules exist in respective benchmarks</t>
  </si>
  <si>
    <t xml:space="preserve">Verify that new bulletins ID rules are appended to existing benchmarks, according to the logical, e.g. Microsoft Windows Bulletins, Microsoft Office Patch Policy, etc. </t>
  </si>
  <si>
    <t>Partially</t>
  </si>
  <si>
    <t>Comments</t>
  </si>
  <si>
    <t>Verify the execution of critical benchmarks. The Benchmarks considered for this are: Windows Bulletins 2012, Office Patch Policy (2003/2007/2010), Some Windows DISA, Windows CIS and some random CIS BM for Linux. The results have to be consistent.</t>
  </si>
  <si>
    <t>Run audit round trip to ensure that the checks are filtering according to the platforms. Critical OS are: Windows 2000, Windows XP, Windows 2003, Windows Vista, Windows 2008, Windows 7, Windows 2008 R2, for both architectures: x86/x64. Red Hat 4, Red Hat 5 and Red Hat 6.</t>
  </si>
  <si>
    <t>Windows Profiles</t>
  </si>
  <si>
    <t>Verify that the following benchmarks are related to the corresponding profiles, regarding platforms:</t>
  </si>
  <si>
    <t>Windows CIS Benchmark</t>
  </si>
  <si>
    <t>Windows 2000 - Level 1</t>
  </si>
  <si>
    <t>Windows 2000 Pro - Level 2</t>
  </si>
  <si>
    <t>Windows 2000 Srv - Level 2</t>
  </si>
  <si>
    <t>Windows XP - Legacy</t>
  </si>
  <si>
    <t>Windows XP - Enterprise - Desktop</t>
  </si>
  <si>
    <t>Windows XP - Enterprise - Mobile</t>
  </si>
  <si>
    <t>Windows XP - Specialized Security</t>
  </si>
  <si>
    <t>Windows Server 2003 - MS - Legacy</t>
  </si>
  <si>
    <t>Windows Server 2003 - MS - Enterprise</t>
  </si>
  <si>
    <t>Windows Server 2003 - MS - Specialized Security</t>
  </si>
  <si>
    <t>Windows Server 2003 - DC - Legacy</t>
  </si>
  <si>
    <t>Windows Server 2003 - DC - Enterprise</t>
  </si>
  <si>
    <t>Windows Server 2003 - DC - Specialized Security</t>
  </si>
  <si>
    <t>Windows 7 - Enterprise - Desktop</t>
  </si>
  <si>
    <t>Windows 7 - Enterprise - Mobile</t>
  </si>
  <si>
    <t>Windows 7 - Specialized Security - Desktop</t>
  </si>
  <si>
    <t>Windows 7 - Specialized Security - Mobile</t>
  </si>
  <si>
    <t>Windows Server 2008 - Enterprise - MS</t>
  </si>
  <si>
    <t>Windows Server 2008 - Enterprise - DC</t>
  </si>
  <si>
    <t>Windows Server 2008 - Specialized Security - MS</t>
  </si>
  <si>
    <t>Windows Server 2008 - Specialized Security - DC</t>
  </si>
  <si>
    <t>Windows Server 2008 R2 - Enterprise - MS</t>
  </si>
  <si>
    <t>Windows Server 2008 R2 - Enterprise - DC</t>
  </si>
  <si>
    <t>Windows Server 2008 R2 - Specialized Security - MS</t>
  </si>
  <si>
    <t>Windows Server 2008 R2 - Specialized Security - DC</t>
  </si>
  <si>
    <t>Windows COBIT Benchmark</t>
  </si>
  <si>
    <t>Windows 2000</t>
  </si>
  <si>
    <t>Windows XP</t>
  </si>
  <si>
    <t>Windows Server 2003 - Member Server</t>
  </si>
  <si>
    <t>Windows Server 2003 - Domain Controller</t>
  </si>
  <si>
    <t>Windows Vista</t>
  </si>
  <si>
    <t>Windows Server 2008 - Member Server</t>
  </si>
  <si>
    <t>Windows Server 2008 - Domain Controller</t>
  </si>
  <si>
    <t>Windows 7</t>
  </si>
  <si>
    <t>Windows Server 2008 R2 - Member Server</t>
  </si>
  <si>
    <t>Windows Server 2008 R2 - Domain Controller</t>
  </si>
  <si>
    <t>Windows GLBA Benchmark</t>
  </si>
  <si>
    <t>Windows HIPAA Benchmark</t>
  </si>
  <si>
    <t>Windows ISO 27002 Benchmark</t>
  </si>
  <si>
    <t>Windows NERC Benchmark</t>
  </si>
  <si>
    <t>Windows PCI DSS Benchmark</t>
  </si>
  <si>
    <t>Windows SOX Benchmark</t>
  </si>
  <si>
    <t>PA 6.0.1</t>
  </si>
  <si>
    <t>PA 5.3</t>
  </si>
  <si>
    <t>MNAC 3.2.1</t>
  </si>
  <si>
    <t xml:space="preserve">PA6.0 with MNAC 3.2.1 </t>
  </si>
  <si>
    <t>MVM 7.5</t>
  </si>
  <si>
    <t>Apple Mac OSX CIS Benchmark</t>
  </si>
  <si>
    <t>Apple Mac OS X 10.5</t>
  </si>
  <si>
    <t>Apple Mac OS X 10.6</t>
  </si>
  <si>
    <t>Apple Mac OS X 10.7</t>
  </si>
  <si>
    <t>Apple Mac OSX Patch Policy</t>
  </si>
  <si>
    <t>Windows "Getting Started" Benchmark</t>
  </si>
  <si>
    <t>Windows Server 2003 - Domain Controllers</t>
  </si>
  <si>
    <t>Process</t>
  </si>
  <si>
    <t>SCAP Package Posting Notification</t>
  </si>
  <si>
    <t>SNS Request posted to SNS portal</t>
  </si>
  <si>
    <t>SCAP Audit package uploaded to CA-SERVER</t>
  </si>
  <si>
    <t>SCAP Findings package uploaded to DALAPPDAT1</t>
  </si>
  <si>
    <t>Announce that a new SCAP package will be published</t>
  </si>
  <si>
    <t>The SCAP &amp; Finding packages for the &lt;month PT/OOB&gt; release are being tested &amp; a posting request will be sent out within one hour.</t>
  </si>
  <si>
    <t>Item</t>
  </si>
  <si>
    <t>Upload SCAP and Findings Packages</t>
  </si>
  <si>
    <t>Post packages to the production repository.</t>
  </si>
  <si>
    <t>Email requesting to post packages to production repository.</t>
  </si>
  <si>
    <t>Email informing that a new package will be published</t>
  </si>
  <si>
    <t>Email requesting to publish Release Notes. Attach PDF: McAfee Policy Auditor/McAfee NAC Content Release notes</t>
  </si>
  <si>
    <t xml:space="preserve">SCAP Posting Notification email generated with PDF attached and sent to  DL SITEUPDATES
</t>
  </si>
  <si>
    <t>SNS request posted at http://serviceweb/SNS/SNS1_MainPage.aspx.</t>
  </si>
  <si>
    <t>Email informing that a new SNS was created for SCAP content</t>
  </si>
  <si>
    <t>Run audit round trip for checks</t>
  </si>
  <si>
    <t>Profiles</t>
  </si>
  <si>
    <t>Take a sampling of the profiles to check that the external variables (Values) and the Status of the rule (Enabled and Disabled) are working as expected.</t>
  </si>
  <si>
    <t>Verify that the platforms listed in the profiles are consistent and that none are missing.</t>
  </si>
  <si>
    <t>Verify that the plarforms listed in the Affected Platforms within the xml file are correct and that none are missing. This topic needs to be verified related to the Rules section and Properties section of the benchmark.</t>
  </si>
  <si>
    <t>Grouping</t>
  </si>
  <si>
    <t>Verify that the groups related to Benchmark tree are correct and that none are missing.</t>
  </si>
  <si>
    <t>UI</t>
  </si>
  <si>
    <t>Run audit round trip to ensure that the checks are filtering according to the platforms mentioned in the benchmark.</t>
  </si>
  <si>
    <t xml:space="preserve">PA 6.0.1 </t>
  </si>
  <si>
    <t>Verify that the user interface shown the elements correctly, such as: title, description, front-matter, rear-matter, etc when the checks and the benchmark is selected.</t>
  </si>
  <si>
    <t>Verify that the dropbox regarding Platform is showing the expected platforms and the filter works correctly.</t>
  </si>
  <si>
    <t>Benchmark</t>
  </si>
  <si>
    <t>Added Platform</t>
  </si>
  <si>
    <t>Verify that the dropbox regarding Platform is showing the expected new platform and the filter works correctly.</t>
  </si>
  <si>
    <t>Run audit round trip to ensure that the checks are filtering according to the new platform mentioned in the benchmark.</t>
  </si>
  <si>
    <t>Verify that the platforms listed in the profiles are consistent and that none are missing. Besides the filter should work correctly.</t>
  </si>
  <si>
    <t>Affected content</t>
  </si>
  <si>
    <t>Verify that the plarforms listed in the Affected Platforms within the xml file are correct and that none are missing. This topic needs to be verified related to the Rules section and Properties section of the affected benchmarks.</t>
  </si>
  <si>
    <t>Check in package to verify compatibility with Oval Schema and with no signing warning or errors related to the benchmark.</t>
  </si>
  <si>
    <t>Check in package to verify compatibility with Oval Schema and with no signing warning or errors related to the new platform.</t>
  </si>
  <si>
    <t>Run an audit to include the benchmark  in order to validate the audit and finding results for every rule, which have to be consistent according to the xml code.
It's necessary to take a sampling based on some criteria allowing to select a representative group of checks that can ensure the coverage and quality of the content for the sanity test.</t>
  </si>
  <si>
    <t>Verify that all the benchmarks and checks affected by the new platform were modified to include it and is working as expected using an audit.</t>
  </si>
  <si>
    <t>Redhat Enterprise and CentOS Linux Cobit Benchmark</t>
  </si>
  <si>
    <t>N/A</t>
  </si>
  <si>
    <t>PA 6.2</t>
  </si>
  <si>
    <t>PA 5.3, PA 6.0.1 and PA 6.2</t>
  </si>
  <si>
    <t>SCAP PT QA Status</t>
  </si>
  <si>
    <t>Sl No</t>
  </si>
  <si>
    <t>Bulletin</t>
  </si>
  <si>
    <t>CVE ID</t>
  </si>
  <si>
    <t>KB Article</t>
  </si>
  <si>
    <t>MS Risk Rating</t>
  </si>
  <si>
    <t>Platforms</t>
  </si>
  <si>
    <t>Components</t>
  </si>
  <si>
    <t>Pass</t>
  </si>
  <si>
    <t>Fail</t>
  </si>
  <si>
    <t>NA</t>
  </si>
  <si>
    <t>Supported on SCAP</t>
  </si>
  <si>
    <t>Setup Avaialable</t>
  </si>
  <si>
    <t>QA Owner</t>
  </si>
  <si>
    <t>Bugs</t>
  </si>
  <si>
    <t>Bulletins Replaced by this Update</t>
  </si>
  <si>
    <t>Felipe Anic</t>
  </si>
  <si>
    <t>Kalyani Palada</t>
  </si>
  <si>
    <t>Isabel Betancourt</t>
  </si>
  <si>
    <t>Andrés Paolini</t>
  </si>
  <si>
    <t>In progress</t>
  </si>
  <si>
    <t>QA</t>
  </si>
  <si>
    <t># targets with component
Weight = 1.5</t>
  </si>
  <si>
    <t># targets without component
Weight = 1</t>
  </si>
  <si>
    <t>Total
(Considering weight)</t>
  </si>
  <si>
    <t>Test integrity of the package for:</t>
  </si>
  <si>
    <t xml:space="preserve"> </t>
  </si>
  <si>
    <t>Total</t>
  </si>
  <si>
    <t>Topics pending to assign (Dev has to confirm yet if will be supported by SCAP)</t>
  </si>
  <si>
    <t>Count of Bulletin</t>
  </si>
  <si>
    <t>QA Progress</t>
  </si>
  <si>
    <t>Grand Total</t>
  </si>
  <si>
    <t>Bugs ID</t>
  </si>
  <si>
    <t>Gerardo Muñoz</t>
  </si>
  <si>
    <t>(blank)</t>
  </si>
  <si>
    <t>Full Sanity Test Status</t>
  </si>
  <si>
    <t>Status</t>
  </si>
  <si>
    <t>%</t>
  </si>
  <si>
    <t>#</t>
  </si>
  <si>
    <t>In Progress</t>
  </si>
  <si>
    <t>OK</t>
  </si>
  <si>
    <t>NOK</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</si>
</sst>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10"/>
      <name val="Arial"/>
      <family val="2"/>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theme="0"/>
      <name val="Calibri"/>
      <family val="2"/>
      <scheme val="minor"/>
    </font>
    <font>
      <sz val="11"/>
      <color rgb="FF006100"/>
      <name val="Calibri"/>
      <family val="2"/>
      <scheme val="minor"/>
    </font>
    <font>
      <sz val="11"/>
      <color rgb="FF9C6500"/>
      <name val="Calibri"/>
      <family val="2"/>
      <scheme val="minor"/>
    </font>
    <font>
      <sz val="11"/>
      <name val="Calibri"/>
      <family val="2"/>
    </font>
    <font>
      <sz val="11"/>
      <color indexed="9"/>
      <name val="Calibri"/>
      <family val="2"/>
    </font>
    <font>
      <sz val="10"/>
      <color rgb="FF000000"/>
      <name val="Arial"/>
      <family val="2"/>
    </font>
    <font>
      <sz val="10"/>
      <name val="Arial"/>
    </font>
    <font>
      <sz val="11"/>
      <name val="Calibri"/>
      <family val="2"/>
      <scheme val="minor"/>
    </font>
  </fonts>
  <fills count="9">
    <fill>
      <patternFill patternType="none"/>
    </fill>
    <fill>
      <patternFill patternType="gray125"/>
    </fill>
    <fill>
      <patternFill patternType="solid">
        <fgColor theme="7"/>
      </patternFill>
    </fill>
    <fill>
      <patternFill patternType="solid">
        <fgColor rgb="FFFFC7CE"/>
      </patternFill>
    </fill>
    <fill>
      <patternFill patternType="solid">
        <fgColor rgb="FFA5A5A5"/>
      </patternFill>
    </fill>
    <fill>
      <patternFill patternType="solid">
        <fgColor rgb="FFC6EFCE"/>
      </patternFill>
    </fill>
    <fill>
      <patternFill patternType="solid">
        <fgColor rgb="FFFFEB9C"/>
      </patternFill>
    </fill>
    <fill>
      <patternFill patternType="solid">
        <fgColor theme="3" tint="0.39997558519241921"/>
        <bgColor indexed="64"/>
      </patternFill>
    </fill>
    <fill>
      <patternFill patternType="solid">
        <fgColor theme="4"/>
      </patternFill>
    </fill>
  </fills>
  <borders count="8">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43543">
    <xf numFmtId="0" fontId="0" fillId="0" borderId="0"/>
    <xf numFmtId="0" fontId="20" fillId="2" borderId="0" applyNumberFormat="0" applyBorder="0" applyAlignment="0" applyProtection="0"/>
    <xf numFmtId="0" fontId="21" fillId="3" borderId="0" applyNumberFormat="0" applyBorder="0" applyAlignment="0" applyProtection="0"/>
    <xf numFmtId="0" fontId="22" fillId="4" borderId="2" applyNumberFormat="0" applyAlignment="0" applyProtection="0"/>
    <xf numFmtId="0" fontId="23" fillId="5" borderId="0" applyNumberFormat="0" applyBorder="0" applyAlignment="0" applyProtection="0"/>
    <xf numFmtId="0" fontId="24" fillId="6" borderId="0" applyNumberFormat="0" applyBorder="0" applyAlignment="0" applyProtection="0"/>
    <xf numFmtId="0" fontId="19" fillId="0" borderId="0"/>
    <xf numFmtId="0" fontId="19" fillId="0" borderId="0"/>
    <xf numFmtId="0" fontId="15" fillId="0" borderId="0"/>
    <xf numFmtId="0" fontId="16" fillId="0" borderId="0"/>
    <xf numFmtId="0" fontId="19" fillId="0" borderId="0"/>
    <xf numFmtId="9" fontId="18" fillId="0" borderId="0" applyFont="0" applyFill="0" applyBorder="0" applyAlignment="0" applyProtection="0"/>
    <xf numFmtId="9" fontId="17" fillId="0" borderId="0" applyFont="0" applyFill="0" applyBorder="0" applyAlignment="0" applyProtection="0"/>
    <xf numFmtId="9" fontId="16" fillId="0" borderId="0" applyFont="0" applyFill="0" applyBorder="0" applyAlignment="0" applyProtection="0"/>
    <xf numFmtId="0" fontId="14" fillId="0" borderId="0"/>
    <xf numFmtId="0" fontId="16" fillId="0" borderId="0"/>
    <xf numFmtId="0" fontId="14" fillId="0" borderId="0"/>
    <xf numFmtId="9" fontId="15"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5"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6" fillId="0" borderId="0"/>
    <xf numFmtId="0" fontId="16"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3" fillId="5" borderId="0" applyNumberFormat="0" applyBorder="0" applyAlignment="0" applyProtection="0"/>
    <xf numFmtId="0" fontId="20" fillId="8" borderId="0" applyNumberFormat="0" applyBorder="0" applyAlignment="0" applyProtection="0"/>
    <xf numFmtId="9" fontId="28" fillId="0" borderId="0" applyFont="0" applyFill="0" applyBorder="0" applyAlignment="0" applyProtection="0"/>
    <xf numFmtId="0" fontId="1" fillId="0" borderId="0"/>
  </cellStyleXfs>
  <cellXfs count="72">
    <xf numFmtId="0" fontId="0" fillId="0" borderId="0" xfId="0"/>
    <xf numFmtId="0" fontId="0" fillId="0" borderId="0" xfId="0" applyAlignment="1">
      <alignment wrapText="1"/>
    </xf>
    <xf numFmtId="0" fontId="25" fillId="0" borderId="0" xfId="0" applyFont="1" applyAlignment="1">
      <alignment horizontal="center" vertical="top" wrapText="1"/>
    </xf>
    <xf numFmtId="0" fontId="26" fillId="8" borderId="1" xfId="43540" applyFont="1" applyBorder="1" applyAlignment="1">
      <alignment horizontal="center" vertical="top" wrapText="1"/>
    </xf>
    <xf numFmtId="0" fontId="26" fillId="8" borderId="1" xfId="43540" applyFont="1" applyBorder="1" applyAlignment="1">
      <alignment horizontal="center" vertical="top"/>
    </xf>
    <xf numFmtId="0" fontId="25" fillId="0" borderId="1" xfId="0" applyFont="1" applyFill="1" applyBorder="1" applyAlignment="1">
      <alignment horizontal="center" vertical="top" wrapText="1"/>
    </xf>
    <xf numFmtId="0" fontId="25" fillId="0" borderId="1" xfId="43539" applyFont="1" applyFill="1" applyBorder="1" applyAlignment="1">
      <alignment horizontal="center" vertical="top" wrapText="1"/>
    </xf>
    <xf numFmtId="0" fontId="25" fillId="0" borderId="1" xfId="0" applyFont="1" applyFill="1" applyBorder="1" applyAlignment="1">
      <alignment vertical="top" wrapText="1"/>
    </xf>
    <xf numFmtId="0" fontId="0" fillId="0" borderId="0" xfId="0" applyAlignment="1">
      <alignment horizontal="left" vertical="center" wrapText="1"/>
    </xf>
    <xf numFmtId="0" fontId="16" fillId="0" borderId="0" xfId="0" applyFont="1" applyAlignment="1">
      <alignment horizontal="left" vertical="center" wrapText="1"/>
    </xf>
    <xf numFmtId="0" fontId="0" fillId="0" borderId="0" xfId="0" applyNumberFormat="1"/>
    <xf numFmtId="1" fontId="0" fillId="0" borderId="0" xfId="0" applyNumberFormat="1"/>
    <xf numFmtId="0" fontId="16" fillId="0" borderId="0" xfId="0" applyFont="1"/>
    <xf numFmtId="0" fontId="16" fillId="0" borderId="0" xfId="0" applyFont="1" applyBorder="1"/>
    <xf numFmtId="0" fontId="0" fillId="0" borderId="0" xfId="0" applyNumberFormat="1" applyBorder="1"/>
    <xf numFmtId="0" fontId="0" fillId="0" borderId="0" xfId="0" applyBorder="1"/>
    <xf numFmtId="1" fontId="0" fillId="0" borderId="0" xfId="0" applyNumberFormat="1" applyBorder="1"/>
    <xf numFmtId="0" fontId="0" fillId="0" borderId="0" xfId="0" applyAlignment="1">
      <alignment horizontal="left"/>
    </xf>
    <xf numFmtId="9" fontId="0" fillId="0" borderId="0" xfId="0" applyNumberFormat="1" applyAlignment="1">
      <alignment horizontal="center"/>
    </xf>
    <xf numFmtId="0" fontId="27" fillId="0" borderId="0" xfId="0" applyFont="1" applyAlignment="1">
      <alignment horizontal="center" vertical="center" wrapText="1"/>
    </xf>
    <xf numFmtId="0" fontId="27" fillId="0" borderId="0" xfId="0" applyFont="1" applyAlignment="1">
      <alignment vertical="center" wrapText="1"/>
    </xf>
    <xf numFmtId="0" fontId="0" fillId="0" borderId="0" xfId="0" pivotButton="1"/>
    <xf numFmtId="0" fontId="16" fillId="0" borderId="0" xfId="0" applyNumberFormat="1" applyFont="1"/>
    <xf numFmtId="0" fontId="26" fillId="8" borderId="1" xfId="43540" applyFont="1" applyBorder="1" applyAlignment="1">
      <alignment horizontal="center" vertical="top" wrapText="1"/>
    </xf>
    <xf numFmtId="0" fontId="20" fillId="7" borderId="1" xfId="43542" applyFont="1" applyFill="1" applyBorder="1" applyAlignment="1">
      <alignment horizontal="left" vertical="top"/>
    </xf>
    <xf numFmtId="0" fontId="20" fillId="7" borderId="1" xfId="43542" applyFont="1" applyFill="1" applyBorder="1" applyAlignment="1">
      <alignment horizontal="left" vertical="top" wrapText="1"/>
    </xf>
    <xf numFmtId="0" fontId="20" fillId="7" borderId="1" xfId="43542" applyFont="1" applyFill="1" applyBorder="1" applyAlignment="1">
      <alignment horizontal="center" vertical="center"/>
    </xf>
    <xf numFmtId="0" fontId="20" fillId="7" borderId="4" xfId="43542" applyFont="1" applyFill="1" applyBorder="1" applyAlignment="1">
      <alignment horizontal="center"/>
    </xf>
    <xf numFmtId="0" fontId="1" fillId="0" borderId="0" xfId="43542"/>
    <xf numFmtId="0" fontId="1" fillId="0" borderId="1" xfId="43542" applyFont="1" applyBorder="1" applyAlignment="1">
      <alignment horizontal="left" vertical="top"/>
    </xf>
    <xf numFmtId="0" fontId="1" fillId="0" borderId="1" xfId="43542" applyBorder="1" applyAlignment="1">
      <alignment horizontal="center" vertical="top"/>
    </xf>
    <xf numFmtId="0" fontId="1" fillId="0" borderId="1" xfId="43542" applyBorder="1" applyAlignment="1">
      <alignment wrapText="1"/>
    </xf>
    <xf numFmtId="0" fontId="1" fillId="0" borderId="1" xfId="43542" applyBorder="1" applyAlignment="1">
      <alignment horizontal="left" vertical="top"/>
    </xf>
    <xf numFmtId="0" fontId="1" fillId="0" borderId="1" xfId="43542" applyBorder="1" applyAlignment="1">
      <alignment horizontal="left" vertical="top" wrapText="1"/>
    </xf>
    <xf numFmtId="0" fontId="1" fillId="0" borderId="1" xfId="43542" applyFont="1" applyBorder="1" applyAlignment="1">
      <alignment wrapText="1"/>
    </xf>
    <xf numFmtId="0" fontId="1" fillId="0" borderId="0" xfId="43542" applyFont="1" applyAlignment="1">
      <alignment horizontal="center"/>
    </xf>
    <xf numFmtId="0" fontId="1" fillId="0" borderId="0" xfId="43542" applyAlignment="1">
      <alignment horizontal="center"/>
    </xf>
    <xf numFmtId="0" fontId="1" fillId="0" borderId="1" xfId="43542" applyFont="1" applyBorder="1" applyAlignment="1">
      <alignment horizontal="left" vertical="top" wrapText="1"/>
    </xf>
    <xf numFmtId="0" fontId="1" fillId="0" borderId="1" xfId="43542" applyFont="1" applyBorder="1" applyAlignment="1">
      <alignment horizontal="center" vertical="top"/>
    </xf>
    <xf numFmtId="0" fontId="1" fillId="0" borderId="3" xfId="43542" applyFont="1" applyBorder="1" applyAlignment="1">
      <alignment horizontal="left" vertical="top" wrapText="1"/>
    </xf>
    <xf numFmtId="0" fontId="29" fillId="0" borderId="0" xfId="0" applyFont="1"/>
    <xf numFmtId="9" fontId="29" fillId="0" borderId="0" xfId="43541" applyFont="1"/>
    <xf numFmtId="0" fontId="1" fillId="0" borderId="1" xfId="43542" applyBorder="1" applyAlignment="1">
      <alignment horizontal="center" vertical="top"/>
    </xf>
    <xf numFmtId="0" fontId="1" fillId="0" borderId="1" xfId="43542" applyBorder="1" applyAlignment="1">
      <alignment horizontal="center" vertical="top"/>
    </xf>
    <xf numFmtId="0" fontId="26" fillId="8" borderId="1" xfId="43540" applyFont="1" applyBorder="1" applyAlignment="1">
      <alignment horizontal="center" vertical="top" wrapText="1"/>
    </xf>
    <xf numFmtId="0" fontId="20" fillId="8" borderId="0" xfId="43540" applyAlignment="1">
      <alignment horizontal="center"/>
    </xf>
    <xf numFmtId="0" fontId="16" fillId="0" borderId="1" xfId="0" applyFont="1" applyBorder="1" applyAlignment="1">
      <alignment horizontal="left" wrapText="1"/>
    </xf>
    <xf numFmtId="0" fontId="16" fillId="0" borderId="1" xfId="0" applyFont="1" applyBorder="1" applyAlignment="1">
      <alignment horizontal="left"/>
    </xf>
    <xf numFmtId="0" fontId="1" fillId="0" borderId="1" xfId="43542" applyFont="1" applyBorder="1" applyAlignment="1">
      <alignment horizontal="left" vertical="top" wrapText="1"/>
    </xf>
    <xf numFmtId="0" fontId="1" fillId="0" borderId="1" xfId="43542" applyFont="1" applyBorder="1" applyAlignment="1">
      <alignment horizontal="left" vertical="top"/>
    </xf>
    <xf numFmtId="0" fontId="1" fillId="0" borderId="1" xfId="43542" applyBorder="1" applyAlignment="1">
      <alignment horizontal="left" vertical="top"/>
    </xf>
    <xf numFmtId="0" fontId="1" fillId="0" borderId="3" xfId="43542" applyBorder="1" applyAlignment="1">
      <alignment horizontal="center" vertical="top"/>
    </xf>
    <xf numFmtId="0" fontId="1" fillId="0" borderId="4" xfId="43542" applyBorder="1" applyAlignment="1">
      <alignment horizontal="center" vertical="top"/>
    </xf>
    <xf numFmtId="0" fontId="1" fillId="0" borderId="5" xfId="43542" applyBorder="1" applyAlignment="1">
      <alignment horizontal="center" vertical="top"/>
    </xf>
    <xf numFmtId="0" fontId="1" fillId="0" borderId="3" xfId="43542" applyFont="1" applyBorder="1" applyAlignment="1">
      <alignment horizontal="left" vertical="top"/>
    </xf>
    <xf numFmtId="0" fontId="1" fillId="0" borderId="4" xfId="43542" applyBorder="1" applyAlignment="1">
      <alignment horizontal="left" vertical="top"/>
    </xf>
    <xf numFmtId="0" fontId="1" fillId="0" borderId="5" xfId="43542" applyBorder="1" applyAlignment="1">
      <alignment horizontal="left" vertical="top"/>
    </xf>
    <xf numFmtId="0" fontId="1" fillId="0" borderId="3" xfId="43542" applyFont="1" applyBorder="1" applyAlignment="1">
      <alignment horizontal="left" vertical="top" wrapText="1"/>
    </xf>
    <xf numFmtId="0" fontId="1" fillId="0" borderId="4" xfId="43542" applyBorder="1" applyAlignment="1">
      <alignment horizontal="left" vertical="top" wrapText="1"/>
    </xf>
    <xf numFmtId="0" fontId="1" fillId="0" borderId="5" xfId="43542" applyBorder="1" applyAlignment="1">
      <alignment horizontal="left" vertical="top" wrapText="1"/>
    </xf>
    <xf numFmtId="0" fontId="1" fillId="0" borderId="4" xfId="43542" applyFont="1" applyBorder="1" applyAlignment="1">
      <alignment horizontal="left" vertical="top"/>
    </xf>
    <xf numFmtId="0" fontId="1" fillId="0" borderId="4" xfId="43542" applyFont="1" applyBorder="1" applyAlignment="1">
      <alignment horizontal="left" vertical="top" wrapText="1"/>
    </xf>
    <xf numFmtId="0" fontId="1" fillId="0" borderId="3" xfId="43542" applyBorder="1" applyAlignment="1">
      <alignment horizontal="left" vertical="top"/>
    </xf>
    <xf numFmtId="0" fontId="1" fillId="0" borderId="3" xfId="43542" applyBorder="1" applyAlignment="1">
      <alignment horizontal="left" vertical="top" wrapText="1"/>
    </xf>
    <xf numFmtId="0" fontId="0" fillId="0" borderId="1" xfId="0" applyBorder="1" applyAlignment="1">
      <alignment horizontal="left" vertical="top" wrapText="1"/>
    </xf>
    <xf numFmtId="0" fontId="1" fillId="0" borderId="1" xfId="43542" applyFont="1" applyFill="1" applyBorder="1" applyAlignment="1">
      <alignment horizontal="left" vertical="top" wrapText="1"/>
    </xf>
    <xf numFmtId="0" fontId="1" fillId="0" borderId="1" xfId="43542" applyBorder="1" applyAlignment="1">
      <alignment horizontal="center" vertical="top"/>
    </xf>
    <xf numFmtId="0" fontId="1" fillId="0" borderId="5" xfId="43542" applyFont="1" applyBorder="1" applyAlignment="1">
      <alignment horizontal="left" vertical="top" wrapText="1"/>
    </xf>
    <xf numFmtId="0" fontId="1" fillId="0" borderId="6" xfId="43542" applyFont="1" applyBorder="1" applyAlignment="1">
      <alignment horizontal="left" vertical="top" wrapText="1"/>
    </xf>
    <xf numFmtId="0" fontId="1" fillId="0" borderId="7" xfId="43542" applyFont="1" applyBorder="1" applyAlignment="1">
      <alignment horizontal="left" vertical="top" wrapText="1"/>
    </xf>
    <xf numFmtId="0" fontId="1" fillId="0" borderId="1" xfId="43542" applyBorder="1" applyAlignment="1">
      <alignment horizontal="left" vertical="top" wrapText="1"/>
    </xf>
    <xf numFmtId="0" fontId="1" fillId="0" borderId="1" xfId="43542" applyFont="1" applyBorder="1" applyAlignment="1">
      <alignment horizontal="center" vertical="top" wrapText="1"/>
    </xf>
  </cellXfs>
  <cellStyles count="43543">
    <cellStyle name="Accent1" xfId="43540" builtinId="29"/>
    <cellStyle name="Accent4 2" xfId="1"/>
    <cellStyle name="Bad 2" xfId="2"/>
    <cellStyle name="Check Cell 2" xfId="3"/>
    <cellStyle name="Good" xfId="43539" builtinId="26"/>
    <cellStyle name="Good 2" xfId="4"/>
    <cellStyle name="Neutral 2" xfId="5"/>
    <cellStyle name="Normal" xfId="0" builtinId="0"/>
    <cellStyle name="Normal 10" xfId="153"/>
    <cellStyle name="Normal 11" xfId="43538"/>
    <cellStyle name="Normal 11 2" xfId="43542"/>
    <cellStyle name="Normal 2" xfId="6"/>
    <cellStyle name="Normal 2 10" xfId="290"/>
    <cellStyle name="Normal 2 10 2" xfId="970"/>
    <cellStyle name="Normal 2 10 2 2" xfId="2330"/>
    <cellStyle name="Normal 2 10 2 2 2" xfId="5050"/>
    <cellStyle name="Normal 2 10 2 2 2 2" xfId="5460"/>
    <cellStyle name="Normal 2 10 2 2 2 2 2" xfId="5461"/>
    <cellStyle name="Normal 2 10 2 2 2 2 2 2" xfId="5462"/>
    <cellStyle name="Normal 2 10 2 2 2 2 3" xfId="5463"/>
    <cellStyle name="Normal 2 10 2 2 2 3" xfId="5464"/>
    <cellStyle name="Normal 2 10 2 2 2 3 2" xfId="5465"/>
    <cellStyle name="Normal 2 10 2 2 2 4" xfId="5466"/>
    <cellStyle name="Normal 2 10 2 2 3" xfId="5467"/>
    <cellStyle name="Normal 2 10 2 2 3 2" xfId="5468"/>
    <cellStyle name="Normal 2 10 2 2 3 2 2" xfId="5469"/>
    <cellStyle name="Normal 2 10 2 2 3 3" xfId="5470"/>
    <cellStyle name="Normal 2 10 2 2 4" xfId="5471"/>
    <cellStyle name="Normal 2 10 2 2 4 2" xfId="5472"/>
    <cellStyle name="Normal 2 10 2 2 5" xfId="5473"/>
    <cellStyle name="Normal 2 10 2 3" xfId="3690"/>
    <cellStyle name="Normal 2 10 2 3 2" xfId="5474"/>
    <cellStyle name="Normal 2 10 2 3 2 2" xfId="5475"/>
    <cellStyle name="Normal 2 10 2 3 2 2 2" xfId="5476"/>
    <cellStyle name="Normal 2 10 2 3 2 3" xfId="5477"/>
    <cellStyle name="Normal 2 10 2 3 3" xfId="5478"/>
    <cellStyle name="Normal 2 10 2 3 3 2" xfId="5479"/>
    <cellStyle name="Normal 2 10 2 3 4" xfId="5480"/>
    <cellStyle name="Normal 2 10 2 4" xfId="5481"/>
    <cellStyle name="Normal 2 10 2 4 2" xfId="5482"/>
    <cellStyle name="Normal 2 10 2 4 2 2" xfId="5483"/>
    <cellStyle name="Normal 2 10 2 4 3" xfId="5484"/>
    <cellStyle name="Normal 2 10 2 5" xfId="5485"/>
    <cellStyle name="Normal 2 10 2 5 2" xfId="5486"/>
    <cellStyle name="Normal 2 10 2 6" xfId="5487"/>
    <cellStyle name="Normal 2 10 3" xfId="1650"/>
    <cellStyle name="Normal 2 10 3 2" xfId="4370"/>
    <cellStyle name="Normal 2 10 3 2 2" xfId="5488"/>
    <cellStyle name="Normal 2 10 3 2 2 2" xfId="5489"/>
    <cellStyle name="Normal 2 10 3 2 2 2 2" xfId="5490"/>
    <cellStyle name="Normal 2 10 3 2 2 3" xfId="5491"/>
    <cellStyle name="Normal 2 10 3 2 3" xfId="5492"/>
    <cellStyle name="Normal 2 10 3 2 3 2" xfId="5493"/>
    <cellStyle name="Normal 2 10 3 2 4" xfId="5494"/>
    <cellStyle name="Normal 2 10 3 3" xfId="5495"/>
    <cellStyle name="Normal 2 10 3 3 2" xfId="5496"/>
    <cellStyle name="Normal 2 10 3 3 2 2" xfId="5497"/>
    <cellStyle name="Normal 2 10 3 3 3" xfId="5498"/>
    <cellStyle name="Normal 2 10 3 4" xfId="5499"/>
    <cellStyle name="Normal 2 10 3 4 2" xfId="5500"/>
    <cellStyle name="Normal 2 10 3 5" xfId="5501"/>
    <cellStyle name="Normal 2 10 4" xfId="3010"/>
    <cellStyle name="Normal 2 10 4 2" xfId="5502"/>
    <cellStyle name="Normal 2 10 4 2 2" xfId="5503"/>
    <cellStyle name="Normal 2 10 4 2 2 2" xfId="5504"/>
    <cellStyle name="Normal 2 10 4 2 3" xfId="5505"/>
    <cellStyle name="Normal 2 10 4 3" xfId="5506"/>
    <cellStyle name="Normal 2 10 4 3 2" xfId="5507"/>
    <cellStyle name="Normal 2 10 4 4" xfId="5508"/>
    <cellStyle name="Normal 2 10 5" xfId="5509"/>
    <cellStyle name="Normal 2 10 5 2" xfId="5510"/>
    <cellStyle name="Normal 2 10 5 2 2" xfId="5511"/>
    <cellStyle name="Normal 2 10 5 3" xfId="5512"/>
    <cellStyle name="Normal 2 10 6" xfId="5513"/>
    <cellStyle name="Normal 2 10 6 2" xfId="5514"/>
    <cellStyle name="Normal 2 10 7" xfId="5515"/>
    <cellStyle name="Normal 2 11" xfId="562"/>
    <cellStyle name="Normal 2 11 2" xfId="1242"/>
    <cellStyle name="Normal 2 11 2 2" xfId="2602"/>
    <cellStyle name="Normal 2 11 2 2 2" xfId="5322"/>
    <cellStyle name="Normal 2 11 2 2 2 2" xfId="5516"/>
    <cellStyle name="Normal 2 11 2 2 2 2 2" xfId="5517"/>
    <cellStyle name="Normal 2 11 2 2 2 2 2 2" xfId="5518"/>
    <cellStyle name="Normal 2 11 2 2 2 2 3" xfId="5519"/>
    <cellStyle name="Normal 2 11 2 2 2 3" xfId="5520"/>
    <cellStyle name="Normal 2 11 2 2 2 3 2" xfId="5521"/>
    <cellStyle name="Normal 2 11 2 2 2 4" xfId="5522"/>
    <cellStyle name="Normal 2 11 2 2 3" xfId="5523"/>
    <cellStyle name="Normal 2 11 2 2 3 2" xfId="5524"/>
    <cellStyle name="Normal 2 11 2 2 3 2 2" xfId="5525"/>
    <cellStyle name="Normal 2 11 2 2 3 3" xfId="5526"/>
    <cellStyle name="Normal 2 11 2 2 4" xfId="5527"/>
    <cellStyle name="Normal 2 11 2 2 4 2" xfId="5528"/>
    <cellStyle name="Normal 2 11 2 2 5" xfId="5529"/>
    <cellStyle name="Normal 2 11 2 3" xfId="3962"/>
    <cellStyle name="Normal 2 11 2 3 2" xfId="5530"/>
    <cellStyle name="Normal 2 11 2 3 2 2" xfId="5531"/>
    <cellStyle name="Normal 2 11 2 3 2 2 2" xfId="5532"/>
    <cellStyle name="Normal 2 11 2 3 2 3" xfId="5533"/>
    <cellStyle name="Normal 2 11 2 3 3" xfId="5534"/>
    <cellStyle name="Normal 2 11 2 3 3 2" xfId="5535"/>
    <cellStyle name="Normal 2 11 2 3 4" xfId="5536"/>
    <cellStyle name="Normal 2 11 2 4" xfId="5537"/>
    <cellStyle name="Normal 2 11 2 4 2" xfId="5538"/>
    <cellStyle name="Normal 2 11 2 4 2 2" xfId="5539"/>
    <cellStyle name="Normal 2 11 2 4 3" xfId="5540"/>
    <cellStyle name="Normal 2 11 2 5" xfId="5541"/>
    <cellStyle name="Normal 2 11 2 5 2" xfId="5542"/>
    <cellStyle name="Normal 2 11 2 6" xfId="5543"/>
    <cellStyle name="Normal 2 11 3" xfId="1922"/>
    <cellStyle name="Normal 2 11 3 2" xfId="4642"/>
    <cellStyle name="Normal 2 11 3 2 2" xfId="5544"/>
    <cellStyle name="Normal 2 11 3 2 2 2" xfId="5545"/>
    <cellStyle name="Normal 2 11 3 2 2 2 2" xfId="5546"/>
    <cellStyle name="Normal 2 11 3 2 2 3" xfId="5547"/>
    <cellStyle name="Normal 2 11 3 2 3" xfId="5548"/>
    <cellStyle name="Normal 2 11 3 2 3 2" xfId="5549"/>
    <cellStyle name="Normal 2 11 3 2 4" xfId="5550"/>
    <cellStyle name="Normal 2 11 3 3" xfId="5551"/>
    <cellStyle name="Normal 2 11 3 3 2" xfId="5552"/>
    <cellStyle name="Normal 2 11 3 3 2 2" xfId="5553"/>
    <cellStyle name="Normal 2 11 3 3 3" xfId="5554"/>
    <cellStyle name="Normal 2 11 3 4" xfId="5555"/>
    <cellStyle name="Normal 2 11 3 4 2" xfId="5556"/>
    <cellStyle name="Normal 2 11 3 5" xfId="5557"/>
    <cellStyle name="Normal 2 11 4" xfId="3282"/>
    <cellStyle name="Normal 2 11 4 2" xfId="5558"/>
    <cellStyle name="Normal 2 11 4 2 2" xfId="5559"/>
    <cellStyle name="Normal 2 11 4 2 2 2" xfId="5560"/>
    <cellStyle name="Normal 2 11 4 2 3" xfId="5561"/>
    <cellStyle name="Normal 2 11 4 3" xfId="5562"/>
    <cellStyle name="Normal 2 11 4 3 2" xfId="5563"/>
    <cellStyle name="Normal 2 11 4 4" xfId="5564"/>
    <cellStyle name="Normal 2 11 5" xfId="5565"/>
    <cellStyle name="Normal 2 11 5 2" xfId="5566"/>
    <cellStyle name="Normal 2 11 5 2 2" xfId="5567"/>
    <cellStyle name="Normal 2 11 5 3" xfId="5568"/>
    <cellStyle name="Normal 2 11 6" xfId="5569"/>
    <cellStyle name="Normal 2 11 6 2" xfId="5570"/>
    <cellStyle name="Normal 2 11 7" xfId="5571"/>
    <cellStyle name="Normal 2 12" xfId="698"/>
    <cellStyle name="Normal 2 12 2" xfId="2058"/>
    <cellStyle name="Normal 2 12 2 2" xfId="4778"/>
    <cellStyle name="Normal 2 12 2 2 2" xfId="5572"/>
    <cellStyle name="Normal 2 12 2 2 2 2" xfId="5573"/>
    <cellStyle name="Normal 2 12 2 2 2 2 2" xfId="5574"/>
    <cellStyle name="Normal 2 12 2 2 2 3" xfId="5575"/>
    <cellStyle name="Normal 2 12 2 2 3" xfId="5576"/>
    <cellStyle name="Normal 2 12 2 2 3 2" xfId="5577"/>
    <cellStyle name="Normal 2 12 2 2 4" xfId="5578"/>
    <cellStyle name="Normal 2 12 2 3" xfId="5579"/>
    <cellStyle name="Normal 2 12 2 3 2" xfId="5580"/>
    <cellStyle name="Normal 2 12 2 3 2 2" xfId="5581"/>
    <cellStyle name="Normal 2 12 2 3 3" xfId="5582"/>
    <cellStyle name="Normal 2 12 2 4" xfId="5583"/>
    <cellStyle name="Normal 2 12 2 4 2" xfId="5584"/>
    <cellStyle name="Normal 2 12 2 5" xfId="5585"/>
    <cellStyle name="Normal 2 12 3" xfId="3418"/>
    <cellStyle name="Normal 2 12 3 2" xfId="5586"/>
    <cellStyle name="Normal 2 12 3 2 2" xfId="5587"/>
    <cellStyle name="Normal 2 12 3 2 2 2" xfId="5588"/>
    <cellStyle name="Normal 2 12 3 2 3" xfId="5589"/>
    <cellStyle name="Normal 2 12 3 3" xfId="5590"/>
    <cellStyle name="Normal 2 12 3 3 2" xfId="5591"/>
    <cellStyle name="Normal 2 12 3 4" xfId="5592"/>
    <cellStyle name="Normal 2 12 4" xfId="5593"/>
    <cellStyle name="Normal 2 12 4 2" xfId="5594"/>
    <cellStyle name="Normal 2 12 4 2 2" xfId="5595"/>
    <cellStyle name="Normal 2 12 4 3" xfId="5596"/>
    <cellStyle name="Normal 2 12 5" xfId="5597"/>
    <cellStyle name="Normal 2 12 5 2" xfId="5598"/>
    <cellStyle name="Normal 2 12 6" xfId="5599"/>
    <cellStyle name="Normal 2 13" xfId="1378"/>
    <cellStyle name="Normal 2 13 2" xfId="4098"/>
    <cellStyle name="Normal 2 13 2 2" xfId="5600"/>
    <cellStyle name="Normal 2 13 2 2 2" xfId="5601"/>
    <cellStyle name="Normal 2 13 2 2 2 2" xfId="5602"/>
    <cellStyle name="Normal 2 13 2 2 3" xfId="5603"/>
    <cellStyle name="Normal 2 13 2 3" xfId="5604"/>
    <cellStyle name="Normal 2 13 2 3 2" xfId="5605"/>
    <cellStyle name="Normal 2 13 2 4" xfId="5606"/>
    <cellStyle name="Normal 2 13 3" xfId="5607"/>
    <cellStyle name="Normal 2 13 3 2" xfId="5608"/>
    <cellStyle name="Normal 2 13 3 2 2" xfId="5609"/>
    <cellStyle name="Normal 2 13 3 3" xfId="5610"/>
    <cellStyle name="Normal 2 13 4" xfId="5611"/>
    <cellStyle name="Normal 2 13 4 2" xfId="5612"/>
    <cellStyle name="Normal 2 13 5" xfId="5613"/>
    <cellStyle name="Normal 2 14" xfId="2738"/>
    <cellStyle name="Normal 2 14 2" xfId="5614"/>
    <cellStyle name="Normal 2 14 2 2" xfId="5615"/>
    <cellStyle name="Normal 2 14 2 2 2" xfId="5616"/>
    <cellStyle name="Normal 2 14 2 3" xfId="5617"/>
    <cellStyle name="Normal 2 14 3" xfId="5618"/>
    <cellStyle name="Normal 2 14 3 2" xfId="5619"/>
    <cellStyle name="Normal 2 14 4" xfId="5620"/>
    <cellStyle name="Normal 2 15" xfId="5621"/>
    <cellStyle name="Normal 2 15 2" xfId="5622"/>
    <cellStyle name="Normal 2 15 2 2" xfId="5623"/>
    <cellStyle name="Normal 2 15 3" xfId="5624"/>
    <cellStyle name="Normal 2 16" xfId="5625"/>
    <cellStyle name="Normal 2 16 2" xfId="5626"/>
    <cellStyle name="Normal 2 17" xfId="5627"/>
    <cellStyle name="Normal 2 2" xfId="7"/>
    <cellStyle name="Normal 2 2 10" xfId="563"/>
    <cellStyle name="Normal 2 2 10 2" xfId="1243"/>
    <cellStyle name="Normal 2 2 10 2 2" xfId="2603"/>
    <cellStyle name="Normal 2 2 10 2 2 2" xfId="5323"/>
    <cellStyle name="Normal 2 2 10 2 2 2 2" xfId="5628"/>
    <cellStyle name="Normal 2 2 10 2 2 2 2 2" xfId="5629"/>
    <cellStyle name="Normal 2 2 10 2 2 2 2 2 2" xfId="5630"/>
    <cellStyle name="Normal 2 2 10 2 2 2 2 3" xfId="5631"/>
    <cellStyle name="Normal 2 2 10 2 2 2 3" xfId="5632"/>
    <cellStyle name="Normal 2 2 10 2 2 2 3 2" xfId="5633"/>
    <cellStyle name="Normal 2 2 10 2 2 2 4" xfId="5634"/>
    <cellStyle name="Normal 2 2 10 2 2 3" xfId="5635"/>
    <cellStyle name="Normal 2 2 10 2 2 3 2" xfId="5636"/>
    <cellStyle name="Normal 2 2 10 2 2 3 2 2" xfId="5637"/>
    <cellStyle name="Normal 2 2 10 2 2 3 3" xfId="5638"/>
    <cellStyle name="Normal 2 2 10 2 2 4" xfId="5639"/>
    <cellStyle name="Normal 2 2 10 2 2 4 2" xfId="5640"/>
    <cellStyle name="Normal 2 2 10 2 2 5" xfId="5641"/>
    <cellStyle name="Normal 2 2 10 2 3" xfId="3963"/>
    <cellStyle name="Normal 2 2 10 2 3 2" xfId="5642"/>
    <cellStyle name="Normal 2 2 10 2 3 2 2" xfId="5643"/>
    <cellStyle name="Normal 2 2 10 2 3 2 2 2" xfId="5644"/>
    <cellStyle name="Normal 2 2 10 2 3 2 3" xfId="5645"/>
    <cellStyle name="Normal 2 2 10 2 3 3" xfId="5646"/>
    <cellStyle name="Normal 2 2 10 2 3 3 2" xfId="5647"/>
    <cellStyle name="Normal 2 2 10 2 3 4" xfId="5648"/>
    <cellStyle name="Normal 2 2 10 2 4" xfId="5649"/>
    <cellStyle name="Normal 2 2 10 2 4 2" xfId="5650"/>
    <cellStyle name="Normal 2 2 10 2 4 2 2" xfId="5651"/>
    <cellStyle name="Normal 2 2 10 2 4 3" xfId="5652"/>
    <cellStyle name="Normal 2 2 10 2 5" xfId="5653"/>
    <cellStyle name="Normal 2 2 10 2 5 2" xfId="5654"/>
    <cellStyle name="Normal 2 2 10 2 6" xfId="5655"/>
    <cellStyle name="Normal 2 2 10 3" xfId="1923"/>
    <cellStyle name="Normal 2 2 10 3 2" xfId="4643"/>
    <cellStyle name="Normal 2 2 10 3 2 2" xfId="5656"/>
    <cellStyle name="Normal 2 2 10 3 2 2 2" xfId="5657"/>
    <cellStyle name="Normal 2 2 10 3 2 2 2 2" xfId="5658"/>
    <cellStyle name="Normal 2 2 10 3 2 2 3" xfId="5659"/>
    <cellStyle name="Normal 2 2 10 3 2 3" xfId="5660"/>
    <cellStyle name="Normal 2 2 10 3 2 3 2" xfId="5661"/>
    <cellStyle name="Normal 2 2 10 3 2 4" xfId="5662"/>
    <cellStyle name="Normal 2 2 10 3 3" xfId="5663"/>
    <cellStyle name="Normal 2 2 10 3 3 2" xfId="5664"/>
    <cellStyle name="Normal 2 2 10 3 3 2 2" xfId="5665"/>
    <cellStyle name="Normal 2 2 10 3 3 3" xfId="5666"/>
    <cellStyle name="Normal 2 2 10 3 4" xfId="5667"/>
    <cellStyle name="Normal 2 2 10 3 4 2" xfId="5668"/>
    <cellStyle name="Normal 2 2 10 3 5" xfId="5669"/>
    <cellStyle name="Normal 2 2 10 4" xfId="3283"/>
    <cellStyle name="Normal 2 2 10 4 2" xfId="5670"/>
    <cellStyle name="Normal 2 2 10 4 2 2" xfId="5671"/>
    <cellStyle name="Normal 2 2 10 4 2 2 2" xfId="5672"/>
    <cellStyle name="Normal 2 2 10 4 2 3" xfId="5673"/>
    <cellStyle name="Normal 2 2 10 4 3" xfId="5674"/>
    <cellStyle name="Normal 2 2 10 4 3 2" xfId="5675"/>
    <cellStyle name="Normal 2 2 10 4 4" xfId="5676"/>
    <cellStyle name="Normal 2 2 10 5" xfId="5677"/>
    <cellStyle name="Normal 2 2 10 5 2" xfId="5678"/>
    <cellStyle name="Normal 2 2 10 5 2 2" xfId="5679"/>
    <cellStyle name="Normal 2 2 10 5 3" xfId="5680"/>
    <cellStyle name="Normal 2 2 10 6" xfId="5681"/>
    <cellStyle name="Normal 2 2 10 6 2" xfId="5682"/>
    <cellStyle name="Normal 2 2 10 7" xfId="5683"/>
    <cellStyle name="Normal 2 2 11" xfId="699"/>
    <cellStyle name="Normal 2 2 11 2" xfId="2059"/>
    <cellStyle name="Normal 2 2 11 2 2" xfId="4779"/>
    <cellStyle name="Normal 2 2 11 2 2 2" xfId="5684"/>
    <cellStyle name="Normal 2 2 11 2 2 2 2" xfId="5685"/>
    <cellStyle name="Normal 2 2 11 2 2 2 2 2" xfId="5686"/>
    <cellStyle name="Normal 2 2 11 2 2 2 3" xfId="5687"/>
    <cellStyle name="Normal 2 2 11 2 2 3" xfId="5688"/>
    <cellStyle name="Normal 2 2 11 2 2 3 2" xfId="5689"/>
    <cellStyle name="Normal 2 2 11 2 2 4" xfId="5690"/>
    <cellStyle name="Normal 2 2 11 2 3" xfId="5691"/>
    <cellStyle name="Normal 2 2 11 2 3 2" xfId="5692"/>
    <cellStyle name="Normal 2 2 11 2 3 2 2" xfId="5693"/>
    <cellStyle name="Normal 2 2 11 2 3 3" xfId="5694"/>
    <cellStyle name="Normal 2 2 11 2 4" xfId="5695"/>
    <cellStyle name="Normal 2 2 11 2 4 2" xfId="5696"/>
    <cellStyle name="Normal 2 2 11 2 5" xfId="5697"/>
    <cellStyle name="Normal 2 2 11 3" xfId="3419"/>
    <cellStyle name="Normal 2 2 11 3 2" xfId="5698"/>
    <cellStyle name="Normal 2 2 11 3 2 2" xfId="5699"/>
    <cellStyle name="Normal 2 2 11 3 2 2 2" xfId="5700"/>
    <cellStyle name="Normal 2 2 11 3 2 3" xfId="5701"/>
    <cellStyle name="Normal 2 2 11 3 3" xfId="5702"/>
    <cellStyle name="Normal 2 2 11 3 3 2" xfId="5703"/>
    <cellStyle name="Normal 2 2 11 3 4" xfId="5704"/>
    <cellStyle name="Normal 2 2 11 4" xfId="5705"/>
    <cellStyle name="Normal 2 2 11 4 2" xfId="5706"/>
    <cellStyle name="Normal 2 2 11 4 2 2" xfId="5707"/>
    <cellStyle name="Normal 2 2 11 4 3" xfId="5708"/>
    <cellStyle name="Normal 2 2 11 5" xfId="5709"/>
    <cellStyle name="Normal 2 2 11 5 2" xfId="5710"/>
    <cellStyle name="Normal 2 2 11 6" xfId="5711"/>
    <cellStyle name="Normal 2 2 12" xfId="1379"/>
    <cellStyle name="Normal 2 2 12 2" xfId="4099"/>
    <cellStyle name="Normal 2 2 12 2 2" xfId="5712"/>
    <cellStyle name="Normal 2 2 12 2 2 2" xfId="5713"/>
    <cellStyle name="Normal 2 2 12 2 2 2 2" xfId="5714"/>
    <cellStyle name="Normal 2 2 12 2 2 3" xfId="5715"/>
    <cellStyle name="Normal 2 2 12 2 3" xfId="5716"/>
    <cellStyle name="Normal 2 2 12 2 3 2" xfId="5717"/>
    <cellStyle name="Normal 2 2 12 2 4" xfId="5718"/>
    <cellStyle name="Normal 2 2 12 3" xfId="5719"/>
    <cellStyle name="Normal 2 2 12 3 2" xfId="5720"/>
    <cellStyle name="Normal 2 2 12 3 2 2" xfId="5721"/>
    <cellStyle name="Normal 2 2 12 3 3" xfId="5722"/>
    <cellStyle name="Normal 2 2 12 4" xfId="5723"/>
    <cellStyle name="Normal 2 2 12 4 2" xfId="5724"/>
    <cellStyle name="Normal 2 2 12 5" xfId="5725"/>
    <cellStyle name="Normal 2 2 13" xfId="2739"/>
    <cellStyle name="Normal 2 2 13 2" xfId="5726"/>
    <cellStyle name="Normal 2 2 13 2 2" xfId="5727"/>
    <cellStyle name="Normal 2 2 13 2 2 2" xfId="5728"/>
    <cellStyle name="Normal 2 2 13 2 3" xfId="5729"/>
    <cellStyle name="Normal 2 2 13 3" xfId="5730"/>
    <cellStyle name="Normal 2 2 13 3 2" xfId="5731"/>
    <cellStyle name="Normal 2 2 13 4" xfId="5732"/>
    <cellStyle name="Normal 2 2 14" xfId="5733"/>
    <cellStyle name="Normal 2 2 14 2" xfId="5734"/>
    <cellStyle name="Normal 2 2 14 2 2" xfId="5735"/>
    <cellStyle name="Normal 2 2 14 3" xfId="5736"/>
    <cellStyle name="Normal 2 2 15" xfId="5737"/>
    <cellStyle name="Normal 2 2 15 2" xfId="5738"/>
    <cellStyle name="Normal 2 2 16" xfId="5739"/>
    <cellStyle name="Normal 2 2 2" xfId="19"/>
    <cellStyle name="Normal 2 2 2 10" xfId="1384"/>
    <cellStyle name="Normal 2 2 2 10 2" xfId="4104"/>
    <cellStyle name="Normal 2 2 2 10 2 2" xfId="5740"/>
    <cellStyle name="Normal 2 2 2 10 2 2 2" xfId="5741"/>
    <cellStyle name="Normal 2 2 2 10 2 2 2 2" xfId="5742"/>
    <cellStyle name="Normal 2 2 2 10 2 2 3" xfId="5743"/>
    <cellStyle name="Normal 2 2 2 10 2 3" xfId="5744"/>
    <cellStyle name="Normal 2 2 2 10 2 3 2" xfId="5745"/>
    <cellStyle name="Normal 2 2 2 10 2 4" xfId="5746"/>
    <cellStyle name="Normal 2 2 2 10 3" xfId="5747"/>
    <cellStyle name="Normal 2 2 2 10 3 2" xfId="5748"/>
    <cellStyle name="Normal 2 2 2 10 3 2 2" xfId="5749"/>
    <cellStyle name="Normal 2 2 2 10 3 3" xfId="5750"/>
    <cellStyle name="Normal 2 2 2 10 4" xfId="5751"/>
    <cellStyle name="Normal 2 2 2 10 4 2" xfId="5752"/>
    <cellStyle name="Normal 2 2 2 10 5" xfId="5753"/>
    <cellStyle name="Normal 2 2 2 11" xfId="2744"/>
    <cellStyle name="Normal 2 2 2 11 2" xfId="5754"/>
    <cellStyle name="Normal 2 2 2 11 2 2" xfId="5755"/>
    <cellStyle name="Normal 2 2 2 11 2 2 2" xfId="5756"/>
    <cellStyle name="Normal 2 2 2 11 2 3" xfId="5757"/>
    <cellStyle name="Normal 2 2 2 11 3" xfId="5758"/>
    <cellStyle name="Normal 2 2 2 11 3 2" xfId="5759"/>
    <cellStyle name="Normal 2 2 2 11 4" xfId="5760"/>
    <cellStyle name="Normal 2 2 2 12" xfId="5761"/>
    <cellStyle name="Normal 2 2 2 12 2" xfId="5762"/>
    <cellStyle name="Normal 2 2 2 12 2 2" xfId="5763"/>
    <cellStyle name="Normal 2 2 2 12 3" xfId="5764"/>
    <cellStyle name="Normal 2 2 2 13" xfId="5765"/>
    <cellStyle name="Normal 2 2 2 13 2" xfId="5766"/>
    <cellStyle name="Normal 2 2 2 14" xfId="5767"/>
    <cellStyle name="Normal 2 2 2 2" xfId="27"/>
    <cellStyle name="Normal 2 2 2 2 10" xfId="2751"/>
    <cellStyle name="Normal 2 2 2 2 10 2" xfId="5768"/>
    <cellStyle name="Normal 2 2 2 2 10 2 2" xfId="5769"/>
    <cellStyle name="Normal 2 2 2 2 10 2 2 2" xfId="5770"/>
    <cellStyle name="Normal 2 2 2 2 10 2 3" xfId="5771"/>
    <cellStyle name="Normal 2 2 2 2 10 3" xfId="5772"/>
    <cellStyle name="Normal 2 2 2 2 10 3 2" xfId="5773"/>
    <cellStyle name="Normal 2 2 2 2 10 4" xfId="5774"/>
    <cellStyle name="Normal 2 2 2 2 11" xfId="5775"/>
    <cellStyle name="Normal 2 2 2 2 11 2" xfId="5776"/>
    <cellStyle name="Normal 2 2 2 2 11 2 2" xfId="5777"/>
    <cellStyle name="Normal 2 2 2 2 11 3" xfId="5778"/>
    <cellStyle name="Normal 2 2 2 2 12" xfId="5779"/>
    <cellStyle name="Normal 2 2 2 2 12 2" xfId="5780"/>
    <cellStyle name="Normal 2 2 2 2 13" xfId="5781"/>
    <cellStyle name="Normal 2 2 2 2 2" xfId="46"/>
    <cellStyle name="Normal 2 2 2 2 2 10" xfId="5782"/>
    <cellStyle name="Normal 2 2 2 2 2 10 2" xfId="5783"/>
    <cellStyle name="Normal 2 2 2 2 2 10 2 2" xfId="5784"/>
    <cellStyle name="Normal 2 2 2 2 2 10 3" xfId="5785"/>
    <cellStyle name="Normal 2 2 2 2 2 11" xfId="5786"/>
    <cellStyle name="Normal 2 2 2 2 2 11 2" xfId="5787"/>
    <cellStyle name="Normal 2 2 2 2 2 12" xfId="5788"/>
    <cellStyle name="Normal 2 2 2 2 2 2" xfId="81"/>
    <cellStyle name="Normal 2 2 2 2 2 2 10" xfId="5789"/>
    <cellStyle name="Normal 2 2 2 2 2 2 10 2" xfId="5790"/>
    <cellStyle name="Normal 2 2 2 2 2 2 11" xfId="5791"/>
    <cellStyle name="Normal 2 2 2 2 2 2 2" xfId="149"/>
    <cellStyle name="Normal 2 2 2 2 2 2 2 10" xfId="5792"/>
    <cellStyle name="Normal 2 2 2 2 2 2 2 2" xfId="286"/>
    <cellStyle name="Normal 2 2 2 2 2 2 2 2 2" xfId="558"/>
    <cellStyle name="Normal 2 2 2 2 2 2 2 2 2 2" xfId="1238"/>
    <cellStyle name="Normal 2 2 2 2 2 2 2 2 2 2 2" xfId="2598"/>
    <cellStyle name="Normal 2 2 2 2 2 2 2 2 2 2 2 2" xfId="5318"/>
    <cellStyle name="Normal 2 2 2 2 2 2 2 2 2 2 2 2 2" xfId="5793"/>
    <cellStyle name="Normal 2 2 2 2 2 2 2 2 2 2 2 2 2 2" xfId="5794"/>
    <cellStyle name="Normal 2 2 2 2 2 2 2 2 2 2 2 2 2 2 2" xfId="5795"/>
    <cellStyle name="Normal 2 2 2 2 2 2 2 2 2 2 2 2 2 3" xfId="5796"/>
    <cellStyle name="Normal 2 2 2 2 2 2 2 2 2 2 2 2 3" xfId="5797"/>
    <cellStyle name="Normal 2 2 2 2 2 2 2 2 2 2 2 2 3 2" xfId="5798"/>
    <cellStyle name="Normal 2 2 2 2 2 2 2 2 2 2 2 2 4" xfId="5799"/>
    <cellStyle name="Normal 2 2 2 2 2 2 2 2 2 2 2 3" xfId="5800"/>
    <cellStyle name="Normal 2 2 2 2 2 2 2 2 2 2 2 3 2" xfId="5801"/>
    <cellStyle name="Normal 2 2 2 2 2 2 2 2 2 2 2 3 2 2" xfId="5802"/>
    <cellStyle name="Normal 2 2 2 2 2 2 2 2 2 2 2 3 3" xfId="5803"/>
    <cellStyle name="Normal 2 2 2 2 2 2 2 2 2 2 2 4" xfId="5804"/>
    <cellStyle name="Normal 2 2 2 2 2 2 2 2 2 2 2 4 2" xfId="5805"/>
    <cellStyle name="Normal 2 2 2 2 2 2 2 2 2 2 2 5" xfId="5806"/>
    <cellStyle name="Normal 2 2 2 2 2 2 2 2 2 2 3" xfId="3958"/>
    <cellStyle name="Normal 2 2 2 2 2 2 2 2 2 2 3 2" xfId="5807"/>
    <cellStyle name="Normal 2 2 2 2 2 2 2 2 2 2 3 2 2" xfId="5808"/>
    <cellStyle name="Normal 2 2 2 2 2 2 2 2 2 2 3 2 2 2" xfId="5809"/>
    <cellStyle name="Normal 2 2 2 2 2 2 2 2 2 2 3 2 3" xfId="5810"/>
    <cellStyle name="Normal 2 2 2 2 2 2 2 2 2 2 3 3" xfId="5811"/>
    <cellStyle name="Normal 2 2 2 2 2 2 2 2 2 2 3 3 2" xfId="5812"/>
    <cellStyle name="Normal 2 2 2 2 2 2 2 2 2 2 3 4" xfId="5813"/>
    <cellStyle name="Normal 2 2 2 2 2 2 2 2 2 2 4" xfId="5814"/>
    <cellStyle name="Normal 2 2 2 2 2 2 2 2 2 2 4 2" xfId="5815"/>
    <cellStyle name="Normal 2 2 2 2 2 2 2 2 2 2 4 2 2" xfId="5816"/>
    <cellStyle name="Normal 2 2 2 2 2 2 2 2 2 2 4 3" xfId="5817"/>
    <cellStyle name="Normal 2 2 2 2 2 2 2 2 2 2 5" xfId="5818"/>
    <cellStyle name="Normal 2 2 2 2 2 2 2 2 2 2 5 2" xfId="5819"/>
    <cellStyle name="Normal 2 2 2 2 2 2 2 2 2 2 6" xfId="5820"/>
    <cellStyle name="Normal 2 2 2 2 2 2 2 2 2 3" xfId="1918"/>
    <cellStyle name="Normal 2 2 2 2 2 2 2 2 2 3 2" xfId="4638"/>
    <cellStyle name="Normal 2 2 2 2 2 2 2 2 2 3 2 2" xfId="5821"/>
    <cellStyle name="Normal 2 2 2 2 2 2 2 2 2 3 2 2 2" xfId="5822"/>
    <cellStyle name="Normal 2 2 2 2 2 2 2 2 2 3 2 2 2 2" xfId="5823"/>
    <cellStyle name="Normal 2 2 2 2 2 2 2 2 2 3 2 2 3" xfId="5824"/>
    <cellStyle name="Normal 2 2 2 2 2 2 2 2 2 3 2 3" xfId="5825"/>
    <cellStyle name="Normal 2 2 2 2 2 2 2 2 2 3 2 3 2" xfId="5826"/>
    <cellStyle name="Normal 2 2 2 2 2 2 2 2 2 3 2 4" xfId="5827"/>
    <cellStyle name="Normal 2 2 2 2 2 2 2 2 2 3 3" xfId="5828"/>
    <cellStyle name="Normal 2 2 2 2 2 2 2 2 2 3 3 2" xfId="5829"/>
    <cellStyle name="Normal 2 2 2 2 2 2 2 2 2 3 3 2 2" xfId="5830"/>
    <cellStyle name="Normal 2 2 2 2 2 2 2 2 2 3 3 3" xfId="5831"/>
    <cellStyle name="Normal 2 2 2 2 2 2 2 2 2 3 4" xfId="5832"/>
    <cellStyle name="Normal 2 2 2 2 2 2 2 2 2 3 4 2" xfId="5833"/>
    <cellStyle name="Normal 2 2 2 2 2 2 2 2 2 3 5" xfId="5834"/>
    <cellStyle name="Normal 2 2 2 2 2 2 2 2 2 4" xfId="3278"/>
    <cellStyle name="Normal 2 2 2 2 2 2 2 2 2 4 2" xfId="5835"/>
    <cellStyle name="Normal 2 2 2 2 2 2 2 2 2 4 2 2" xfId="5836"/>
    <cellStyle name="Normal 2 2 2 2 2 2 2 2 2 4 2 2 2" xfId="5837"/>
    <cellStyle name="Normal 2 2 2 2 2 2 2 2 2 4 2 3" xfId="5838"/>
    <cellStyle name="Normal 2 2 2 2 2 2 2 2 2 4 3" xfId="5839"/>
    <cellStyle name="Normal 2 2 2 2 2 2 2 2 2 4 3 2" xfId="5840"/>
    <cellStyle name="Normal 2 2 2 2 2 2 2 2 2 4 4" xfId="5841"/>
    <cellStyle name="Normal 2 2 2 2 2 2 2 2 2 5" xfId="5842"/>
    <cellStyle name="Normal 2 2 2 2 2 2 2 2 2 5 2" xfId="5843"/>
    <cellStyle name="Normal 2 2 2 2 2 2 2 2 2 5 2 2" xfId="5844"/>
    <cellStyle name="Normal 2 2 2 2 2 2 2 2 2 5 3" xfId="5845"/>
    <cellStyle name="Normal 2 2 2 2 2 2 2 2 2 6" xfId="5846"/>
    <cellStyle name="Normal 2 2 2 2 2 2 2 2 2 6 2" xfId="5847"/>
    <cellStyle name="Normal 2 2 2 2 2 2 2 2 2 7" xfId="5848"/>
    <cellStyle name="Normal 2 2 2 2 2 2 2 2 3" xfId="966"/>
    <cellStyle name="Normal 2 2 2 2 2 2 2 2 3 2" xfId="2326"/>
    <cellStyle name="Normal 2 2 2 2 2 2 2 2 3 2 2" xfId="5046"/>
    <cellStyle name="Normal 2 2 2 2 2 2 2 2 3 2 2 2" xfId="5849"/>
    <cellStyle name="Normal 2 2 2 2 2 2 2 2 3 2 2 2 2" xfId="5850"/>
    <cellStyle name="Normal 2 2 2 2 2 2 2 2 3 2 2 2 2 2" xfId="5851"/>
    <cellStyle name="Normal 2 2 2 2 2 2 2 2 3 2 2 2 3" xfId="5852"/>
    <cellStyle name="Normal 2 2 2 2 2 2 2 2 3 2 2 3" xfId="5853"/>
    <cellStyle name="Normal 2 2 2 2 2 2 2 2 3 2 2 3 2" xfId="5854"/>
    <cellStyle name="Normal 2 2 2 2 2 2 2 2 3 2 2 4" xfId="5855"/>
    <cellStyle name="Normal 2 2 2 2 2 2 2 2 3 2 3" xfId="5856"/>
    <cellStyle name="Normal 2 2 2 2 2 2 2 2 3 2 3 2" xfId="5857"/>
    <cellStyle name="Normal 2 2 2 2 2 2 2 2 3 2 3 2 2" xfId="5858"/>
    <cellStyle name="Normal 2 2 2 2 2 2 2 2 3 2 3 3" xfId="5859"/>
    <cellStyle name="Normal 2 2 2 2 2 2 2 2 3 2 4" xfId="5860"/>
    <cellStyle name="Normal 2 2 2 2 2 2 2 2 3 2 4 2" xfId="5861"/>
    <cellStyle name="Normal 2 2 2 2 2 2 2 2 3 2 5" xfId="5862"/>
    <cellStyle name="Normal 2 2 2 2 2 2 2 2 3 3" xfId="3686"/>
    <cellStyle name="Normal 2 2 2 2 2 2 2 2 3 3 2" xfId="5863"/>
    <cellStyle name="Normal 2 2 2 2 2 2 2 2 3 3 2 2" xfId="5864"/>
    <cellStyle name="Normal 2 2 2 2 2 2 2 2 3 3 2 2 2" xfId="5865"/>
    <cellStyle name="Normal 2 2 2 2 2 2 2 2 3 3 2 3" xfId="5866"/>
    <cellStyle name="Normal 2 2 2 2 2 2 2 2 3 3 3" xfId="5867"/>
    <cellStyle name="Normal 2 2 2 2 2 2 2 2 3 3 3 2" xfId="5868"/>
    <cellStyle name="Normal 2 2 2 2 2 2 2 2 3 3 4" xfId="5869"/>
    <cellStyle name="Normal 2 2 2 2 2 2 2 2 3 4" xfId="5870"/>
    <cellStyle name="Normal 2 2 2 2 2 2 2 2 3 4 2" xfId="5871"/>
    <cellStyle name="Normal 2 2 2 2 2 2 2 2 3 4 2 2" xfId="5872"/>
    <cellStyle name="Normal 2 2 2 2 2 2 2 2 3 4 3" xfId="5873"/>
    <cellStyle name="Normal 2 2 2 2 2 2 2 2 3 5" xfId="5874"/>
    <cellStyle name="Normal 2 2 2 2 2 2 2 2 3 5 2" xfId="5875"/>
    <cellStyle name="Normal 2 2 2 2 2 2 2 2 3 6" xfId="5876"/>
    <cellStyle name="Normal 2 2 2 2 2 2 2 2 4" xfId="1646"/>
    <cellStyle name="Normal 2 2 2 2 2 2 2 2 4 2" xfId="4366"/>
    <cellStyle name="Normal 2 2 2 2 2 2 2 2 4 2 2" xfId="5877"/>
    <cellStyle name="Normal 2 2 2 2 2 2 2 2 4 2 2 2" xfId="5878"/>
    <cellStyle name="Normal 2 2 2 2 2 2 2 2 4 2 2 2 2" xfId="5879"/>
    <cellStyle name="Normal 2 2 2 2 2 2 2 2 4 2 2 3" xfId="5880"/>
    <cellStyle name="Normal 2 2 2 2 2 2 2 2 4 2 3" xfId="5881"/>
    <cellStyle name="Normal 2 2 2 2 2 2 2 2 4 2 3 2" xfId="5882"/>
    <cellStyle name="Normal 2 2 2 2 2 2 2 2 4 2 4" xfId="5883"/>
    <cellStyle name="Normal 2 2 2 2 2 2 2 2 4 3" xfId="5884"/>
    <cellStyle name="Normal 2 2 2 2 2 2 2 2 4 3 2" xfId="5885"/>
    <cellStyle name="Normal 2 2 2 2 2 2 2 2 4 3 2 2" xfId="5886"/>
    <cellStyle name="Normal 2 2 2 2 2 2 2 2 4 3 3" xfId="5887"/>
    <cellStyle name="Normal 2 2 2 2 2 2 2 2 4 4" xfId="5888"/>
    <cellStyle name="Normal 2 2 2 2 2 2 2 2 4 4 2" xfId="5889"/>
    <cellStyle name="Normal 2 2 2 2 2 2 2 2 4 5" xfId="5890"/>
    <cellStyle name="Normal 2 2 2 2 2 2 2 2 5" xfId="3006"/>
    <cellStyle name="Normal 2 2 2 2 2 2 2 2 5 2" xfId="5891"/>
    <cellStyle name="Normal 2 2 2 2 2 2 2 2 5 2 2" xfId="5892"/>
    <cellStyle name="Normal 2 2 2 2 2 2 2 2 5 2 2 2" xfId="5893"/>
    <cellStyle name="Normal 2 2 2 2 2 2 2 2 5 2 3" xfId="5894"/>
    <cellStyle name="Normal 2 2 2 2 2 2 2 2 5 3" xfId="5895"/>
    <cellStyle name="Normal 2 2 2 2 2 2 2 2 5 3 2" xfId="5896"/>
    <cellStyle name="Normal 2 2 2 2 2 2 2 2 5 4" xfId="5897"/>
    <cellStyle name="Normal 2 2 2 2 2 2 2 2 6" xfId="5898"/>
    <cellStyle name="Normal 2 2 2 2 2 2 2 2 6 2" xfId="5899"/>
    <cellStyle name="Normal 2 2 2 2 2 2 2 2 6 2 2" xfId="5900"/>
    <cellStyle name="Normal 2 2 2 2 2 2 2 2 6 3" xfId="5901"/>
    <cellStyle name="Normal 2 2 2 2 2 2 2 2 7" xfId="5902"/>
    <cellStyle name="Normal 2 2 2 2 2 2 2 2 7 2" xfId="5903"/>
    <cellStyle name="Normal 2 2 2 2 2 2 2 2 8" xfId="5904"/>
    <cellStyle name="Normal 2 2 2 2 2 2 2 3" xfId="422"/>
    <cellStyle name="Normal 2 2 2 2 2 2 2 3 2" xfId="1102"/>
    <cellStyle name="Normal 2 2 2 2 2 2 2 3 2 2" xfId="2462"/>
    <cellStyle name="Normal 2 2 2 2 2 2 2 3 2 2 2" xfId="5182"/>
    <cellStyle name="Normal 2 2 2 2 2 2 2 3 2 2 2 2" xfId="5905"/>
    <cellStyle name="Normal 2 2 2 2 2 2 2 3 2 2 2 2 2" xfId="5906"/>
    <cellStyle name="Normal 2 2 2 2 2 2 2 3 2 2 2 2 2 2" xfId="5907"/>
    <cellStyle name="Normal 2 2 2 2 2 2 2 3 2 2 2 2 3" xfId="5908"/>
    <cellStyle name="Normal 2 2 2 2 2 2 2 3 2 2 2 3" xfId="5909"/>
    <cellStyle name="Normal 2 2 2 2 2 2 2 3 2 2 2 3 2" xfId="5910"/>
    <cellStyle name="Normal 2 2 2 2 2 2 2 3 2 2 2 4" xfId="5911"/>
    <cellStyle name="Normal 2 2 2 2 2 2 2 3 2 2 3" xfId="5912"/>
    <cellStyle name="Normal 2 2 2 2 2 2 2 3 2 2 3 2" xfId="5913"/>
    <cellStyle name="Normal 2 2 2 2 2 2 2 3 2 2 3 2 2" xfId="5914"/>
    <cellStyle name="Normal 2 2 2 2 2 2 2 3 2 2 3 3" xfId="5915"/>
    <cellStyle name="Normal 2 2 2 2 2 2 2 3 2 2 4" xfId="5916"/>
    <cellStyle name="Normal 2 2 2 2 2 2 2 3 2 2 4 2" xfId="5917"/>
    <cellStyle name="Normal 2 2 2 2 2 2 2 3 2 2 5" xfId="5918"/>
    <cellStyle name="Normal 2 2 2 2 2 2 2 3 2 3" xfId="3822"/>
    <cellStyle name="Normal 2 2 2 2 2 2 2 3 2 3 2" xfId="5919"/>
    <cellStyle name="Normal 2 2 2 2 2 2 2 3 2 3 2 2" xfId="5920"/>
    <cellStyle name="Normal 2 2 2 2 2 2 2 3 2 3 2 2 2" xfId="5921"/>
    <cellStyle name="Normal 2 2 2 2 2 2 2 3 2 3 2 3" xfId="5922"/>
    <cellStyle name="Normal 2 2 2 2 2 2 2 3 2 3 3" xfId="5923"/>
    <cellStyle name="Normal 2 2 2 2 2 2 2 3 2 3 3 2" xfId="5924"/>
    <cellStyle name="Normal 2 2 2 2 2 2 2 3 2 3 4" xfId="5925"/>
    <cellStyle name="Normal 2 2 2 2 2 2 2 3 2 4" xfId="5926"/>
    <cellStyle name="Normal 2 2 2 2 2 2 2 3 2 4 2" xfId="5927"/>
    <cellStyle name="Normal 2 2 2 2 2 2 2 3 2 4 2 2" xfId="5928"/>
    <cellStyle name="Normal 2 2 2 2 2 2 2 3 2 4 3" xfId="5929"/>
    <cellStyle name="Normal 2 2 2 2 2 2 2 3 2 5" xfId="5930"/>
    <cellStyle name="Normal 2 2 2 2 2 2 2 3 2 5 2" xfId="5931"/>
    <cellStyle name="Normal 2 2 2 2 2 2 2 3 2 6" xfId="5932"/>
    <cellStyle name="Normal 2 2 2 2 2 2 2 3 3" xfId="1782"/>
    <cellStyle name="Normal 2 2 2 2 2 2 2 3 3 2" xfId="4502"/>
    <cellStyle name="Normal 2 2 2 2 2 2 2 3 3 2 2" xfId="5933"/>
    <cellStyle name="Normal 2 2 2 2 2 2 2 3 3 2 2 2" xfId="5934"/>
    <cellStyle name="Normal 2 2 2 2 2 2 2 3 3 2 2 2 2" xfId="5935"/>
    <cellStyle name="Normal 2 2 2 2 2 2 2 3 3 2 2 3" xfId="5936"/>
    <cellStyle name="Normal 2 2 2 2 2 2 2 3 3 2 3" xfId="5937"/>
    <cellStyle name="Normal 2 2 2 2 2 2 2 3 3 2 3 2" xfId="5938"/>
    <cellStyle name="Normal 2 2 2 2 2 2 2 3 3 2 4" xfId="5939"/>
    <cellStyle name="Normal 2 2 2 2 2 2 2 3 3 3" xfId="5940"/>
    <cellStyle name="Normal 2 2 2 2 2 2 2 3 3 3 2" xfId="5941"/>
    <cellStyle name="Normal 2 2 2 2 2 2 2 3 3 3 2 2" xfId="5942"/>
    <cellStyle name="Normal 2 2 2 2 2 2 2 3 3 3 3" xfId="5943"/>
    <cellStyle name="Normal 2 2 2 2 2 2 2 3 3 4" xfId="5944"/>
    <cellStyle name="Normal 2 2 2 2 2 2 2 3 3 4 2" xfId="5945"/>
    <cellStyle name="Normal 2 2 2 2 2 2 2 3 3 5" xfId="5946"/>
    <cellStyle name="Normal 2 2 2 2 2 2 2 3 4" xfId="3142"/>
    <cellStyle name="Normal 2 2 2 2 2 2 2 3 4 2" xfId="5947"/>
    <cellStyle name="Normal 2 2 2 2 2 2 2 3 4 2 2" xfId="5948"/>
    <cellStyle name="Normal 2 2 2 2 2 2 2 3 4 2 2 2" xfId="5949"/>
    <cellStyle name="Normal 2 2 2 2 2 2 2 3 4 2 3" xfId="5950"/>
    <cellStyle name="Normal 2 2 2 2 2 2 2 3 4 3" xfId="5951"/>
    <cellStyle name="Normal 2 2 2 2 2 2 2 3 4 3 2" xfId="5952"/>
    <cellStyle name="Normal 2 2 2 2 2 2 2 3 4 4" xfId="5953"/>
    <cellStyle name="Normal 2 2 2 2 2 2 2 3 5" xfId="5954"/>
    <cellStyle name="Normal 2 2 2 2 2 2 2 3 5 2" xfId="5955"/>
    <cellStyle name="Normal 2 2 2 2 2 2 2 3 5 2 2" xfId="5956"/>
    <cellStyle name="Normal 2 2 2 2 2 2 2 3 5 3" xfId="5957"/>
    <cellStyle name="Normal 2 2 2 2 2 2 2 3 6" xfId="5958"/>
    <cellStyle name="Normal 2 2 2 2 2 2 2 3 6 2" xfId="5959"/>
    <cellStyle name="Normal 2 2 2 2 2 2 2 3 7" xfId="5960"/>
    <cellStyle name="Normal 2 2 2 2 2 2 2 4" xfId="694"/>
    <cellStyle name="Normal 2 2 2 2 2 2 2 4 2" xfId="1374"/>
    <cellStyle name="Normal 2 2 2 2 2 2 2 4 2 2" xfId="2734"/>
    <cellStyle name="Normal 2 2 2 2 2 2 2 4 2 2 2" xfId="5454"/>
    <cellStyle name="Normal 2 2 2 2 2 2 2 4 2 2 2 2" xfId="5961"/>
    <cellStyle name="Normal 2 2 2 2 2 2 2 4 2 2 2 2 2" xfId="5962"/>
    <cellStyle name="Normal 2 2 2 2 2 2 2 4 2 2 2 2 2 2" xfId="5963"/>
    <cellStyle name="Normal 2 2 2 2 2 2 2 4 2 2 2 2 3" xfId="5964"/>
    <cellStyle name="Normal 2 2 2 2 2 2 2 4 2 2 2 3" xfId="5965"/>
    <cellStyle name="Normal 2 2 2 2 2 2 2 4 2 2 2 3 2" xfId="5966"/>
    <cellStyle name="Normal 2 2 2 2 2 2 2 4 2 2 2 4" xfId="5967"/>
    <cellStyle name="Normal 2 2 2 2 2 2 2 4 2 2 3" xfId="5968"/>
    <cellStyle name="Normal 2 2 2 2 2 2 2 4 2 2 3 2" xfId="5969"/>
    <cellStyle name="Normal 2 2 2 2 2 2 2 4 2 2 3 2 2" xfId="5970"/>
    <cellStyle name="Normal 2 2 2 2 2 2 2 4 2 2 3 3" xfId="5971"/>
    <cellStyle name="Normal 2 2 2 2 2 2 2 4 2 2 4" xfId="5972"/>
    <cellStyle name="Normal 2 2 2 2 2 2 2 4 2 2 4 2" xfId="5973"/>
    <cellStyle name="Normal 2 2 2 2 2 2 2 4 2 2 5" xfId="5974"/>
    <cellStyle name="Normal 2 2 2 2 2 2 2 4 2 3" xfId="4094"/>
    <cellStyle name="Normal 2 2 2 2 2 2 2 4 2 3 2" xfId="5975"/>
    <cellStyle name="Normal 2 2 2 2 2 2 2 4 2 3 2 2" xfId="5976"/>
    <cellStyle name="Normal 2 2 2 2 2 2 2 4 2 3 2 2 2" xfId="5977"/>
    <cellStyle name="Normal 2 2 2 2 2 2 2 4 2 3 2 3" xfId="5978"/>
    <cellStyle name="Normal 2 2 2 2 2 2 2 4 2 3 3" xfId="5979"/>
    <cellStyle name="Normal 2 2 2 2 2 2 2 4 2 3 3 2" xfId="5980"/>
    <cellStyle name="Normal 2 2 2 2 2 2 2 4 2 3 4" xfId="5981"/>
    <cellStyle name="Normal 2 2 2 2 2 2 2 4 2 4" xfId="5982"/>
    <cellStyle name="Normal 2 2 2 2 2 2 2 4 2 4 2" xfId="5983"/>
    <cellStyle name="Normal 2 2 2 2 2 2 2 4 2 4 2 2" xfId="5984"/>
    <cellStyle name="Normal 2 2 2 2 2 2 2 4 2 4 3" xfId="5985"/>
    <cellStyle name="Normal 2 2 2 2 2 2 2 4 2 5" xfId="5986"/>
    <cellStyle name="Normal 2 2 2 2 2 2 2 4 2 5 2" xfId="5987"/>
    <cellStyle name="Normal 2 2 2 2 2 2 2 4 2 6" xfId="5988"/>
    <cellStyle name="Normal 2 2 2 2 2 2 2 4 3" xfId="2054"/>
    <cellStyle name="Normal 2 2 2 2 2 2 2 4 3 2" xfId="4774"/>
    <cellStyle name="Normal 2 2 2 2 2 2 2 4 3 2 2" xfId="5989"/>
    <cellStyle name="Normal 2 2 2 2 2 2 2 4 3 2 2 2" xfId="5990"/>
    <cellStyle name="Normal 2 2 2 2 2 2 2 4 3 2 2 2 2" xfId="5991"/>
    <cellStyle name="Normal 2 2 2 2 2 2 2 4 3 2 2 3" xfId="5992"/>
    <cellStyle name="Normal 2 2 2 2 2 2 2 4 3 2 3" xfId="5993"/>
    <cellStyle name="Normal 2 2 2 2 2 2 2 4 3 2 3 2" xfId="5994"/>
    <cellStyle name="Normal 2 2 2 2 2 2 2 4 3 2 4" xfId="5995"/>
    <cellStyle name="Normal 2 2 2 2 2 2 2 4 3 3" xfId="5996"/>
    <cellStyle name="Normal 2 2 2 2 2 2 2 4 3 3 2" xfId="5997"/>
    <cellStyle name="Normal 2 2 2 2 2 2 2 4 3 3 2 2" xfId="5998"/>
    <cellStyle name="Normal 2 2 2 2 2 2 2 4 3 3 3" xfId="5999"/>
    <cellStyle name="Normal 2 2 2 2 2 2 2 4 3 4" xfId="6000"/>
    <cellStyle name="Normal 2 2 2 2 2 2 2 4 3 4 2" xfId="6001"/>
    <cellStyle name="Normal 2 2 2 2 2 2 2 4 3 5" xfId="6002"/>
    <cellStyle name="Normal 2 2 2 2 2 2 2 4 4" xfId="3414"/>
    <cellStyle name="Normal 2 2 2 2 2 2 2 4 4 2" xfId="6003"/>
    <cellStyle name="Normal 2 2 2 2 2 2 2 4 4 2 2" xfId="6004"/>
    <cellStyle name="Normal 2 2 2 2 2 2 2 4 4 2 2 2" xfId="6005"/>
    <cellStyle name="Normal 2 2 2 2 2 2 2 4 4 2 3" xfId="6006"/>
    <cellStyle name="Normal 2 2 2 2 2 2 2 4 4 3" xfId="6007"/>
    <cellStyle name="Normal 2 2 2 2 2 2 2 4 4 3 2" xfId="6008"/>
    <cellStyle name="Normal 2 2 2 2 2 2 2 4 4 4" xfId="6009"/>
    <cellStyle name="Normal 2 2 2 2 2 2 2 4 5" xfId="6010"/>
    <cellStyle name="Normal 2 2 2 2 2 2 2 4 5 2" xfId="6011"/>
    <cellStyle name="Normal 2 2 2 2 2 2 2 4 5 2 2" xfId="6012"/>
    <cellStyle name="Normal 2 2 2 2 2 2 2 4 5 3" xfId="6013"/>
    <cellStyle name="Normal 2 2 2 2 2 2 2 4 6" xfId="6014"/>
    <cellStyle name="Normal 2 2 2 2 2 2 2 4 6 2" xfId="6015"/>
    <cellStyle name="Normal 2 2 2 2 2 2 2 4 7" xfId="6016"/>
    <cellStyle name="Normal 2 2 2 2 2 2 2 5" xfId="830"/>
    <cellStyle name="Normal 2 2 2 2 2 2 2 5 2" xfId="2190"/>
    <cellStyle name="Normal 2 2 2 2 2 2 2 5 2 2" xfId="4910"/>
    <cellStyle name="Normal 2 2 2 2 2 2 2 5 2 2 2" xfId="6017"/>
    <cellStyle name="Normal 2 2 2 2 2 2 2 5 2 2 2 2" xfId="6018"/>
    <cellStyle name="Normal 2 2 2 2 2 2 2 5 2 2 2 2 2" xfId="6019"/>
    <cellStyle name="Normal 2 2 2 2 2 2 2 5 2 2 2 3" xfId="6020"/>
    <cellStyle name="Normal 2 2 2 2 2 2 2 5 2 2 3" xfId="6021"/>
    <cellStyle name="Normal 2 2 2 2 2 2 2 5 2 2 3 2" xfId="6022"/>
    <cellStyle name="Normal 2 2 2 2 2 2 2 5 2 2 4" xfId="6023"/>
    <cellStyle name="Normal 2 2 2 2 2 2 2 5 2 3" xfId="6024"/>
    <cellStyle name="Normal 2 2 2 2 2 2 2 5 2 3 2" xfId="6025"/>
    <cellStyle name="Normal 2 2 2 2 2 2 2 5 2 3 2 2" xfId="6026"/>
    <cellStyle name="Normal 2 2 2 2 2 2 2 5 2 3 3" xfId="6027"/>
    <cellStyle name="Normal 2 2 2 2 2 2 2 5 2 4" xfId="6028"/>
    <cellStyle name="Normal 2 2 2 2 2 2 2 5 2 4 2" xfId="6029"/>
    <cellStyle name="Normal 2 2 2 2 2 2 2 5 2 5" xfId="6030"/>
    <cellStyle name="Normal 2 2 2 2 2 2 2 5 3" xfId="3550"/>
    <cellStyle name="Normal 2 2 2 2 2 2 2 5 3 2" xfId="6031"/>
    <cellStyle name="Normal 2 2 2 2 2 2 2 5 3 2 2" xfId="6032"/>
    <cellStyle name="Normal 2 2 2 2 2 2 2 5 3 2 2 2" xfId="6033"/>
    <cellStyle name="Normal 2 2 2 2 2 2 2 5 3 2 3" xfId="6034"/>
    <cellStyle name="Normal 2 2 2 2 2 2 2 5 3 3" xfId="6035"/>
    <cellStyle name="Normal 2 2 2 2 2 2 2 5 3 3 2" xfId="6036"/>
    <cellStyle name="Normal 2 2 2 2 2 2 2 5 3 4" xfId="6037"/>
    <cellStyle name="Normal 2 2 2 2 2 2 2 5 4" xfId="6038"/>
    <cellStyle name="Normal 2 2 2 2 2 2 2 5 4 2" xfId="6039"/>
    <cellStyle name="Normal 2 2 2 2 2 2 2 5 4 2 2" xfId="6040"/>
    <cellStyle name="Normal 2 2 2 2 2 2 2 5 4 3" xfId="6041"/>
    <cellStyle name="Normal 2 2 2 2 2 2 2 5 5" xfId="6042"/>
    <cellStyle name="Normal 2 2 2 2 2 2 2 5 5 2" xfId="6043"/>
    <cellStyle name="Normal 2 2 2 2 2 2 2 5 6" xfId="6044"/>
    <cellStyle name="Normal 2 2 2 2 2 2 2 6" xfId="1510"/>
    <cellStyle name="Normal 2 2 2 2 2 2 2 6 2" xfId="4230"/>
    <cellStyle name="Normal 2 2 2 2 2 2 2 6 2 2" xfId="6045"/>
    <cellStyle name="Normal 2 2 2 2 2 2 2 6 2 2 2" xfId="6046"/>
    <cellStyle name="Normal 2 2 2 2 2 2 2 6 2 2 2 2" xfId="6047"/>
    <cellStyle name="Normal 2 2 2 2 2 2 2 6 2 2 3" xfId="6048"/>
    <cellStyle name="Normal 2 2 2 2 2 2 2 6 2 3" xfId="6049"/>
    <cellStyle name="Normal 2 2 2 2 2 2 2 6 2 3 2" xfId="6050"/>
    <cellStyle name="Normal 2 2 2 2 2 2 2 6 2 4" xfId="6051"/>
    <cellStyle name="Normal 2 2 2 2 2 2 2 6 3" xfId="6052"/>
    <cellStyle name="Normal 2 2 2 2 2 2 2 6 3 2" xfId="6053"/>
    <cellStyle name="Normal 2 2 2 2 2 2 2 6 3 2 2" xfId="6054"/>
    <cellStyle name="Normal 2 2 2 2 2 2 2 6 3 3" xfId="6055"/>
    <cellStyle name="Normal 2 2 2 2 2 2 2 6 4" xfId="6056"/>
    <cellStyle name="Normal 2 2 2 2 2 2 2 6 4 2" xfId="6057"/>
    <cellStyle name="Normal 2 2 2 2 2 2 2 6 5" xfId="6058"/>
    <cellStyle name="Normal 2 2 2 2 2 2 2 7" xfId="2870"/>
    <cellStyle name="Normal 2 2 2 2 2 2 2 7 2" xfId="6059"/>
    <cellStyle name="Normal 2 2 2 2 2 2 2 7 2 2" xfId="6060"/>
    <cellStyle name="Normal 2 2 2 2 2 2 2 7 2 2 2" xfId="6061"/>
    <cellStyle name="Normal 2 2 2 2 2 2 2 7 2 3" xfId="6062"/>
    <cellStyle name="Normal 2 2 2 2 2 2 2 7 3" xfId="6063"/>
    <cellStyle name="Normal 2 2 2 2 2 2 2 7 3 2" xfId="6064"/>
    <cellStyle name="Normal 2 2 2 2 2 2 2 7 4" xfId="6065"/>
    <cellStyle name="Normal 2 2 2 2 2 2 2 8" xfId="6066"/>
    <cellStyle name="Normal 2 2 2 2 2 2 2 8 2" xfId="6067"/>
    <cellStyle name="Normal 2 2 2 2 2 2 2 8 2 2" xfId="6068"/>
    <cellStyle name="Normal 2 2 2 2 2 2 2 8 3" xfId="6069"/>
    <cellStyle name="Normal 2 2 2 2 2 2 2 9" xfId="6070"/>
    <cellStyle name="Normal 2 2 2 2 2 2 2 9 2" xfId="6071"/>
    <cellStyle name="Normal 2 2 2 2 2 2 3" xfId="218"/>
    <cellStyle name="Normal 2 2 2 2 2 2 3 2" xfId="490"/>
    <cellStyle name="Normal 2 2 2 2 2 2 3 2 2" xfId="1170"/>
    <cellStyle name="Normal 2 2 2 2 2 2 3 2 2 2" xfId="2530"/>
    <cellStyle name="Normal 2 2 2 2 2 2 3 2 2 2 2" xfId="5250"/>
    <cellStyle name="Normal 2 2 2 2 2 2 3 2 2 2 2 2" xfId="6072"/>
    <cellStyle name="Normal 2 2 2 2 2 2 3 2 2 2 2 2 2" xfId="6073"/>
    <cellStyle name="Normal 2 2 2 2 2 2 3 2 2 2 2 2 2 2" xfId="6074"/>
    <cellStyle name="Normal 2 2 2 2 2 2 3 2 2 2 2 2 3" xfId="6075"/>
    <cellStyle name="Normal 2 2 2 2 2 2 3 2 2 2 2 3" xfId="6076"/>
    <cellStyle name="Normal 2 2 2 2 2 2 3 2 2 2 2 3 2" xfId="6077"/>
    <cellStyle name="Normal 2 2 2 2 2 2 3 2 2 2 2 4" xfId="6078"/>
    <cellStyle name="Normal 2 2 2 2 2 2 3 2 2 2 3" xfId="6079"/>
    <cellStyle name="Normal 2 2 2 2 2 2 3 2 2 2 3 2" xfId="6080"/>
    <cellStyle name="Normal 2 2 2 2 2 2 3 2 2 2 3 2 2" xfId="6081"/>
    <cellStyle name="Normal 2 2 2 2 2 2 3 2 2 2 3 3" xfId="6082"/>
    <cellStyle name="Normal 2 2 2 2 2 2 3 2 2 2 4" xfId="6083"/>
    <cellStyle name="Normal 2 2 2 2 2 2 3 2 2 2 4 2" xfId="6084"/>
    <cellStyle name="Normal 2 2 2 2 2 2 3 2 2 2 5" xfId="6085"/>
    <cellStyle name="Normal 2 2 2 2 2 2 3 2 2 3" xfId="3890"/>
    <cellStyle name="Normal 2 2 2 2 2 2 3 2 2 3 2" xfId="6086"/>
    <cellStyle name="Normal 2 2 2 2 2 2 3 2 2 3 2 2" xfId="6087"/>
    <cellStyle name="Normal 2 2 2 2 2 2 3 2 2 3 2 2 2" xfId="6088"/>
    <cellStyle name="Normal 2 2 2 2 2 2 3 2 2 3 2 3" xfId="6089"/>
    <cellStyle name="Normal 2 2 2 2 2 2 3 2 2 3 3" xfId="6090"/>
    <cellStyle name="Normal 2 2 2 2 2 2 3 2 2 3 3 2" xfId="6091"/>
    <cellStyle name="Normal 2 2 2 2 2 2 3 2 2 3 4" xfId="6092"/>
    <cellStyle name="Normal 2 2 2 2 2 2 3 2 2 4" xfId="6093"/>
    <cellStyle name="Normal 2 2 2 2 2 2 3 2 2 4 2" xfId="6094"/>
    <cellStyle name="Normal 2 2 2 2 2 2 3 2 2 4 2 2" xfId="6095"/>
    <cellStyle name="Normal 2 2 2 2 2 2 3 2 2 4 3" xfId="6096"/>
    <cellStyle name="Normal 2 2 2 2 2 2 3 2 2 5" xfId="6097"/>
    <cellStyle name="Normal 2 2 2 2 2 2 3 2 2 5 2" xfId="6098"/>
    <cellStyle name="Normal 2 2 2 2 2 2 3 2 2 6" xfId="6099"/>
    <cellStyle name="Normal 2 2 2 2 2 2 3 2 3" xfId="1850"/>
    <cellStyle name="Normal 2 2 2 2 2 2 3 2 3 2" xfId="4570"/>
    <cellStyle name="Normal 2 2 2 2 2 2 3 2 3 2 2" xfId="6100"/>
    <cellStyle name="Normal 2 2 2 2 2 2 3 2 3 2 2 2" xfId="6101"/>
    <cellStyle name="Normal 2 2 2 2 2 2 3 2 3 2 2 2 2" xfId="6102"/>
    <cellStyle name="Normal 2 2 2 2 2 2 3 2 3 2 2 3" xfId="6103"/>
    <cellStyle name="Normal 2 2 2 2 2 2 3 2 3 2 3" xfId="6104"/>
    <cellStyle name="Normal 2 2 2 2 2 2 3 2 3 2 3 2" xfId="6105"/>
    <cellStyle name="Normal 2 2 2 2 2 2 3 2 3 2 4" xfId="6106"/>
    <cellStyle name="Normal 2 2 2 2 2 2 3 2 3 3" xfId="6107"/>
    <cellStyle name="Normal 2 2 2 2 2 2 3 2 3 3 2" xfId="6108"/>
    <cellStyle name="Normal 2 2 2 2 2 2 3 2 3 3 2 2" xfId="6109"/>
    <cellStyle name="Normal 2 2 2 2 2 2 3 2 3 3 3" xfId="6110"/>
    <cellStyle name="Normal 2 2 2 2 2 2 3 2 3 4" xfId="6111"/>
    <cellStyle name="Normal 2 2 2 2 2 2 3 2 3 4 2" xfId="6112"/>
    <cellStyle name="Normal 2 2 2 2 2 2 3 2 3 5" xfId="6113"/>
    <cellStyle name="Normal 2 2 2 2 2 2 3 2 4" xfId="3210"/>
    <cellStyle name="Normal 2 2 2 2 2 2 3 2 4 2" xfId="6114"/>
    <cellStyle name="Normal 2 2 2 2 2 2 3 2 4 2 2" xfId="6115"/>
    <cellStyle name="Normal 2 2 2 2 2 2 3 2 4 2 2 2" xfId="6116"/>
    <cellStyle name="Normal 2 2 2 2 2 2 3 2 4 2 3" xfId="6117"/>
    <cellStyle name="Normal 2 2 2 2 2 2 3 2 4 3" xfId="6118"/>
    <cellStyle name="Normal 2 2 2 2 2 2 3 2 4 3 2" xfId="6119"/>
    <cellStyle name="Normal 2 2 2 2 2 2 3 2 4 4" xfId="6120"/>
    <cellStyle name="Normal 2 2 2 2 2 2 3 2 5" xfId="6121"/>
    <cellStyle name="Normal 2 2 2 2 2 2 3 2 5 2" xfId="6122"/>
    <cellStyle name="Normal 2 2 2 2 2 2 3 2 5 2 2" xfId="6123"/>
    <cellStyle name="Normal 2 2 2 2 2 2 3 2 5 3" xfId="6124"/>
    <cellStyle name="Normal 2 2 2 2 2 2 3 2 6" xfId="6125"/>
    <cellStyle name="Normal 2 2 2 2 2 2 3 2 6 2" xfId="6126"/>
    <cellStyle name="Normal 2 2 2 2 2 2 3 2 7" xfId="6127"/>
    <cellStyle name="Normal 2 2 2 2 2 2 3 3" xfId="898"/>
    <cellStyle name="Normal 2 2 2 2 2 2 3 3 2" xfId="2258"/>
    <cellStyle name="Normal 2 2 2 2 2 2 3 3 2 2" xfId="4978"/>
    <cellStyle name="Normal 2 2 2 2 2 2 3 3 2 2 2" xfId="6128"/>
    <cellStyle name="Normal 2 2 2 2 2 2 3 3 2 2 2 2" xfId="6129"/>
    <cellStyle name="Normal 2 2 2 2 2 2 3 3 2 2 2 2 2" xfId="6130"/>
    <cellStyle name="Normal 2 2 2 2 2 2 3 3 2 2 2 3" xfId="6131"/>
    <cellStyle name="Normal 2 2 2 2 2 2 3 3 2 2 3" xfId="6132"/>
    <cellStyle name="Normal 2 2 2 2 2 2 3 3 2 2 3 2" xfId="6133"/>
    <cellStyle name="Normal 2 2 2 2 2 2 3 3 2 2 4" xfId="6134"/>
    <cellStyle name="Normal 2 2 2 2 2 2 3 3 2 3" xfId="6135"/>
    <cellStyle name="Normal 2 2 2 2 2 2 3 3 2 3 2" xfId="6136"/>
    <cellStyle name="Normal 2 2 2 2 2 2 3 3 2 3 2 2" xfId="6137"/>
    <cellStyle name="Normal 2 2 2 2 2 2 3 3 2 3 3" xfId="6138"/>
    <cellStyle name="Normal 2 2 2 2 2 2 3 3 2 4" xfId="6139"/>
    <cellStyle name="Normal 2 2 2 2 2 2 3 3 2 4 2" xfId="6140"/>
    <cellStyle name="Normal 2 2 2 2 2 2 3 3 2 5" xfId="6141"/>
    <cellStyle name="Normal 2 2 2 2 2 2 3 3 3" xfId="3618"/>
    <cellStyle name="Normal 2 2 2 2 2 2 3 3 3 2" xfId="6142"/>
    <cellStyle name="Normal 2 2 2 2 2 2 3 3 3 2 2" xfId="6143"/>
    <cellStyle name="Normal 2 2 2 2 2 2 3 3 3 2 2 2" xfId="6144"/>
    <cellStyle name="Normal 2 2 2 2 2 2 3 3 3 2 3" xfId="6145"/>
    <cellStyle name="Normal 2 2 2 2 2 2 3 3 3 3" xfId="6146"/>
    <cellStyle name="Normal 2 2 2 2 2 2 3 3 3 3 2" xfId="6147"/>
    <cellStyle name="Normal 2 2 2 2 2 2 3 3 3 4" xfId="6148"/>
    <cellStyle name="Normal 2 2 2 2 2 2 3 3 4" xfId="6149"/>
    <cellStyle name="Normal 2 2 2 2 2 2 3 3 4 2" xfId="6150"/>
    <cellStyle name="Normal 2 2 2 2 2 2 3 3 4 2 2" xfId="6151"/>
    <cellStyle name="Normal 2 2 2 2 2 2 3 3 4 3" xfId="6152"/>
    <cellStyle name="Normal 2 2 2 2 2 2 3 3 5" xfId="6153"/>
    <cellStyle name="Normal 2 2 2 2 2 2 3 3 5 2" xfId="6154"/>
    <cellStyle name="Normal 2 2 2 2 2 2 3 3 6" xfId="6155"/>
    <cellStyle name="Normal 2 2 2 2 2 2 3 4" xfId="1578"/>
    <cellStyle name="Normal 2 2 2 2 2 2 3 4 2" xfId="4298"/>
    <cellStyle name="Normal 2 2 2 2 2 2 3 4 2 2" xfId="6156"/>
    <cellStyle name="Normal 2 2 2 2 2 2 3 4 2 2 2" xfId="6157"/>
    <cellStyle name="Normal 2 2 2 2 2 2 3 4 2 2 2 2" xfId="6158"/>
    <cellStyle name="Normal 2 2 2 2 2 2 3 4 2 2 3" xfId="6159"/>
    <cellStyle name="Normal 2 2 2 2 2 2 3 4 2 3" xfId="6160"/>
    <cellStyle name="Normal 2 2 2 2 2 2 3 4 2 3 2" xfId="6161"/>
    <cellStyle name="Normal 2 2 2 2 2 2 3 4 2 4" xfId="6162"/>
    <cellStyle name="Normal 2 2 2 2 2 2 3 4 3" xfId="6163"/>
    <cellStyle name="Normal 2 2 2 2 2 2 3 4 3 2" xfId="6164"/>
    <cellStyle name="Normal 2 2 2 2 2 2 3 4 3 2 2" xfId="6165"/>
    <cellStyle name="Normal 2 2 2 2 2 2 3 4 3 3" xfId="6166"/>
    <cellStyle name="Normal 2 2 2 2 2 2 3 4 4" xfId="6167"/>
    <cellStyle name="Normal 2 2 2 2 2 2 3 4 4 2" xfId="6168"/>
    <cellStyle name="Normal 2 2 2 2 2 2 3 4 5" xfId="6169"/>
    <cellStyle name="Normal 2 2 2 2 2 2 3 5" xfId="2938"/>
    <cellStyle name="Normal 2 2 2 2 2 2 3 5 2" xfId="6170"/>
    <cellStyle name="Normal 2 2 2 2 2 2 3 5 2 2" xfId="6171"/>
    <cellStyle name="Normal 2 2 2 2 2 2 3 5 2 2 2" xfId="6172"/>
    <cellStyle name="Normal 2 2 2 2 2 2 3 5 2 3" xfId="6173"/>
    <cellStyle name="Normal 2 2 2 2 2 2 3 5 3" xfId="6174"/>
    <cellStyle name="Normal 2 2 2 2 2 2 3 5 3 2" xfId="6175"/>
    <cellStyle name="Normal 2 2 2 2 2 2 3 5 4" xfId="6176"/>
    <cellStyle name="Normal 2 2 2 2 2 2 3 6" xfId="6177"/>
    <cellStyle name="Normal 2 2 2 2 2 2 3 6 2" xfId="6178"/>
    <cellStyle name="Normal 2 2 2 2 2 2 3 6 2 2" xfId="6179"/>
    <cellStyle name="Normal 2 2 2 2 2 2 3 6 3" xfId="6180"/>
    <cellStyle name="Normal 2 2 2 2 2 2 3 7" xfId="6181"/>
    <cellStyle name="Normal 2 2 2 2 2 2 3 7 2" xfId="6182"/>
    <cellStyle name="Normal 2 2 2 2 2 2 3 8" xfId="6183"/>
    <cellStyle name="Normal 2 2 2 2 2 2 4" xfId="354"/>
    <cellStyle name="Normal 2 2 2 2 2 2 4 2" xfId="1034"/>
    <cellStyle name="Normal 2 2 2 2 2 2 4 2 2" xfId="2394"/>
    <cellStyle name="Normal 2 2 2 2 2 2 4 2 2 2" xfId="5114"/>
    <cellStyle name="Normal 2 2 2 2 2 2 4 2 2 2 2" xfId="6184"/>
    <cellStyle name="Normal 2 2 2 2 2 2 4 2 2 2 2 2" xfId="6185"/>
    <cellStyle name="Normal 2 2 2 2 2 2 4 2 2 2 2 2 2" xfId="6186"/>
    <cellStyle name="Normal 2 2 2 2 2 2 4 2 2 2 2 3" xfId="6187"/>
    <cellStyle name="Normal 2 2 2 2 2 2 4 2 2 2 3" xfId="6188"/>
    <cellStyle name="Normal 2 2 2 2 2 2 4 2 2 2 3 2" xfId="6189"/>
    <cellStyle name="Normal 2 2 2 2 2 2 4 2 2 2 4" xfId="6190"/>
    <cellStyle name="Normal 2 2 2 2 2 2 4 2 2 3" xfId="6191"/>
    <cellStyle name="Normal 2 2 2 2 2 2 4 2 2 3 2" xfId="6192"/>
    <cellStyle name="Normal 2 2 2 2 2 2 4 2 2 3 2 2" xfId="6193"/>
    <cellStyle name="Normal 2 2 2 2 2 2 4 2 2 3 3" xfId="6194"/>
    <cellStyle name="Normal 2 2 2 2 2 2 4 2 2 4" xfId="6195"/>
    <cellStyle name="Normal 2 2 2 2 2 2 4 2 2 4 2" xfId="6196"/>
    <cellStyle name="Normal 2 2 2 2 2 2 4 2 2 5" xfId="6197"/>
    <cellStyle name="Normal 2 2 2 2 2 2 4 2 3" xfId="3754"/>
    <cellStyle name="Normal 2 2 2 2 2 2 4 2 3 2" xfId="6198"/>
    <cellStyle name="Normal 2 2 2 2 2 2 4 2 3 2 2" xfId="6199"/>
    <cellStyle name="Normal 2 2 2 2 2 2 4 2 3 2 2 2" xfId="6200"/>
    <cellStyle name="Normal 2 2 2 2 2 2 4 2 3 2 3" xfId="6201"/>
    <cellStyle name="Normal 2 2 2 2 2 2 4 2 3 3" xfId="6202"/>
    <cellStyle name="Normal 2 2 2 2 2 2 4 2 3 3 2" xfId="6203"/>
    <cellStyle name="Normal 2 2 2 2 2 2 4 2 3 4" xfId="6204"/>
    <cellStyle name="Normal 2 2 2 2 2 2 4 2 4" xfId="6205"/>
    <cellStyle name="Normal 2 2 2 2 2 2 4 2 4 2" xfId="6206"/>
    <cellStyle name="Normal 2 2 2 2 2 2 4 2 4 2 2" xfId="6207"/>
    <cellStyle name="Normal 2 2 2 2 2 2 4 2 4 3" xfId="6208"/>
    <cellStyle name="Normal 2 2 2 2 2 2 4 2 5" xfId="6209"/>
    <cellStyle name="Normal 2 2 2 2 2 2 4 2 5 2" xfId="6210"/>
    <cellStyle name="Normal 2 2 2 2 2 2 4 2 6" xfId="6211"/>
    <cellStyle name="Normal 2 2 2 2 2 2 4 3" xfId="1714"/>
    <cellStyle name="Normal 2 2 2 2 2 2 4 3 2" xfId="4434"/>
    <cellStyle name="Normal 2 2 2 2 2 2 4 3 2 2" xfId="6212"/>
    <cellStyle name="Normal 2 2 2 2 2 2 4 3 2 2 2" xfId="6213"/>
    <cellStyle name="Normal 2 2 2 2 2 2 4 3 2 2 2 2" xfId="6214"/>
    <cellStyle name="Normal 2 2 2 2 2 2 4 3 2 2 3" xfId="6215"/>
    <cellStyle name="Normal 2 2 2 2 2 2 4 3 2 3" xfId="6216"/>
    <cellStyle name="Normal 2 2 2 2 2 2 4 3 2 3 2" xfId="6217"/>
    <cellStyle name="Normal 2 2 2 2 2 2 4 3 2 4" xfId="6218"/>
    <cellStyle name="Normal 2 2 2 2 2 2 4 3 3" xfId="6219"/>
    <cellStyle name="Normal 2 2 2 2 2 2 4 3 3 2" xfId="6220"/>
    <cellStyle name="Normal 2 2 2 2 2 2 4 3 3 2 2" xfId="6221"/>
    <cellStyle name="Normal 2 2 2 2 2 2 4 3 3 3" xfId="6222"/>
    <cellStyle name="Normal 2 2 2 2 2 2 4 3 4" xfId="6223"/>
    <cellStyle name="Normal 2 2 2 2 2 2 4 3 4 2" xfId="6224"/>
    <cellStyle name="Normal 2 2 2 2 2 2 4 3 5" xfId="6225"/>
    <cellStyle name="Normal 2 2 2 2 2 2 4 4" xfId="3074"/>
    <cellStyle name="Normal 2 2 2 2 2 2 4 4 2" xfId="6226"/>
    <cellStyle name="Normal 2 2 2 2 2 2 4 4 2 2" xfId="6227"/>
    <cellStyle name="Normal 2 2 2 2 2 2 4 4 2 2 2" xfId="6228"/>
    <cellStyle name="Normal 2 2 2 2 2 2 4 4 2 3" xfId="6229"/>
    <cellStyle name="Normal 2 2 2 2 2 2 4 4 3" xfId="6230"/>
    <cellStyle name="Normal 2 2 2 2 2 2 4 4 3 2" xfId="6231"/>
    <cellStyle name="Normal 2 2 2 2 2 2 4 4 4" xfId="6232"/>
    <cellStyle name="Normal 2 2 2 2 2 2 4 5" xfId="6233"/>
    <cellStyle name="Normal 2 2 2 2 2 2 4 5 2" xfId="6234"/>
    <cellStyle name="Normal 2 2 2 2 2 2 4 5 2 2" xfId="6235"/>
    <cellStyle name="Normal 2 2 2 2 2 2 4 5 3" xfId="6236"/>
    <cellStyle name="Normal 2 2 2 2 2 2 4 6" xfId="6237"/>
    <cellStyle name="Normal 2 2 2 2 2 2 4 6 2" xfId="6238"/>
    <cellStyle name="Normal 2 2 2 2 2 2 4 7" xfId="6239"/>
    <cellStyle name="Normal 2 2 2 2 2 2 5" xfId="626"/>
    <cellStyle name="Normal 2 2 2 2 2 2 5 2" xfId="1306"/>
    <cellStyle name="Normal 2 2 2 2 2 2 5 2 2" xfId="2666"/>
    <cellStyle name="Normal 2 2 2 2 2 2 5 2 2 2" xfId="5386"/>
    <cellStyle name="Normal 2 2 2 2 2 2 5 2 2 2 2" xfId="6240"/>
    <cellStyle name="Normal 2 2 2 2 2 2 5 2 2 2 2 2" xfId="6241"/>
    <cellStyle name="Normal 2 2 2 2 2 2 5 2 2 2 2 2 2" xfId="6242"/>
    <cellStyle name="Normal 2 2 2 2 2 2 5 2 2 2 2 3" xfId="6243"/>
    <cellStyle name="Normal 2 2 2 2 2 2 5 2 2 2 3" xfId="6244"/>
    <cellStyle name="Normal 2 2 2 2 2 2 5 2 2 2 3 2" xfId="6245"/>
    <cellStyle name="Normal 2 2 2 2 2 2 5 2 2 2 4" xfId="6246"/>
    <cellStyle name="Normal 2 2 2 2 2 2 5 2 2 3" xfId="6247"/>
    <cellStyle name="Normal 2 2 2 2 2 2 5 2 2 3 2" xfId="6248"/>
    <cellStyle name="Normal 2 2 2 2 2 2 5 2 2 3 2 2" xfId="6249"/>
    <cellStyle name="Normal 2 2 2 2 2 2 5 2 2 3 3" xfId="6250"/>
    <cellStyle name="Normal 2 2 2 2 2 2 5 2 2 4" xfId="6251"/>
    <cellStyle name="Normal 2 2 2 2 2 2 5 2 2 4 2" xfId="6252"/>
    <cellStyle name="Normal 2 2 2 2 2 2 5 2 2 5" xfId="6253"/>
    <cellStyle name="Normal 2 2 2 2 2 2 5 2 3" xfId="4026"/>
    <cellStyle name="Normal 2 2 2 2 2 2 5 2 3 2" xfId="6254"/>
    <cellStyle name="Normal 2 2 2 2 2 2 5 2 3 2 2" xfId="6255"/>
    <cellStyle name="Normal 2 2 2 2 2 2 5 2 3 2 2 2" xfId="6256"/>
    <cellStyle name="Normal 2 2 2 2 2 2 5 2 3 2 3" xfId="6257"/>
    <cellStyle name="Normal 2 2 2 2 2 2 5 2 3 3" xfId="6258"/>
    <cellStyle name="Normal 2 2 2 2 2 2 5 2 3 3 2" xfId="6259"/>
    <cellStyle name="Normal 2 2 2 2 2 2 5 2 3 4" xfId="6260"/>
    <cellStyle name="Normal 2 2 2 2 2 2 5 2 4" xfId="6261"/>
    <cellStyle name="Normal 2 2 2 2 2 2 5 2 4 2" xfId="6262"/>
    <cellStyle name="Normal 2 2 2 2 2 2 5 2 4 2 2" xfId="6263"/>
    <cellStyle name="Normal 2 2 2 2 2 2 5 2 4 3" xfId="6264"/>
    <cellStyle name="Normal 2 2 2 2 2 2 5 2 5" xfId="6265"/>
    <cellStyle name="Normal 2 2 2 2 2 2 5 2 5 2" xfId="6266"/>
    <cellStyle name="Normal 2 2 2 2 2 2 5 2 6" xfId="6267"/>
    <cellStyle name="Normal 2 2 2 2 2 2 5 3" xfId="1986"/>
    <cellStyle name="Normal 2 2 2 2 2 2 5 3 2" xfId="4706"/>
    <cellStyle name="Normal 2 2 2 2 2 2 5 3 2 2" xfId="6268"/>
    <cellStyle name="Normal 2 2 2 2 2 2 5 3 2 2 2" xfId="6269"/>
    <cellStyle name="Normal 2 2 2 2 2 2 5 3 2 2 2 2" xfId="6270"/>
    <cellStyle name="Normal 2 2 2 2 2 2 5 3 2 2 3" xfId="6271"/>
    <cellStyle name="Normal 2 2 2 2 2 2 5 3 2 3" xfId="6272"/>
    <cellStyle name="Normal 2 2 2 2 2 2 5 3 2 3 2" xfId="6273"/>
    <cellStyle name="Normal 2 2 2 2 2 2 5 3 2 4" xfId="6274"/>
    <cellStyle name="Normal 2 2 2 2 2 2 5 3 3" xfId="6275"/>
    <cellStyle name="Normal 2 2 2 2 2 2 5 3 3 2" xfId="6276"/>
    <cellStyle name="Normal 2 2 2 2 2 2 5 3 3 2 2" xfId="6277"/>
    <cellStyle name="Normal 2 2 2 2 2 2 5 3 3 3" xfId="6278"/>
    <cellStyle name="Normal 2 2 2 2 2 2 5 3 4" xfId="6279"/>
    <cellStyle name="Normal 2 2 2 2 2 2 5 3 4 2" xfId="6280"/>
    <cellStyle name="Normal 2 2 2 2 2 2 5 3 5" xfId="6281"/>
    <cellStyle name="Normal 2 2 2 2 2 2 5 4" xfId="3346"/>
    <cellStyle name="Normal 2 2 2 2 2 2 5 4 2" xfId="6282"/>
    <cellStyle name="Normal 2 2 2 2 2 2 5 4 2 2" xfId="6283"/>
    <cellStyle name="Normal 2 2 2 2 2 2 5 4 2 2 2" xfId="6284"/>
    <cellStyle name="Normal 2 2 2 2 2 2 5 4 2 3" xfId="6285"/>
    <cellStyle name="Normal 2 2 2 2 2 2 5 4 3" xfId="6286"/>
    <cellStyle name="Normal 2 2 2 2 2 2 5 4 3 2" xfId="6287"/>
    <cellStyle name="Normal 2 2 2 2 2 2 5 4 4" xfId="6288"/>
    <cellStyle name="Normal 2 2 2 2 2 2 5 5" xfId="6289"/>
    <cellStyle name="Normal 2 2 2 2 2 2 5 5 2" xfId="6290"/>
    <cellStyle name="Normal 2 2 2 2 2 2 5 5 2 2" xfId="6291"/>
    <cellStyle name="Normal 2 2 2 2 2 2 5 5 3" xfId="6292"/>
    <cellStyle name="Normal 2 2 2 2 2 2 5 6" xfId="6293"/>
    <cellStyle name="Normal 2 2 2 2 2 2 5 6 2" xfId="6294"/>
    <cellStyle name="Normal 2 2 2 2 2 2 5 7" xfId="6295"/>
    <cellStyle name="Normal 2 2 2 2 2 2 6" xfId="762"/>
    <cellStyle name="Normal 2 2 2 2 2 2 6 2" xfId="2122"/>
    <cellStyle name="Normal 2 2 2 2 2 2 6 2 2" xfId="4842"/>
    <cellStyle name="Normal 2 2 2 2 2 2 6 2 2 2" xfId="6296"/>
    <cellStyle name="Normal 2 2 2 2 2 2 6 2 2 2 2" xfId="6297"/>
    <cellStyle name="Normal 2 2 2 2 2 2 6 2 2 2 2 2" xfId="6298"/>
    <cellStyle name="Normal 2 2 2 2 2 2 6 2 2 2 3" xfId="6299"/>
    <cellStyle name="Normal 2 2 2 2 2 2 6 2 2 3" xfId="6300"/>
    <cellStyle name="Normal 2 2 2 2 2 2 6 2 2 3 2" xfId="6301"/>
    <cellStyle name="Normal 2 2 2 2 2 2 6 2 2 4" xfId="6302"/>
    <cellStyle name="Normal 2 2 2 2 2 2 6 2 3" xfId="6303"/>
    <cellStyle name="Normal 2 2 2 2 2 2 6 2 3 2" xfId="6304"/>
    <cellStyle name="Normal 2 2 2 2 2 2 6 2 3 2 2" xfId="6305"/>
    <cellStyle name="Normal 2 2 2 2 2 2 6 2 3 3" xfId="6306"/>
    <cellStyle name="Normal 2 2 2 2 2 2 6 2 4" xfId="6307"/>
    <cellStyle name="Normal 2 2 2 2 2 2 6 2 4 2" xfId="6308"/>
    <cellStyle name="Normal 2 2 2 2 2 2 6 2 5" xfId="6309"/>
    <cellStyle name="Normal 2 2 2 2 2 2 6 3" xfId="3482"/>
    <cellStyle name="Normal 2 2 2 2 2 2 6 3 2" xfId="6310"/>
    <cellStyle name="Normal 2 2 2 2 2 2 6 3 2 2" xfId="6311"/>
    <cellStyle name="Normal 2 2 2 2 2 2 6 3 2 2 2" xfId="6312"/>
    <cellStyle name="Normal 2 2 2 2 2 2 6 3 2 3" xfId="6313"/>
    <cellStyle name="Normal 2 2 2 2 2 2 6 3 3" xfId="6314"/>
    <cellStyle name="Normal 2 2 2 2 2 2 6 3 3 2" xfId="6315"/>
    <cellStyle name="Normal 2 2 2 2 2 2 6 3 4" xfId="6316"/>
    <cellStyle name="Normal 2 2 2 2 2 2 6 4" xfId="6317"/>
    <cellStyle name="Normal 2 2 2 2 2 2 6 4 2" xfId="6318"/>
    <cellStyle name="Normal 2 2 2 2 2 2 6 4 2 2" xfId="6319"/>
    <cellStyle name="Normal 2 2 2 2 2 2 6 4 3" xfId="6320"/>
    <cellStyle name="Normal 2 2 2 2 2 2 6 5" xfId="6321"/>
    <cellStyle name="Normal 2 2 2 2 2 2 6 5 2" xfId="6322"/>
    <cellStyle name="Normal 2 2 2 2 2 2 6 6" xfId="6323"/>
    <cellStyle name="Normal 2 2 2 2 2 2 7" xfId="1442"/>
    <cellStyle name="Normal 2 2 2 2 2 2 7 2" xfId="4162"/>
    <cellStyle name="Normal 2 2 2 2 2 2 7 2 2" xfId="6324"/>
    <cellStyle name="Normal 2 2 2 2 2 2 7 2 2 2" xfId="6325"/>
    <cellStyle name="Normal 2 2 2 2 2 2 7 2 2 2 2" xfId="6326"/>
    <cellStyle name="Normal 2 2 2 2 2 2 7 2 2 3" xfId="6327"/>
    <cellStyle name="Normal 2 2 2 2 2 2 7 2 3" xfId="6328"/>
    <cellStyle name="Normal 2 2 2 2 2 2 7 2 3 2" xfId="6329"/>
    <cellStyle name="Normal 2 2 2 2 2 2 7 2 4" xfId="6330"/>
    <cellStyle name="Normal 2 2 2 2 2 2 7 3" xfId="6331"/>
    <cellStyle name="Normal 2 2 2 2 2 2 7 3 2" xfId="6332"/>
    <cellStyle name="Normal 2 2 2 2 2 2 7 3 2 2" xfId="6333"/>
    <cellStyle name="Normal 2 2 2 2 2 2 7 3 3" xfId="6334"/>
    <cellStyle name="Normal 2 2 2 2 2 2 7 4" xfId="6335"/>
    <cellStyle name="Normal 2 2 2 2 2 2 7 4 2" xfId="6336"/>
    <cellStyle name="Normal 2 2 2 2 2 2 7 5" xfId="6337"/>
    <cellStyle name="Normal 2 2 2 2 2 2 8" xfId="2802"/>
    <cellStyle name="Normal 2 2 2 2 2 2 8 2" xfId="6338"/>
    <cellStyle name="Normal 2 2 2 2 2 2 8 2 2" xfId="6339"/>
    <cellStyle name="Normal 2 2 2 2 2 2 8 2 2 2" xfId="6340"/>
    <cellStyle name="Normal 2 2 2 2 2 2 8 2 3" xfId="6341"/>
    <cellStyle name="Normal 2 2 2 2 2 2 8 3" xfId="6342"/>
    <cellStyle name="Normal 2 2 2 2 2 2 8 3 2" xfId="6343"/>
    <cellStyle name="Normal 2 2 2 2 2 2 8 4" xfId="6344"/>
    <cellStyle name="Normal 2 2 2 2 2 2 9" xfId="6345"/>
    <cellStyle name="Normal 2 2 2 2 2 2 9 2" xfId="6346"/>
    <cellStyle name="Normal 2 2 2 2 2 2 9 2 2" xfId="6347"/>
    <cellStyle name="Normal 2 2 2 2 2 2 9 3" xfId="6348"/>
    <cellStyle name="Normal 2 2 2 2 2 3" xfId="115"/>
    <cellStyle name="Normal 2 2 2 2 2 3 10" xfId="6349"/>
    <cellStyle name="Normal 2 2 2 2 2 3 2" xfId="252"/>
    <cellStyle name="Normal 2 2 2 2 2 3 2 2" xfId="524"/>
    <cellStyle name="Normal 2 2 2 2 2 3 2 2 2" xfId="1204"/>
    <cellStyle name="Normal 2 2 2 2 2 3 2 2 2 2" xfId="2564"/>
    <cellStyle name="Normal 2 2 2 2 2 3 2 2 2 2 2" xfId="5284"/>
    <cellStyle name="Normal 2 2 2 2 2 3 2 2 2 2 2 2" xfId="6350"/>
    <cellStyle name="Normal 2 2 2 2 2 3 2 2 2 2 2 2 2" xfId="6351"/>
    <cellStyle name="Normal 2 2 2 2 2 3 2 2 2 2 2 2 2 2" xfId="6352"/>
    <cellStyle name="Normal 2 2 2 2 2 3 2 2 2 2 2 2 3" xfId="6353"/>
    <cellStyle name="Normal 2 2 2 2 2 3 2 2 2 2 2 3" xfId="6354"/>
    <cellStyle name="Normal 2 2 2 2 2 3 2 2 2 2 2 3 2" xfId="6355"/>
    <cellStyle name="Normal 2 2 2 2 2 3 2 2 2 2 2 4" xfId="6356"/>
    <cellStyle name="Normal 2 2 2 2 2 3 2 2 2 2 3" xfId="6357"/>
    <cellStyle name="Normal 2 2 2 2 2 3 2 2 2 2 3 2" xfId="6358"/>
    <cellStyle name="Normal 2 2 2 2 2 3 2 2 2 2 3 2 2" xfId="6359"/>
    <cellStyle name="Normal 2 2 2 2 2 3 2 2 2 2 3 3" xfId="6360"/>
    <cellStyle name="Normal 2 2 2 2 2 3 2 2 2 2 4" xfId="6361"/>
    <cellStyle name="Normal 2 2 2 2 2 3 2 2 2 2 4 2" xfId="6362"/>
    <cellStyle name="Normal 2 2 2 2 2 3 2 2 2 2 5" xfId="6363"/>
    <cellStyle name="Normal 2 2 2 2 2 3 2 2 2 3" xfId="3924"/>
    <cellStyle name="Normal 2 2 2 2 2 3 2 2 2 3 2" xfId="6364"/>
    <cellStyle name="Normal 2 2 2 2 2 3 2 2 2 3 2 2" xfId="6365"/>
    <cellStyle name="Normal 2 2 2 2 2 3 2 2 2 3 2 2 2" xfId="6366"/>
    <cellStyle name="Normal 2 2 2 2 2 3 2 2 2 3 2 3" xfId="6367"/>
    <cellStyle name="Normal 2 2 2 2 2 3 2 2 2 3 3" xfId="6368"/>
    <cellStyle name="Normal 2 2 2 2 2 3 2 2 2 3 3 2" xfId="6369"/>
    <cellStyle name="Normal 2 2 2 2 2 3 2 2 2 3 4" xfId="6370"/>
    <cellStyle name="Normal 2 2 2 2 2 3 2 2 2 4" xfId="6371"/>
    <cellStyle name="Normal 2 2 2 2 2 3 2 2 2 4 2" xfId="6372"/>
    <cellStyle name="Normal 2 2 2 2 2 3 2 2 2 4 2 2" xfId="6373"/>
    <cellStyle name="Normal 2 2 2 2 2 3 2 2 2 4 3" xfId="6374"/>
    <cellStyle name="Normal 2 2 2 2 2 3 2 2 2 5" xfId="6375"/>
    <cellStyle name="Normal 2 2 2 2 2 3 2 2 2 5 2" xfId="6376"/>
    <cellStyle name="Normal 2 2 2 2 2 3 2 2 2 6" xfId="6377"/>
    <cellStyle name="Normal 2 2 2 2 2 3 2 2 3" xfId="1884"/>
    <cellStyle name="Normal 2 2 2 2 2 3 2 2 3 2" xfId="4604"/>
    <cellStyle name="Normal 2 2 2 2 2 3 2 2 3 2 2" xfId="6378"/>
    <cellStyle name="Normal 2 2 2 2 2 3 2 2 3 2 2 2" xfId="6379"/>
    <cellStyle name="Normal 2 2 2 2 2 3 2 2 3 2 2 2 2" xfId="6380"/>
    <cellStyle name="Normal 2 2 2 2 2 3 2 2 3 2 2 3" xfId="6381"/>
    <cellStyle name="Normal 2 2 2 2 2 3 2 2 3 2 3" xfId="6382"/>
    <cellStyle name="Normal 2 2 2 2 2 3 2 2 3 2 3 2" xfId="6383"/>
    <cellStyle name="Normal 2 2 2 2 2 3 2 2 3 2 4" xfId="6384"/>
    <cellStyle name="Normal 2 2 2 2 2 3 2 2 3 3" xfId="6385"/>
    <cellStyle name="Normal 2 2 2 2 2 3 2 2 3 3 2" xfId="6386"/>
    <cellStyle name="Normal 2 2 2 2 2 3 2 2 3 3 2 2" xfId="6387"/>
    <cellStyle name="Normal 2 2 2 2 2 3 2 2 3 3 3" xfId="6388"/>
    <cellStyle name="Normal 2 2 2 2 2 3 2 2 3 4" xfId="6389"/>
    <cellStyle name="Normal 2 2 2 2 2 3 2 2 3 4 2" xfId="6390"/>
    <cellStyle name="Normal 2 2 2 2 2 3 2 2 3 5" xfId="6391"/>
    <cellStyle name="Normal 2 2 2 2 2 3 2 2 4" xfId="3244"/>
    <cellStyle name="Normal 2 2 2 2 2 3 2 2 4 2" xfId="6392"/>
    <cellStyle name="Normal 2 2 2 2 2 3 2 2 4 2 2" xfId="6393"/>
    <cellStyle name="Normal 2 2 2 2 2 3 2 2 4 2 2 2" xfId="6394"/>
    <cellStyle name="Normal 2 2 2 2 2 3 2 2 4 2 3" xfId="6395"/>
    <cellStyle name="Normal 2 2 2 2 2 3 2 2 4 3" xfId="6396"/>
    <cellStyle name="Normal 2 2 2 2 2 3 2 2 4 3 2" xfId="6397"/>
    <cellStyle name="Normal 2 2 2 2 2 3 2 2 4 4" xfId="6398"/>
    <cellStyle name="Normal 2 2 2 2 2 3 2 2 5" xfId="6399"/>
    <cellStyle name="Normal 2 2 2 2 2 3 2 2 5 2" xfId="6400"/>
    <cellStyle name="Normal 2 2 2 2 2 3 2 2 5 2 2" xfId="6401"/>
    <cellStyle name="Normal 2 2 2 2 2 3 2 2 5 3" xfId="6402"/>
    <cellStyle name="Normal 2 2 2 2 2 3 2 2 6" xfId="6403"/>
    <cellStyle name="Normal 2 2 2 2 2 3 2 2 6 2" xfId="6404"/>
    <cellStyle name="Normal 2 2 2 2 2 3 2 2 7" xfId="6405"/>
    <cellStyle name="Normal 2 2 2 2 2 3 2 3" xfId="932"/>
    <cellStyle name="Normal 2 2 2 2 2 3 2 3 2" xfId="2292"/>
    <cellStyle name="Normal 2 2 2 2 2 3 2 3 2 2" xfId="5012"/>
    <cellStyle name="Normal 2 2 2 2 2 3 2 3 2 2 2" xfId="6406"/>
    <cellStyle name="Normal 2 2 2 2 2 3 2 3 2 2 2 2" xfId="6407"/>
    <cellStyle name="Normal 2 2 2 2 2 3 2 3 2 2 2 2 2" xfId="6408"/>
    <cellStyle name="Normal 2 2 2 2 2 3 2 3 2 2 2 3" xfId="6409"/>
    <cellStyle name="Normal 2 2 2 2 2 3 2 3 2 2 3" xfId="6410"/>
    <cellStyle name="Normal 2 2 2 2 2 3 2 3 2 2 3 2" xfId="6411"/>
    <cellStyle name="Normal 2 2 2 2 2 3 2 3 2 2 4" xfId="6412"/>
    <cellStyle name="Normal 2 2 2 2 2 3 2 3 2 3" xfId="6413"/>
    <cellStyle name="Normal 2 2 2 2 2 3 2 3 2 3 2" xfId="6414"/>
    <cellStyle name="Normal 2 2 2 2 2 3 2 3 2 3 2 2" xfId="6415"/>
    <cellStyle name="Normal 2 2 2 2 2 3 2 3 2 3 3" xfId="6416"/>
    <cellStyle name="Normal 2 2 2 2 2 3 2 3 2 4" xfId="6417"/>
    <cellStyle name="Normal 2 2 2 2 2 3 2 3 2 4 2" xfId="6418"/>
    <cellStyle name="Normal 2 2 2 2 2 3 2 3 2 5" xfId="6419"/>
    <cellStyle name="Normal 2 2 2 2 2 3 2 3 3" xfId="3652"/>
    <cellStyle name="Normal 2 2 2 2 2 3 2 3 3 2" xfId="6420"/>
    <cellStyle name="Normal 2 2 2 2 2 3 2 3 3 2 2" xfId="6421"/>
    <cellStyle name="Normal 2 2 2 2 2 3 2 3 3 2 2 2" xfId="6422"/>
    <cellStyle name="Normal 2 2 2 2 2 3 2 3 3 2 3" xfId="6423"/>
    <cellStyle name="Normal 2 2 2 2 2 3 2 3 3 3" xfId="6424"/>
    <cellStyle name="Normal 2 2 2 2 2 3 2 3 3 3 2" xfId="6425"/>
    <cellStyle name="Normal 2 2 2 2 2 3 2 3 3 4" xfId="6426"/>
    <cellStyle name="Normal 2 2 2 2 2 3 2 3 4" xfId="6427"/>
    <cellStyle name="Normal 2 2 2 2 2 3 2 3 4 2" xfId="6428"/>
    <cellStyle name="Normal 2 2 2 2 2 3 2 3 4 2 2" xfId="6429"/>
    <cellStyle name="Normal 2 2 2 2 2 3 2 3 4 3" xfId="6430"/>
    <cellStyle name="Normal 2 2 2 2 2 3 2 3 5" xfId="6431"/>
    <cellStyle name="Normal 2 2 2 2 2 3 2 3 5 2" xfId="6432"/>
    <cellStyle name="Normal 2 2 2 2 2 3 2 3 6" xfId="6433"/>
    <cellStyle name="Normal 2 2 2 2 2 3 2 4" xfId="1612"/>
    <cellStyle name="Normal 2 2 2 2 2 3 2 4 2" xfId="4332"/>
    <cellStyle name="Normal 2 2 2 2 2 3 2 4 2 2" xfId="6434"/>
    <cellStyle name="Normal 2 2 2 2 2 3 2 4 2 2 2" xfId="6435"/>
    <cellStyle name="Normal 2 2 2 2 2 3 2 4 2 2 2 2" xfId="6436"/>
    <cellStyle name="Normal 2 2 2 2 2 3 2 4 2 2 3" xfId="6437"/>
    <cellStyle name="Normal 2 2 2 2 2 3 2 4 2 3" xfId="6438"/>
    <cellStyle name="Normal 2 2 2 2 2 3 2 4 2 3 2" xfId="6439"/>
    <cellStyle name="Normal 2 2 2 2 2 3 2 4 2 4" xfId="6440"/>
    <cellStyle name="Normal 2 2 2 2 2 3 2 4 3" xfId="6441"/>
    <cellStyle name="Normal 2 2 2 2 2 3 2 4 3 2" xfId="6442"/>
    <cellStyle name="Normal 2 2 2 2 2 3 2 4 3 2 2" xfId="6443"/>
    <cellStyle name="Normal 2 2 2 2 2 3 2 4 3 3" xfId="6444"/>
    <cellStyle name="Normal 2 2 2 2 2 3 2 4 4" xfId="6445"/>
    <cellStyle name="Normal 2 2 2 2 2 3 2 4 4 2" xfId="6446"/>
    <cellStyle name="Normal 2 2 2 2 2 3 2 4 5" xfId="6447"/>
    <cellStyle name="Normal 2 2 2 2 2 3 2 5" xfId="2972"/>
    <cellStyle name="Normal 2 2 2 2 2 3 2 5 2" xfId="6448"/>
    <cellStyle name="Normal 2 2 2 2 2 3 2 5 2 2" xfId="6449"/>
    <cellStyle name="Normal 2 2 2 2 2 3 2 5 2 2 2" xfId="6450"/>
    <cellStyle name="Normal 2 2 2 2 2 3 2 5 2 3" xfId="6451"/>
    <cellStyle name="Normal 2 2 2 2 2 3 2 5 3" xfId="6452"/>
    <cellStyle name="Normal 2 2 2 2 2 3 2 5 3 2" xfId="6453"/>
    <cellStyle name="Normal 2 2 2 2 2 3 2 5 4" xfId="6454"/>
    <cellStyle name="Normal 2 2 2 2 2 3 2 6" xfId="6455"/>
    <cellStyle name="Normal 2 2 2 2 2 3 2 6 2" xfId="6456"/>
    <cellStyle name="Normal 2 2 2 2 2 3 2 6 2 2" xfId="6457"/>
    <cellStyle name="Normal 2 2 2 2 2 3 2 6 3" xfId="6458"/>
    <cellStyle name="Normal 2 2 2 2 2 3 2 7" xfId="6459"/>
    <cellStyle name="Normal 2 2 2 2 2 3 2 7 2" xfId="6460"/>
    <cellStyle name="Normal 2 2 2 2 2 3 2 8" xfId="6461"/>
    <cellStyle name="Normal 2 2 2 2 2 3 3" xfId="388"/>
    <cellStyle name="Normal 2 2 2 2 2 3 3 2" xfId="1068"/>
    <cellStyle name="Normal 2 2 2 2 2 3 3 2 2" xfId="2428"/>
    <cellStyle name="Normal 2 2 2 2 2 3 3 2 2 2" xfId="5148"/>
    <cellStyle name="Normal 2 2 2 2 2 3 3 2 2 2 2" xfId="6462"/>
    <cellStyle name="Normal 2 2 2 2 2 3 3 2 2 2 2 2" xfId="6463"/>
    <cellStyle name="Normal 2 2 2 2 2 3 3 2 2 2 2 2 2" xfId="6464"/>
    <cellStyle name="Normal 2 2 2 2 2 3 3 2 2 2 2 3" xfId="6465"/>
    <cellStyle name="Normal 2 2 2 2 2 3 3 2 2 2 3" xfId="6466"/>
    <cellStyle name="Normal 2 2 2 2 2 3 3 2 2 2 3 2" xfId="6467"/>
    <cellStyle name="Normal 2 2 2 2 2 3 3 2 2 2 4" xfId="6468"/>
    <cellStyle name="Normal 2 2 2 2 2 3 3 2 2 3" xfId="6469"/>
    <cellStyle name="Normal 2 2 2 2 2 3 3 2 2 3 2" xfId="6470"/>
    <cellStyle name="Normal 2 2 2 2 2 3 3 2 2 3 2 2" xfId="6471"/>
    <cellStyle name="Normal 2 2 2 2 2 3 3 2 2 3 3" xfId="6472"/>
    <cellStyle name="Normal 2 2 2 2 2 3 3 2 2 4" xfId="6473"/>
    <cellStyle name="Normal 2 2 2 2 2 3 3 2 2 4 2" xfId="6474"/>
    <cellStyle name="Normal 2 2 2 2 2 3 3 2 2 5" xfId="6475"/>
    <cellStyle name="Normal 2 2 2 2 2 3 3 2 3" xfId="3788"/>
    <cellStyle name="Normal 2 2 2 2 2 3 3 2 3 2" xfId="6476"/>
    <cellStyle name="Normal 2 2 2 2 2 3 3 2 3 2 2" xfId="6477"/>
    <cellStyle name="Normal 2 2 2 2 2 3 3 2 3 2 2 2" xfId="6478"/>
    <cellStyle name="Normal 2 2 2 2 2 3 3 2 3 2 3" xfId="6479"/>
    <cellStyle name="Normal 2 2 2 2 2 3 3 2 3 3" xfId="6480"/>
    <cellStyle name="Normal 2 2 2 2 2 3 3 2 3 3 2" xfId="6481"/>
    <cellStyle name="Normal 2 2 2 2 2 3 3 2 3 4" xfId="6482"/>
    <cellStyle name="Normal 2 2 2 2 2 3 3 2 4" xfId="6483"/>
    <cellStyle name="Normal 2 2 2 2 2 3 3 2 4 2" xfId="6484"/>
    <cellStyle name="Normal 2 2 2 2 2 3 3 2 4 2 2" xfId="6485"/>
    <cellStyle name="Normal 2 2 2 2 2 3 3 2 4 3" xfId="6486"/>
    <cellStyle name="Normal 2 2 2 2 2 3 3 2 5" xfId="6487"/>
    <cellStyle name="Normal 2 2 2 2 2 3 3 2 5 2" xfId="6488"/>
    <cellStyle name="Normal 2 2 2 2 2 3 3 2 6" xfId="6489"/>
    <cellStyle name="Normal 2 2 2 2 2 3 3 3" xfId="1748"/>
    <cellStyle name="Normal 2 2 2 2 2 3 3 3 2" xfId="4468"/>
    <cellStyle name="Normal 2 2 2 2 2 3 3 3 2 2" xfId="6490"/>
    <cellStyle name="Normal 2 2 2 2 2 3 3 3 2 2 2" xfId="6491"/>
    <cellStyle name="Normal 2 2 2 2 2 3 3 3 2 2 2 2" xfId="6492"/>
    <cellStyle name="Normal 2 2 2 2 2 3 3 3 2 2 3" xfId="6493"/>
    <cellStyle name="Normal 2 2 2 2 2 3 3 3 2 3" xfId="6494"/>
    <cellStyle name="Normal 2 2 2 2 2 3 3 3 2 3 2" xfId="6495"/>
    <cellStyle name="Normal 2 2 2 2 2 3 3 3 2 4" xfId="6496"/>
    <cellStyle name="Normal 2 2 2 2 2 3 3 3 3" xfId="6497"/>
    <cellStyle name="Normal 2 2 2 2 2 3 3 3 3 2" xfId="6498"/>
    <cellStyle name="Normal 2 2 2 2 2 3 3 3 3 2 2" xfId="6499"/>
    <cellStyle name="Normal 2 2 2 2 2 3 3 3 3 3" xfId="6500"/>
    <cellStyle name="Normal 2 2 2 2 2 3 3 3 4" xfId="6501"/>
    <cellStyle name="Normal 2 2 2 2 2 3 3 3 4 2" xfId="6502"/>
    <cellStyle name="Normal 2 2 2 2 2 3 3 3 5" xfId="6503"/>
    <cellStyle name="Normal 2 2 2 2 2 3 3 4" xfId="3108"/>
    <cellStyle name="Normal 2 2 2 2 2 3 3 4 2" xfId="6504"/>
    <cellStyle name="Normal 2 2 2 2 2 3 3 4 2 2" xfId="6505"/>
    <cellStyle name="Normal 2 2 2 2 2 3 3 4 2 2 2" xfId="6506"/>
    <cellStyle name="Normal 2 2 2 2 2 3 3 4 2 3" xfId="6507"/>
    <cellStyle name="Normal 2 2 2 2 2 3 3 4 3" xfId="6508"/>
    <cellStyle name="Normal 2 2 2 2 2 3 3 4 3 2" xfId="6509"/>
    <cellStyle name="Normal 2 2 2 2 2 3 3 4 4" xfId="6510"/>
    <cellStyle name="Normal 2 2 2 2 2 3 3 5" xfId="6511"/>
    <cellStyle name="Normal 2 2 2 2 2 3 3 5 2" xfId="6512"/>
    <cellStyle name="Normal 2 2 2 2 2 3 3 5 2 2" xfId="6513"/>
    <cellStyle name="Normal 2 2 2 2 2 3 3 5 3" xfId="6514"/>
    <cellStyle name="Normal 2 2 2 2 2 3 3 6" xfId="6515"/>
    <cellStyle name="Normal 2 2 2 2 2 3 3 6 2" xfId="6516"/>
    <cellStyle name="Normal 2 2 2 2 2 3 3 7" xfId="6517"/>
    <cellStyle name="Normal 2 2 2 2 2 3 4" xfId="660"/>
    <cellStyle name="Normal 2 2 2 2 2 3 4 2" xfId="1340"/>
    <cellStyle name="Normal 2 2 2 2 2 3 4 2 2" xfId="2700"/>
    <cellStyle name="Normal 2 2 2 2 2 3 4 2 2 2" xfId="5420"/>
    <cellStyle name="Normal 2 2 2 2 2 3 4 2 2 2 2" xfId="6518"/>
    <cellStyle name="Normal 2 2 2 2 2 3 4 2 2 2 2 2" xfId="6519"/>
    <cellStyle name="Normal 2 2 2 2 2 3 4 2 2 2 2 2 2" xfId="6520"/>
    <cellStyle name="Normal 2 2 2 2 2 3 4 2 2 2 2 3" xfId="6521"/>
    <cellStyle name="Normal 2 2 2 2 2 3 4 2 2 2 3" xfId="6522"/>
    <cellStyle name="Normal 2 2 2 2 2 3 4 2 2 2 3 2" xfId="6523"/>
    <cellStyle name="Normal 2 2 2 2 2 3 4 2 2 2 4" xfId="6524"/>
    <cellStyle name="Normal 2 2 2 2 2 3 4 2 2 3" xfId="6525"/>
    <cellStyle name="Normal 2 2 2 2 2 3 4 2 2 3 2" xfId="6526"/>
    <cellStyle name="Normal 2 2 2 2 2 3 4 2 2 3 2 2" xfId="6527"/>
    <cellStyle name="Normal 2 2 2 2 2 3 4 2 2 3 3" xfId="6528"/>
    <cellStyle name="Normal 2 2 2 2 2 3 4 2 2 4" xfId="6529"/>
    <cellStyle name="Normal 2 2 2 2 2 3 4 2 2 4 2" xfId="6530"/>
    <cellStyle name="Normal 2 2 2 2 2 3 4 2 2 5" xfId="6531"/>
    <cellStyle name="Normal 2 2 2 2 2 3 4 2 3" xfId="4060"/>
    <cellStyle name="Normal 2 2 2 2 2 3 4 2 3 2" xfId="6532"/>
    <cellStyle name="Normal 2 2 2 2 2 3 4 2 3 2 2" xfId="6533"/>
    <cellStyle name="Normal 2 2 2 2 2 3 4 2 3 2 2 2" xfId="6534"/>
    <cellStyle name="Normal 2 2 2 2 2 3 4 2 3 2 3" xfId="6535"/>
    <cellStyle name="Normal 2 2 2 2 2 3 4 2 3 3" xfId="6536"/>
    <cellStyle name="Normal 2 2 2 2 2 3 4 2 3 3 2" xfId="6537"/>
    <cellStyle name="Normal 2 2 2 2 2 3 4 2 3 4" xfId="6538"/>
    <cellStyle name="Normal 2 2 2 2 2 3 4 2 4" xfId="6539"/>
    <cellStyle name="Normal 2 2 2 2 2 3 4 2 4 2" xfId="6540"/>
    <cellStyle name="Normal 2 2 2 2 2 3 4 2 4 2 2" xfId="6541"/>
    <cellStyle name="Normal 2 2 2 2 2 3 4 2 4 3" xfId="6542"/>
    <cellStyle name="Normal 2 2 2 2 2 3 4 2 5" xfId="6543"/>
    <cellStyle name="Normal 2 2 2 2 2 3 4 2 5 2" xfId="6544"/>
    <cellStyle name="Normal 2 2 2 2 2 3 4 2 6" xfId="6545"/>
    <cellStyle name="Normal 2 2 2 2 2 3 4 3" xfId="2020"/>
    <cellStyle name="Normal 2 2 2 2 2 3 4 3 2" xfId="4740"/>
    <cellStyle name="Normal 2 2 2 2 2 3 4 3 2 2" xfId="6546"/>
    <cellStyle name="Normal 2 2 2 2 2 3 4 3 2 2 2" xfId="6547"/>
    <cellStyle name="Normal 2 2 2 2 2 3 4 3 2 2 2 2" xfId="6548"/>
    <cellStyle name="Normal 2 2 2 2 2 3 4 3 2 2 3" xfId="6549"/>
    <cellStyle name="Normal 2 2 2 2 2 3 4 3 2 3" xfId="6550"/>
    <cellStyle name="Normal 2 2 2 2 2 3 4 3 2 3 2" xfId="6551"/>
    <cellStyle name="Normal 2 2 2 2 2 3 4 3 2 4" xfId="6552"/>
    <cellStyle name="Normal 2 2 2 2 2 3 4 3 3" xfId="6553"/>
    <cellStyle name="Normal 2 2 2 2 2 3 4 3 3 2" xfId="6554"/>
    <cellStyle name="Normal 2 2 2 2 2 3 4 3 3 2 2" xfId="6555"/>
    <cellStyle name="Normal 2 2 2 2 2 3 4 3 3 3" xfId="6556"/>
    <cellStyle name="Normal 2 2 2 2 2 3 4 3 4" xfId="6557"/>
    <cellStyle name="Normal 2 2 2 2 2 3 4 3 4 2" xfId="6558"/>
    <cellStyle name="Normal 2 2 2 2 2 3 4 3 5" xfId="6559"/>
    <cellStyle name="Normal 2 2 2 2 2 3 4 4" xfId="3380"/>
    <cellStyle name="Normal 2 2 2 2 2 3 4 4 2" xfId="6560"/>
    <cellStyle name="Normal 2 2 2 2 2 3 4 4 2 2" xfId="6561"/>
    <cellStyle name="Normal 2 2 2 2 2 3 4 4 2 2 2" xfId="6562"/>
    <cellStyle name="Normal 2 2 2 2 2 3 4 4 2 3" xfId="6563"/>
    <cellStyle name="Normal 2 2 2 2 2 3 4 4 3" xfId="6564"/>
    <cellStyle name="Normal 2 2 2 2 2 3 4 4 3 2" xfId="6565"/>
    <cellStyle name="Normal 2 2 2 2 2 3 4 4 4" xfId="6566"/>
    <cellStyle name="Normal 2 2 2 2 2 3 4 5" xfId="6567"/>
    <cellStyle name="Normal 2 2 2 2 2 3 4 5 2" xfId="6568"/>
    <cellStyle name="Normal 2 2 2 2 2 3 4 5 2 2" xfId="6569"/>
    <cellStyle name="Normal 2 2 2 2 2 3 4 5 3" xfId="6570"/>
    <cellStyle name="Normal 2 2 2 2 2 3 4 6" xfId="6571"/>
    <cellStyle name="Normal 2 2 2 2 2 3 4 6 2" xfId="6572"/>
    <cellStyle name="Normal 2 2 2 2 2 3 4 7" xfId="6573"/>
    <cellStyle name="Normal 2 2 2 2 2 3 5" xfId="796"/>
    <cellStyle name="Normal 2 2 2 2 2 3 5 2" xfId="2156"/>
    <cellStyle name="Normal 2 2 2 2 2 3 5 2 2" xfId="4876"/>
    <cellStyle name="Normal 2 2 2 2 2 3 5 2 2 2" xfId="6574"/>
    <cellStyle name="Normal 2 2 2 2 2 3 5 2 2 2 2" xfId="6575"/>
    <cellStyle name="Normal 2 2 2 2 2 3 5 2 2 2 2 2" xfId="6576"/>
    <cellStyle name="Normal 2 2 2 2 2 3 5 2 2 2 3" xfId="6577"/>
    <cellStyle name="Normal 2 2 2 2 2 3 5 2 2 3" xfId="6578"/>
    <cellStyle name="Normal 2 2 2 2 2 3 5 2 2 3 2" xfId="6579"/>
    <cellStyle name="Normal 2 2 2 2 2 3 5 2 2 4" xfId="6580"/>
    <cellStyle name="Normal 2 2 2 2 2 3 5 2 3" xfId="6581"/>
    <cellStyle name="Normal 2 2 2 2 2 3 5 2 3 2" xfId="6582"/>
    <cellStyle name="Normal 2 2 2 2 2 3 5 2 3 2 2" xfId="6583"/>
    <cellStyle name="Normal 2 2 2 2 2 3 5 2 3 3" xfId="6584"/>
    <cellStyle name="Normal 2 2 2 2 2 3 5 2 4" xfId="6585"/>
    <cellStyle name="Normal 2 2 2 2 2 3 5 2 4 2" xfId="6586"/>
    <cellStyle name="Normal 2 2 2 2 2 3 5 2 5" xfId="6587"/>
    <cellStyle name="Normal 2 2 2 2 2 3 5 3" xfId="3516"/>
    <cellStyle name="Normal 2 2 2 2 2 3 5 3 2" xfId="6588"/>
    <cellStyle name="Normal 2 2 2 2 2 3 5 3 2 2" xfId="6589"/>
    <cellStyle name="Normal 2 2 2 2 2 3 5 3 2 2 2" xfId="6590"/>
    <cellStyle name="Normal 2 2 2 2 2 3 5 3 2 3" xfId="6591"/>
    <cellStyle name="Normal 2 2 2 2 2 3 5 3 3" xfId="6592"/>
    <cellStyle name="Normal 2 2 2 2 2 3 5 3 3 2" xfId="6593"/>
    <cellStyle name="Normal 2 2 2 2 2 3 5 3 4" xfId="6594"/>
    <cellStyle name="Normal 2 2 2 2 2 3 5 4" xfId="6595"/>
    <cellStyle name="Normal 2 2 2 2 2 3 5 4 2" xfId="6596"/>
    <cellStyle name="Normal 2 2 2 2 2 3 5 4 2 2" xfId="6597"/>
    <cellStyle name="Normal 2 2 2 2 2 3 5 4 3" xfId="6598"/>
    <cellStyle name="Normal 2 2 2 2 2 3 5 5" xfId="6599"/>
    <cellStyle name="Normal 2 2 2 2 2 3 5 5 2" xfId="6600"/>
    <cellStyle name="Normal 2 2 2 2 2 3 5 6" xfId="6601"/>
    <cellStyle name="Normal 2 2 2 2 2 3 6" xfId="1476"/>
    <cellStyle name="Normal 2 2 2 2 2 3 6 2" xfId="4196"/>
    <cellStyle name="Normal 2 2 2 2 2 3 6 2 2" xfId="6602"/>
    <cellStyle name="Normal 2 2 2 2 2 3 6 2 2 2" xfId="6603"/>
    <cellStyle name="Normal 2 2 2 2 2 3 6 2 2 2 2" xfId="6604"/>
    <cellStyle name="Normal 2 2 2 2 2 3 6 2 2 3" xfId="6605"/>
    <cellStyle name="Normal 2 2 2 2 2 3 6 2 3" xfId="6606"/>
    <cellStyle name="Normal 2 2 2 2 2 3 6 2 3 2" xfId="6607"/>
    <cellStyle name="Normal 2 2 2 2 2 3 6 2 4" xfId="6608"/>
    <cellStyle name="Normal 2 2 2 2 2 3 6 3" xfId="6609"/>
    <cellStyle name="Normal 2 2 2 2 2 3 6 3 2" xfId="6610"/>
    <cellStyle name="Normal 2 2 2 2 2 3 6 3 2 2" xfId="6611"/>
    <cellStyle name="Normal 2 2 2 2 2 3 6 3 3" xfId="6612"/>
    <cellStyle name="Normal 2 2 2 2 2 3 6 4" xfId="6613"/>
    <cellStyle name="Normal 2 2 2 2 2 3 6 4 2" xfId="6614"/>
    <cellStyle name="Normal 2 2 2 2 2 3 6 5" xfId="6615"/>
    <cellStyle name="Normal 2 2 2 2 2 3 7" xfId="2836"/>
    <cellStyle name="Normal 2 2 2 2 2 3 7 2" xfId="6616"/>
    <cellStyle name="Normal 2 2 2 2 2 3 7 2 2" xfId="6617"/>
    <cellStyle name="Normal 2 2 2 2 2 3 7 2 2 2" xfId="6618"/>
    <cellStyle name="Normal 2 2 2 2 2 3 7 2 3" xfId="6619"/>
    <cellStyle name="Normal 2 2 2 2 2 3 7 3" xfId="6620"/>
    <cellStyle name="Normal 2 2 2 2 2 3 7 3 2" xfId="6621"/>
    <cellStyle name="Normal 2 2 2 2 2 3 7 4" xfId="6622"/>
    <cellStyle name="Normal 2 2 2 2 2 3 8" xfId="6623"/>
    <cellStyle name="Normal 2 2 2 2 2 3 8 2" xfId="6624"/>
    <cellStyle name="Normal 2 2 2 2 2 3 8 2 2" xfId="6625"/>
    <cellStyle name="Normal 2 2 2 2 2 3 8 3" xfId="6626"/>
    <cellStyle name="Normal 2 2 2 2 2 3 9" xfId="6627"/>
    <cellStyle name="Normal 2 2 2 2 2 3 9 2" xfId="6628"/>
    <cellStyle name="Normal 2 2 2 2 2 4" xfId="184"/>
    <cellStyle name="Normal 2 2 2 2 2 4 2" xfId="456"/>
    <cellStyle name="Normal 2 2 2 2 2 4 2 2" xfId="1136"/>
    <cellStyle name="Normal 2 2 2 2 2 4 2 2 2" xfId="2496"/>
    <cellStyle name="Normal 2 2 2 2 2 4 2 2 2 2" xfId="5216"/>
    <cellStyle name="Normal 2 2 2 2 2 4 2 2 2 2 2" xfId="6629"/>
    <cellStyle name="Normal 2 2 2 2 2 4 2 2 2 2 2 2" xfId="6630"/>
    <cellStyle name="Normal 2 2 2 2 2 4 2 2 2 2 2 2 2" xfId="6631"/>
    <cellStyle name="Normal 2 2 2 2 2 4 2 2 2 2 2 3" xfId="6632"/>
    <cellStyle name="Normal 2 2 2 2 2 4 2 2 2 2 3" xfId="6633"/>
    <cellStyle name="Normal 2 2 2 2 2 4 2 2 2 2 3 2" xfId="6634"/>
    <cellStyle name="Normal 2 2 2 2 2 4 2 2 2 2 4" xfId="6635"/>
    <cellStyle name="Normal 2 2 2 2 2 4 2 2 2 3" xfId="6636"/>
    <cellStyle name="Normal 2 2 2 2 2 4 2 2 2 3 2" xfId="6637"/>
    <cellStyle name="Normal 2 2 2 2 2 4 2 2 2 3 2 2" xfId="6638"/>
    <cellStyle name="Normal 2 2 2 2 2 4 2 2 2 3 3" xfId="6639"/>
    <cellStyle name="Normal 2 2 2 2 2 4 2 2 2 4" xfId="6640"/>
    <cellStyle name="Normal 2 2 2 2 2 4 2 2 2 4 2" xfId="6641"/>
    <cellStyle name="Normal 2 2 2 2 2 4 2 2 2 5" xfId="6642"/>
    <cellStyle name="Normal 2 2 2 2 2 4 2 2 3" xfId="3856"/>
    <cellStyle name="Normal 2 2 2 2 2 4 2 2 3 2" xfId="6643"/>
    <cellStyle name="Normal 2 2 2 2 2 4 2 2 3 2 2" xfId="6644"/>
    <cellStyle name="Normal 2 2 2 2 2 4 2 2 3 2 2 2" xfId="6645"/>
    <cellStyle name="Normal 2 2 2 2 2 4 2 2 3 2 3" xfId="6646"/>
    <cellStyle name="Normal 2 2 2 2 2 4 2 2 3 3" xfId="6647"/>
    <cellStyle name="Normal 2 2 2 2 2 4 2 2 3 3 2" xfId="6648"/>
    <cellStyle name="Normal 2 2 2 2 2 4 2 2 3 4" xfId="6649"/>
    <cellStyle name="Normal 2 2 2 2 2 4 2 2 4" xfId="6650"/>
    <cellStyle name="Normal 2 2 2 2 2 4 2 2 4 2" xfId="6651"/>
    <cellStyle name="Normal 2 2 2 2 2 4 2 2 4 2 2" xfId="6652"/>
    <cellStyle name="Normal 2 2 2 2 2 4 2 2 4 3" xfId="6653"/>
    <cellStyle name="Normal 2 2 2 2 2 4 2 2 5" xfId="6654"/>
    <cellStyle name="Normal 2 2 2 2 2 4 2 2 5 2" xfId="6655"/>
    <cellStyle name="Normal 2 2 2 2 2 4 2 2 6" xfId="6656"/>
    <cellStyle name="Normal 2 2 2 2 2 4 2 3" xfId="1816"/>
    <cellStyle name="Normal 2 2 2 2 2 4 2 3 2" xfId="4536"/>
    <cellStyle name="Normal 2 2 2 2 2 4 2 3 2 2" xfId="6657"/>
    <cellStyle name="Normal 2 2 2 2 2 4 2 3 2 2 2" xfId="6658"/>
    <cellStyle name="Normal 2 2 2 2 2 4 2 3 2 2 2 2" xfId="6659"/>
    <cellStyle name="Normal 2 2 2 2 2 4 2 3 2 2 3" xfId="6660"/>
    <cellStyle name="Normal 2 2 2 2 2 4 2 3 2 3" xfId="6661"/>
    <cellStyle name="Normal 2 2 2 2 2 4 2 3 2 3 2" xfId="6662"/>
    <cellStyle name="Normal 2 2 2 2 2 4 2 3 2 4" xfId="6663"/>
    <cellStyle name="Normal 2 2 2 2 2 4 2 3 3" xfId="6664"/>
    <cellStyle name="Normal 2 2 2 2 2 4 2 3 3 2" xfId="6665"/>
    <cellStyle name="Normal 2 2 2 2 2 4 2 3 3 2 2" xfId="6666"/>
    <cellStyle name="Normal 2 2 2 2 2 4 2 3 3 3" xfId="6667"/>
    <cellStyle name="Normal 2 2 2 2 2 4 2 3 4" xfId="6668"/>
    <cellStyle name="Normal 2 2 2 2 2 4 2 3 4 2" xfId="6669"/>
    <cellStyle name="Normal 2 2 2 2 2 4 2 3 5" xfId="6670"/>
    <cellStyle name="Normal 2 2 2 2 2 4 2 4" xfId="3176"/>
    <cellStyle name="Normal 2 2 2 2 2 4 2 4 2" xfId="6671"/>
    <cellStyle name="Normal 2 2 2 2 2 4 2 4 2 2" xfId="6672"/>
    <cellStyle name="Normal 2 2 2 2 2 4 2 4 2 2 2" xfId="6673"/>
    <cellStyle name="Normal 2 2 2 2 2 4 2 4 2 3" xfId="6674"/>
    <cellStyle name="Normal 2 2 2 2 2 4 2 4 3" xfId="6675"/>
    <cellStyle name="Normal 2 2 2 2 2 4 2 4 3 2" xfId="6676"/>
    <cellStyle name="Normal 2 2 2 2 2 4 2 4 4" xfId="6677"/>
    <cellStyle name="Normal 2 2 2 2 2 4 2 5" xfId="6678"/>
    <cellStyle name="Normal 2 2 2 2 2 4 2 5 2" xfId="6679"/>
    <cellStyle name="Normal 2 2 2 2 2 4 2 5 2 2" xfId="6680"/>
    <cellStyle name="Normal 2 2 2 2 2 4 2 5 3" xfId="6681"/>
    <cellStyle name="Normal 2 2 2 2 2 4 2 6" xfId="6682"/>
    <cellStyle name="Normal 2 2 2 2 2 4 2 6 2" xfId="6683"/>
    <cellStyle name="Normal 2 2 2 2 2 4 2 7" xfId="6684"/>
    <cellStyle name="Normal 2 2 2 2 2 4 3" xfId="864"/>
    <cellStyle name="Normal 2 2 2 2 2 4 3 2" xfId="2224"/>
    <cellStyle name="Normal 2 2 2 2 2 4 3 2 2" xfId="4944"/>
    <cellStyle name="Normal 2 2 2 2 2 4 3 2 2 2" xfId="6685"/>
    <cellStyle name="Normal 2 2 2 2 2 4 3 2 2 2 2" xfId="6686"/>
    <cellStyle name="Normal 2 2 2 2 2 4 3 2 2 2 2 2" xfId="6687"/>
    <cellStyle name="Normal 2 2 2 2 2 4 3 2 2 2 3" xfId="6688"/>
    <cellStyle name="Normal 2 2 2 2 2 4 3 2 2 3" xfId="6689"/>
    <cellStyle name="Normal 2 2 2 2 2 4 3 2 2 3 2" xfId="6690"/>
    <cellStyle name="Normal 2 2 2 2 2 4 3 2 2 4" xfId="6691"/>
    <cellStyle name="Normal 2 2 2 2 2 4 3 2 3" xfId="6692"/>
    <cellStyle name="Normal 2 2 2 2 2 4 3 2 3 2" xfId="6693"/>
    <cellStyle name="Normal 2 2 2 2 2 4 3 2 3 2 2" xfId="6694"/>
    <cellStyle name="Normal 2 2 2 2 2 4 3 2 3 3" xfId="6695"/>
    <cellStyle name="Normal 2 2 2 2 2 4 3 2 4" xfId="6696"/>
    <cellStyle name="Normal 2 2 2 2 2 4 3 2 4 2" xfId="6697"/>
    <cellStyle name="Normal 2 2 2 2 2 4 3 2 5" xfId="6698"/>
    <cellStyle name="Normal 2 2 2 2 2 4 3 3" xfId="3584"/>
    <cellStyle name="Normal 2 2 2 2 2 4 3 3 2" xfId="6699"/>
    <cellStyle name="Normal 2 2 2 2 2 4 3 3 2 2" xfId="6700"/>
    <cellStyle name="Normal 2 2 2 2 2 4 3 3 2 2 2" xfId="6701"/>
    <cellStyle name="Normal 2 2 2 2 2 4 3 3 2 3" xfId="6702"/>
    <cellStyle name="Normal 2 2 2 2 2 4 3 3 3" xfId="6703"/>
    <cellStyle name="Normal 2 2 2 2 2 4 3 3 3 2" xfId="6704"/>
    <cellStyle name="Normal 2 2 2 2 2 4 3 3 4" xfId="6705"/>
    <cellStyle name="Normal 2 2 2 2 2 4 3 4" xfId="6706"/>
    <cellStyle name="Normal 2 2 2 2 2 4 3 4 2" xfId="6707"/>
    <cellStyle name="Normal 2 2 2 2 2 4 3 4 2 2" xfId="6708"/>
    <cellStyle name="Normal 2 2 2 2 2 4 3 4 3" xfId="6709"/>
    <cellStyle name="Normal 2 2 2 2 2 4 3 5" xfId="6710"/>
    <cellStyle name="Normal 2 2 2 2 2 4 3 5 2" xfId="6711"/>
    <cellStyle name="Normal 2 2 2 2 2 4 3 6" xfId="6712"/>
    <cellStyle name="Normal 2 2 2 2 2 4 4" xfId="1544"/>
    <cellStyle name="Normal 2 2 2 2 2 4 4 2" xfId="4264"/>
    <cellStyle name="Normal 2 2 2 2 2 4 4 2 2" xfId="6713"/>
    <cellStyle name="Normal 2 2 2 2 2 4 4 2 2 2" xfId="6714"/>
    <cellStyle name="Normal 2 2 2 2 2 4 4 2 2 2 2" xfId="6715"/>
    <cellStyle name="Normal 2 2 2 2 2 4 4 2 2 3" xfId="6716"/>
    <cellStyle name="Normal 2 2 2 2 2 4 4 2 3" xfId="6717"/>
    <cellStyle name="Normal 2 2 2 2 2 4 4 2 3 2" xfId="6718"/>
    <cellStyle name="Normal 2 2 2 2 2 4 4 2 4" xfId="6719"/>
    <cellStyle name="Normal 2 2 2 2 2 4 4 3" xfId="6720"/>
    <cellStyle name="Normal 2 2 2 2 2 4 4 3 2" xfId="6721"/>
    <cellStyle name="Normal 2 2 2 2 2 4 4 3 2 2" xfId="6722"/>
    <cellStyle name="Normal 2 2 2 2 2 4 4 3 3" xfId="6723"/>
    <cellStyle name="Normal 2 2 2 2 2 4 4 4" xfId="6724"/>
    <cellStyle name="Normal 2 2 2 2 2 4 4 4 2" xfId="6725"/>
    <cellStyle name="Normal 2 2 2 2 2 4 4 5" xfId="6726"/>
    <cellStyle name="Normal 2 2 2 2 2 4 5" xfId="2904"/>
    <cellStyle name="Normal 2 2 2 2 2 4 5 2" xfId="6727"/>
    <cellStyle name="Normal 2 2 2 2 2 4 5 2 2" xfId="6728"/>
    <cellStyle name="Normal 2 2 2 2 2 4 5 2 2 2" xfId="6729"/>
    <cellStyle name="Normal 2 2 2 2 2 4 5 2 3" xfId="6730"/>
    <cellStyle name="Normal 2 2 2 2 2 4 5 3" xfId="6731"/>
    <cellStyle name="Normal 2 2 2 2 2 4 5 3 2" xfId="6732"/>
    <cellStyle name="Normal 2 2 2 2 2 4 5 4" xfId="6733"/>
    <cellStyle name="Normal 2 2 2 2 2 4 6" xfId="6734"/>
    <cellStyle name="Normal 2 2 2 2 2 4 6 2" xfId="6735"/>
    <cellStyle name="Normal 2 2 2 2 2 4 6 2 2" xfId="6736"/>
    <cellStyle name="Normal 2 2 2 2 2 4 6 3" xfId="6737"/>
    <cellStyle name="Normal 2 2 2 2 2 4 7" xfId="6738"/>
    <cellStyle name="Normal 2 2 2 2 2 4 7 2" xfId="6739"/>
    <cellStyle name="Normal 2 2 2 2 2 4 8" xfId="6740"/>
    <cellStyle name="Normal 2 2 2 2 2 5" xfId="320"/>
    <cellStyle name="Normal 2 2 2 2 2 5 2" xfId="1000"/>
    <cellStyle name="Normal 2 2 2 2 2 5 2 2" xfId="2360"/>
    <cellStyle name="Normal 2 2 2 2 2 5 2 2 2" xfId="5080"/>
    <cellStyle name="Normal 2 2 2 2 2 5 2 2 2 2" xfId="6741"/>
    <cellStyle name="Normal 2 2 2 2 2 5 2 2 2 2 2" xfId="6742"/>
    <cellStyle name="Normal 2 2 2 2 2 5 2 2 2 2 2 2" xfId="6743"/>
    <cellStyle name="Normal 2 2 2 2 2 5 2 2 2 2 3" xfId="6744"/>
    <cellStyle name="Normal 2 2 2 2 2 5 2 2 2 3" xfId="6745"/>
    <cellStyle name="Normal 2 2 2 2 2 5 2 2 2 3 2" xfId="6746"/>
    <cellStyle name="Normal 2 2 2 2 2 5 2 2 2 4" xfId="6747"/>
    <cellStyle name="Normal 2 2 2 2 2 5 2 2 3" xfId="6748"/>
    <cellStyle name="Normal 2 2 2 2 2 5 2 2 3 2" xfId="6749"/>
    <cellStyle name="Normal 2 2 2 2 2 5 2 2 3 2 2" xfId="6750"/>
    <cellStyle name="Normal 2 2 2 2 2 5 2 2 3 3" xfId="6751"/>
    <cellStyle name="Normal 2 2 2 2 2 5 2 2 4" xfId="6752"/>
    <cellStyle name="Normal 2 2 2 2 2 5 2 2 4 2" xfId="6753"/>
    <cellStyle name="Normal 2 2 2 2 2 5 2 2 5" xfId="6754"/>
    <cellStyle name="Normal 2 2 2 2 2 5 2 3" xfId="3720"/>
    <cellStyle name="Normal 2 2 2 2 2 5 2 3 2" xfId="6755"/>
    <cellStyle name="Normal 2 2 2 2 2 5 2 3 2 2" xfId="6756"/>
    <cellStyle name="Normal 2 2 2 2 2 5 2 3 2 2 2" xfId="6757"/>
    <cellStyle name="Normal 2 2 2 2 2 5 2 3 2 3" xfId="6758"/>
    <cellStyle name="Normal 2 2 2 2 2 5 2 3 3" xfId="6759"/>
    <cellStyle name="Normal 2 2 2 2 2 5 2 3 3 2" xfId="6760"/>
    <cellStyle name="Normal 2 2 2 2 2 5 2 3 4" xfId="6761"/>
    <cellStyle name="Normal 2 2 2 2 2 5 2 4" xfId="6762"/>
    <cellStyle name="Normal 2 2 2 2 2 5 2 4 2" xfId="6763"/>
    <cellStyle name="Normal 2 2 2 2 2 5 2 4 2 2" xfId="6764"/>
    <cellStyle name="Normal 2 2 2 2 2 5 2 4 3" xfId="6765"/>
    <cellStyle name="Normal 2 2 2 2 2 5 2 5" xfId="6766"/>
    <cellStyle name="Normal 2 2 2 2 2 5 2 5 2" xfId="6767"/>
    <cellStyle name="Normal 2 2 2 2 2 5 2 6" xfId="6768"/>
    <cellStyle name="Normal 2 2 2 2 2 5 3" xfId="1680"/>
    <cellStyle name="Normal 2 2 2 2 2 5 3 2" xfId="4400"/>
    <cellStyle name="Normal 2 2 2 2 2 5 3 2 2" xfId="6769"/>
    <cellStyle name="Normal 2 2 2 2 2 5 3 2 2 2" xfId="6770"/>
    <cellStyle name="Normal 2 2 2 2 2 5 3 2 2 2 2" xfId="6771"/>
    <cellStyle name="Normal 2 2 2 2 2 5 3 2 2 3" xfId="6772"/>
    <cellStyle name="Normal 2 2 2 2 2 5 3 2 3" xfId="6773"/>
    <cellStyle name="Normal 2 2 2 2 2 5 3 2 3 2" xfId="6774"/>
    <cellStyle name="Normal 2 2 2 2 2 5 3 2 4" xfId="6775"/>
    <cellStyle name="Normal 2 2 2 2 2 5 3 3" xfId="6776"/>
    <cellStyle name="Normal 2 2 2 2 2 5 3 3 2" xfId="6777"/>
    <cellStyle name="Normal 2 2 2 2 2 5 3 3 2 2" xfId="6778"/>
    <cellStyle name="Normal 2 2 2 2 2 5 3 3 3" xfId="6779"/>
    <cellStyle name="Normal 2 2 2 2 2 5 3 4" xfId="6780"/>
    <cellStyle name="Normal 2 2 2 2 2 5 3 4 2" xfId="6781"/>
    <cellStyle name="Normal 2 2 2 2 2 5 3 5" xfId="6782"/>
    <cellStyle name="Normal 2 2 2 2 2 5 4" xfId="3040"/>
    <cellStyle name="Normal 2 2 2 2 2 5 4 2" xfId="6783"/>
    <cellStyle name="Normal 2 2 2 2 2 5 4 2 2" xfId="6784"/>
    <cellStyle name="Normal 2 2 2 2 2 5 4 2 2 2" xfId="6785"/>
    <cellStyle name="Normal 2 2 2 2 2 5 4 2 3" xfId="6786"/>
    <cellStyle name="Normal 2 2 2 2 2 5 4 3" xfId="6787"/>
    <cellStyle name="Normal 2 2 2 2 2 5 4 3 2" xfId="6788"/>
    <cellStyle name="Normal 2 2 2 2 2 5 4 4" xfId="6789"/>
    <cellStyle name="Normal 2 2 2 2 2 5 5" xfId="6790"/>
    <cellStyle name="Normal 2 2 2 2 2 5 5 2" xfId="6791"/>
    <cellStyle name="Normal 2 2 2 2 2 5 5 2 2" xfId="6792"/>
    <cellStyle name="Normal 2 2 2 2 2 5 5 3" xfId="6793"/>
    <cellStyle name="Normal 2 2 2 2 2 5 6" xfId="6794"/>
    <cellStyle name="Normal 2 2 2 2 2 5 6 2" xfId="6795"/>
    <cellStyle name="Normal 2 2 2 2 2 5 7" xfId="6796"/>
    <cellStyle name="Normal 2 2 2 2 2 6" xfId="592"/>
    <cellStyle name="Normal 2 2 2 2 2 6 2" xfId="1272"/>
    <cellStyle name="Normal 2 2 2 2 2 6 2 2" xfId="2632"/>
    <cellStyle name="Normal 2 2 2 2 2 6 2 2 2" xfId="5352"/>
    <cellStyle name="Normal 2 2 2 2 2 6 2 2 2 2" xfId="6797"/>
    <cellStyle name="Normal 2 2 2 2 2 6 2 2 2 2 2" xfId="6798"/>
    <cellStyle name="Normal 2 2 2 2 2 6 2 2 2 2 2 2" xfId="6799"/>
    <cellStyle name="Normal 2 2 2 2 2 6 2 2 2 2 3" xfId="6800"/>
    <cellStyle name="Normal 2 2 2 2 2 6 2 2 2 3" xfId="6801"/>
    <cellStyle name="Normal 2 2 2 2 2 6 2 2 2 3 2" xfId="6802"/>
    <cellStyle name="Normal 2 2 2 2 2 6 2 2 2 4" xfId="6803"/>
    <cellStyle name="Normal 2 2 2 2 2 6 2 2 3" xfId="6804"/>
    <cellStyle name="Normal 2 2 2 2 2 6 2 2 3 2" xfId="6805"/>
    <cellStyle name="Normal 2 2 2 2 2 6 2 2 3 2 2" xfId="6806"/>
    <cellStyle name="Normal 2 2 2 2 2 6 2 2 3 3" xfId="6807"/>
    <cellStyle name="Normal 2 2 2 2 2 6 2 2 4" xfId="6808"/>
    <cellStyle name="Normal 2 2 2 2 2 6 2 2 4 2" xfId="6809"/>
    <cellStyle name="Normal 2 2 2 2 2 6 2 2 5" xfId="6810"/>
    <cellStyle name="Normal 2 2 2 2 2 6 2 3" xfId="3992"/>
    <cellStyle name="Normal 2 2 2 2 2 6 2 3 2" xfId="6811"/>
    <cellStyle name="Normal 2 2 2 2 2 6 2 3 2 2" xfId="6812"/>
    <cellStyle name="Normal 2 2 2 2 2 6 2 3 2 2 2" xfId="6813"/>
    <cellStyle name="Normal 2 2 2 2 2 6 2 3 2 3" xfId="6814"/>
    <cellStyle name="Normal 2 2 2 2 2 6 2 3 3" xfId="6815"/>
    <cellStyle name="Normal 2 2 2 2 2 6 2 3 3 2" xfId="6816"/>
    <cellStyle name="Normal 2 2 2 2 2 6 2 3 4" xfId="6817"/>
    <cellStyle name="Normal 2 2 2 2 2 6 2 4" xfId="6818"/>
    <cellStyle name="Normal 2 2 2 2 2 6 2 4 2" xfId="6819"/>
    <cellStyle name="Normal 2 2 2 2 2 6 2 4 2 2" xfId="6820"/>
    <cellStyle name="Normal 2 2 2 2 2 6 2 4 3" xfId="6821"/>
    <cellStyle name="Normal 2 2 2 2 2 6 2 5" xfId="6822"/>
    <cellStyle name="Normal 2 2 2 2 2 6 2 5 2" xfId="6823"/>
    <cellStyle name="Normal 2 2 2 2 2 6 2 6" xfId="6824"/>
    <cellStyle name="Normal 2 2 2 2 2 6 3" xfId="1952"/>
    <cellStyle name="Normal 2 2 2 2 2 6 3 2" xfId="4672"/>
    <cellStyle name="Normal 2 2 2 2 2 6 3 2 2" xfId="6825"/>
    <cellStyle name="Normal 2 2 2 2 2 6 3 2 2 2" xfId="6826"/>
    <cellStyle name="Normal 2 2 2 2 2 6 3 2 2 2 2" xfId="6827"/>
    <cellStyle name="Normal 2 2 2 2 2 6 3 2 2 3" xfId="6828"/>
    <cellStyle name="Normal 2 2 2 2 2 6 3 2 3" xfId="6829"/>
    <cellStyle name="Normal 2 2 2 2 2 6 3 2 3 2" xfId="6830"/>
    <cellStyle name="Normal 2 2 2 2 2 6 3 2 4" xfId="6831"/>
    <cellStyle name="Normal 2 2 2 2 2 6 3 3" xfId="6832"/>
    <cellStyle name="Normal 2 2 2 2 2 6 3 3 2" xfId="6833"/>
    <cellStyle name="Normal 2 2 2 2 2 6 3 3 2 2" xfId="6834"/>
    <cellStyle name="Normal 2 2 2 2 2 6 3 3 3" xfId="6835"/>
    <cellStyle name="Normal 2 2 2 2 2 6 3 4" xfId="6836"/>
    <cellStyle name="Normal 2 2 2 2 2 6 3 4 2" xfId="6837"/>
    <cellStyle name="Normal 2 2 2 2 2 6 3 5" xfId="6838"/>
    <cellStyle name="Normal 2 2 2 2 2 6 4" xfId="3312"/>
    <cellStyle name="Normal 2 2 2 2 2 6 4 2" xfId="6839"/>
    <cellStyle name="Normal 2 2 2 2 2 6 4 2 2" xfId="6840"/>
    <cellStyle name="Normal 2 2 2 2 2 6 4 2 2 2" xfId="6841"/>
    <cellStyle name="Normal 2 2 2 2 2 6 4 2 3" xfId="6842"/>
    <cellStyle name="Normal 2 2 2 2 2 6 4 3" xfId="6843"/>
    <cellStyle name="Normal 2 2 2 2 2 6 4 3 2" xfId="6844"/>
    <cellStyle name="Normal 2 2 2 2 2 6 4 4" xfId="6845"/>
    <cellStyle name="Normal 2 2 2 2 2 6 5" xfId="6846"/>
    <cellStyle name="Normal 2 2 2 2 2 6 5 2" xfId="6847"/>
    <cellStyle name="Normal 2 2 2 2 2 6 5 2 2" xfId="6848"/>
    <cellStyle name="Normal 2 2 2 2 2 6 5 3" xfId="6849"/>
    <cellStyle name="Normal 2 2 2 2 2 6 6" xfId="6850"/>
    <cellStyle name="Normal 2 2 2 2 2 6 6 2" xfId="6851"/>
    <cellStyle name="Normal 2 2 2 2 2 6 7" xfId="6852"/>
    <cellStyle name="Normal 2 2 2 2 2 7" xfId="728"/>
    <cellStyle name="Normal 2 2 2 2 2 7 2" xfId="2088"/>
    <cellStyle name="Normal 2 2 2 2 2 7 2 2" xfId="4808"/>
    <cellStyle name="Normal 2 2 2 2 2 7 2 2 2" xfId="6853"/>
    <cellStyle name="Normal 2 2 2 2 2 7 2 2 2 2" xfId="6854"/>
    <cellStyle name="Normal 2 2 2 2 2 7 2 2 2 2 2" xfId="6855"/>
    <cellStyle name="Normal 2 2 2 2 2 7 2 2 2 3" xfId="6856"/>
    <cellStyle name="Normal 2 2 2 2 2 7 2 2 3" xfId="6857"/>
    <cellStyle name="Normal 2 2 2 2 2 7 2 2 3 2" xfId="6858"/>
    <cellStyle name="Normal 2 2 2 2 2 7 2 2 4" xfId="6859"/>
    <cellStyle name="Normal 2 2 2 2 2 7 2 3" xfId="6860"/>
    <cellStyle name="Normal 2 2 2 2 2 7 2 3 2" xfId="6861"/>
    <cellStyle name="Normal 2 2 2 2 2 7 2 3 2 2" xfId="6862"/>
    <cellStyle name="Normal 2 2 2 2 2 7 2 3 3" xfId="6863"/>
    <cellStyle name="Normal 2 2 2 2 2 7 2 4" xfId="6864"/>
    <cellStyle name="Normal 2 2 2 2 2 7 2 4 2" xfId="6865"/>
    <cellStyle name="Normal 2 2 2 2 2 7 2 5" xfId="6866"/>
    <cellStyle name="Normal 2 2 2 2 2 7 3" xfId="3448"/>
    <cellStyle name="Normal 2 2 2 2 2 7 3 2" xfId="6867"/>
    <cellStyle name="Normal 2 2 2 2 2 7 3 2 2" xfId="6868"/>
    <cellStyle name="Normal 2 2 2 2 2 7 3 2 2 2" xfId="6869"/>
    <cellStyle name="Normal 2 2 2 2 2 7 3 2 3" xfId="6870"/>
    <cellStyle name="Normal 2 2 2 2 2 7 3 3" xfId="6871"/>
    <cellStyle name="Normal 2 2 2 2 2 7 3 3 2" xfId="6872"/>
    <cellStyle name="Normal 2 2 2 2 2 7 3 4" xfId="6873"/>
    <cellStyle name="Normal 2 2 2 2 2 7 4" xfId="6874"/>
    <cellStyle name="Normal 2 2 2 2 2 7 4 2" xfId="6875"/>
    <cellStyle name="Normal 2 2 2 2 2 7 4 2 2" xfId="6876"/>
    <cellStyle name="Normal 2 2 2 2 2 7 4 3" xfId="6877"/>
    <cellStyle name="Normal 2 2 2 2 2 7 5" xfId="6878"/>
    <cellStyle name="Normal 2 2 2 2 2 7 5 2" xfId="6879"/>
    <cellStyle name="Normal 2 2 2 2 2 7 6" xfId="6880"/>
    <cellStyle name="Normal 2 2 2 2 2 8" xfId="1408"/>
    <cellStyle name="Normal 2 2 2 2 2 8 2" xfId="4128"/>
    <cellStyle name="Normal 2 2 2 2 2 8 2 2" xfId="6881"/>
    <cellStyle name="Normal 2 2 2 2 2 8 2 2 2" xfId="6882"/>
    <cellStyle name="Normal 2 2 2 2 2 8 2 2 2 2" xfId="6883"/>
    <cellStyle name="Normal 2 2 2 2 2 8 2 2 3" xfId="6884"/>
    <cellStyle name="Normal 2 2 2 2 2 8 2 3" xfId="6885"/>
    <cellStyle name="Normal 2 2 2 2 2 8 2 3 2" xfId="6886"/>
    <cellStyle name="Normal 2 2 2 2 2 8 2 4" xfId="6887"/>
    <cellStyle name="Normal 2 2 2 2 2 8 3" xfId="6888"/>
    <cellStyle name="Normal 2 2 2 2 2 8 3 2" xfId="6889"/>
    <cellStyle name="Normal 2 2 2 2 2 8 3 2 2" xfId="6890"/>
    <cellStyle name="Normal 2 2 2 2 2 8 3 3" xfId="6891"/>
    <cellStyle name="Normal 2 2 2 2 2 8 4" xfId="6892"/>
    <cellStyle name="Normal 2 2 2 2 2 8 4 2" xfId="6893"/>
    <cellStyle name="Normal 2 2 2 2 2 8 5" xfId="6894"/>
    <cellStyle name="Normal 2 2 2 2 2 9" xfId="2768"/>
    <cellStyle name="Normal 2 2 2 2 2 9 2" xfId="6895"/>
    <cellStyle name="Normal 2 2 2 2 2 9 2 2" xfId="6896"/>
    <cellStyle name="Normal 2 2 2 2 2 9 2 2 2" xfId="6897"/>
    <cellStyle name="Normal 2 2 2 2 2 9 2 3" xfId="6898"/>
    <cellStyle name="Normal 2 2 2 2 2 9 3" xfId="6899"/>
    <cellStyle name="Normal 2 2 2 2 2 9 3 2" xfId="6900"/>
    <cellStyle name="Normal 2 2 2 2 2 9 4" xfId="6901"/>
    <cellStyle name="Normal 2 2 2 2 3" xfId="64"/>
    <cellStyle name="Normal 2 2 2 2 3 10" xfId="6902"/>
    <cellStyle name="Normal 2 2 2 2 3 10 2" xfId="6903"/>
    <cellStyle name="Normal 2 2 2 2 3 11" xfId="6904"/>
    <cellStyle name="Normal 2 2 2 2 3 2" xfId="132"/>
    <cellStyle name="Normal 2 2 2 2 3 2 10" xfId="6905"/>
    <cellStyle name="Normal 2 2 2 2 3 2 2" xfId="269"/>
    <cellStyle name="Normal 2 2 2 2 3 2 2 2" xfId="541"/>
    <cellStyle name="Normal 2 2 2 2 3 2 2 2 2" xfId="1221"/>
    <cellStyle name="Normal 2 2 2 2 3 2 2 2 2 2" xfId="2581"/>
    <cellStyle name="Normal 2 2 2 2 3 2 2 2 2 2 2" xfId="5301"/>
    <cellStyle name="Normal 2 2 2 2 3 2 2 2 2 2 2 2" xfId="6906"/>
    <cellStyle name="Normal 2 2 2 2 3 2 2 2 2 2 2 2 2" xfId="6907"/>
    <cellStyle name="Normal 2 2 2 2 3 2 2 2 2 2 2 2 2 2" xfId="6908"/>
    <cellStyle name="Normal 2 2 2 2 3 2 2 2 2 2 2 2 3" xfId="6909"/>
    <cellStyle name="Normal 2 2 2 2 3 2 2 2 2 2 2 3" xfId="6910"/>
    <cellStyle name="Normal 2 2 2 2 3 2 2 2 2 2 2 3 2" xfId="6911"/>
    <cellStyle name="Normal 2 2 2 2 3 2 2 2 2 2 2 4" xfId="6912"/>
    <cellStyle name="Normal 2 2 2 2 3 2 2 2 2 2 3" xfId="6913"/>
    <cellStyle name="Normal 2 2 2 2 3 2 2 2 2 2 3 2" xfId="6914"/>
    <cellStyle name="Normal 2 2 2 2 3 2 2 2 2 2 3 2 2" xfId="6915"/>
    <cellStyle name="Normal 2 2 2 2 3 2 2 2 2 2 3 3" xfId="6916"/>
    <cellStyle name="Normal 2 2 2 2 3 2 2 2 2 2 4" xfId="6917"/>
    <cellStyle name="Normal 2 2 2 2 3 2 2 2 2 2 4 2" xfId="6918"/>
    <cellStyle name="Normal 2 2 2 2 3 2 2 2 2 2 5" xfId="6919"/>
    <cellStyle name="Normal 2 2 2 2 3 2 2 2 2 3" xfId="3941"/>
    <cellStyle name="Normal 2 2 2 2 3 2 2 2 2 3 2" xfId="6920"/>
    <cellStyle name="Normal 2 2 2 2 3 2 2 2 2 3 2 2" xfId="6921"/>
    <cellStyle name="Normal 2 2 2 2 3 2 2 2 2 3 2 2 2" xfId="6922"/>
    <cellStyle name="Normal 2 2 2 2 3 2 2 2 2 3 2 3" xfId="6923"/>
    <cellStyle name="Normal 2 2 2 2 3 2 2 2 2 3 3" xfId="6924"/>
    <cellStyle name="Normal 2 2 2 2 3 2 2 2 2 3 3 2" xfId="6925"/>
    <cellStyle name="Normal 2 2 2 2 3 2 2 2 2 3 4" xfId="6926"/>
    <cellStyle name="Normal 2 2 2 2 3 2 2 2 2 4" xfId="6927"/>
    <cellStyle name="Normal 2 2 2 2 3 2 2 2 2 4 2" xfId="6928"/>
    <cellStyle name="Normal 2 2 2 2 3 2 2 2 2 4 2 2" xfId="6929"/>
    <cellStyle name="Normal 2 2 2 2 3 2 2 2 2 4 3" xfId="6930"/>
    <cellStyle name="Normal 2 2 2 2 3 2 2 2 2 5" xfId="6931"/>
    <cellStyle name="Normal 2 2 2 2 3 2 2 2 2 5 2" xfId="6932"/>
    <cellStyle name="Normal 2 2 2 2 3 2 2 2 2 6" xfId="6933"/>
    <cellStyle name="Normal 2 2 2 2 3 2 2 2 3" xfId="1901"/>
    <cellStyle name="Normal 2 2 2 2 3 2 2 2 3 2" xfId="4621"/>
    <cellStyle name="Normal 2 2 2 2 3 2 2 2 3 2 2" xfId="6934"/>
    <cellStyle name="Normal 2 2 2 2 3 2 2 2 3 2 2 2" xfId="6935"/>
    <cellStyle name="Normal 2 2 2 2 3 2 2 2 3 2 2 2 2" xfId="6936"/>
    <cellStyle name="Normal 2 2 2 2 3 2 2 2 3 2 2 3" xfId="6937"/>
    <cellStyle name="Normal 2 2 2 2 3 2 2 2 3 2 3" xfId="6938"/>
    <cellStyle name="Normal 2 2 2 2 3 2 2 2 3 2 3 2" xfId="6939"/>
    <cellStyle name="Normal 2 2 2 2 3 2 2 2 3 2 4" xfId="6940"/>
    <cellStyle name="Normal 2 2 2 2 3 2 2 2 3 3" xfId="6941"/>
    <cellStyle name="Normal 2 2 2 2 3 2 2 2 3 3 2" xfId="6942"/>
    <cellStyle name="Normal 2 2 2 2 3 2 2 2 3 3 2 2" xfId="6943"/>
    <cellStyle name="Normal 2 2 2 2 3 2 2 2 3 3 3" xfId="6944"/>
    <cellStyle name="Normal 2 2 2 2 3 2 2 2 3 4" xfId="6945"/>
    <cellStyle name="Normal 2 2 2 2 3 2 2 2 3 4 2" xfId="6946"/>
    <cellStyle name="Normal 2 2 2 2 3 2 2 2 3 5" xfId="6947"/>
    <cellStyle name="Normal 2 2 2 2 3 2 2 2 4" xfId="3261"/>
    <cellStyle name="Normal 2 2 2 2 3 2 2 2 4 2" xfId="6948"/>
    <cellStyle name="Normal 2 2 2 2 3 2 2 2 4 2 2" xfId="6949"/>
    <cellStyle name="Normal 2 2 2 2 3 2 2 2 4 2 2 2" xfId="6950"/>
    <cellStyle name="Normal 2 2 2 2 3 2 2 2 4 2 3" xfId="6951"/>
    <cellStyle name="Normal 2 2 2 2 3 2 2 2 4 3" xfId="6952"/>
    <cellStyle name="Normal 2 2 2 2 3 2 2 2 4 3 2" xfId="6953"/>
    <cellStyle name="Normal 2 2 2 2 3 2 2 2 4 4" xfId="6954"/>
    <cellStyle name="Normal 2 2 2 2 3 2 2 2 5" xfId="6955"/>
    <cellStyle name="Normal 2 2 2 2 3 2 2 2 5 2" xfId="6956"/>
    <cellStyle name="Normal 2 2 2 2 3 2 2 2 5 2 2" xfId="6957"/>
    <cellStyle name="Normal 2 2 2 2 3 2 2 2 5 3" xfId="6958"/>
    <cellStyle name="Normal 2 2 2 2 3 2 2 2 6" xfId="6959"/>
    <cellStyle name="Normal 2 2 2 2 3 2 2 2 6 2" xfId="6960"/>
    <cellStyle name="Normal 2 2 2 2 3 2 2 2 7" xfId="6961"/>
    <cellStyle name="Normal 2 2 2 2 3 2 2 3" xfId="949"/>
    <cellStyle name="Normal 2 2 2 2 3 2 2 3 2" xfId="2309"/>
    <cellStyle name="Normal 2 2 2 2 3 2 2 3 2 2" xfId="5029"/>
    <cellStyle name="Normal 2 2 2 2 3 2 2 3 2 2 2" xfId="6962"/>
    <cellStyle name="Normal 2 2 2 2 3 2 2 3 2 2 2 2" xfId="6963"/>
    <cellStyle name="Normal 2 2 2 2 3 2 2 3 2 2 2 2 2" xfId="6964"/>
    <cellStyle name="Normal 2 2 2 2 3 2 2 3 2 2 2 3" xfId="6965"/>
    <cellStyle name="Normal 2 2 2 2 3 2 2 3 2 2 3" xfId="6966"/>
    <cellStyle name="Normal 2 2 2 2 3 2 2 3 2 2 3 2" xfId="6967"/>
    <cellStyle name="Normal 2 2 2 2 3 2 2 3 2 2 4" xfId="6968"/>
    <cellStyle name="Normal 2 2 2 2 3 2 2 3 2 3" xfId="6969"/>
    <cellStyle name="Normal 2 2 2 2 3 2 2 3 2 3 2" xfId="6970"/>
    <cellStyle name="Normal 2 2 2 2 3 2 2 3 2 3 2 2" xfId="6971"/>
    <cellStyle name="Normal 2 2 2 2 3 2 2 3 2 3 3" xfId="6972"/>
    <cellStyle name="Normal 2 2 2 2 3 2 2 3 2 4" xfId="6973"/>
    <cellStyle name="Normal 2 2 2 2 3 2 2 3 2 4 2" xfId="6974"/>
    <cellStyle name="Normal 2 2 2 2 3 2 2 3 2 5" xfId="6975"/>
    <cellStyle name="Normal 2 2 2 2 3 2 2 3 3" xfId="3669"/>
    <cellStyle name="Normal 2 2 2 2 3 2 2 3 3 2" xfId="6976"/>
    <cellStyle name="Normal 2 2 2 2 3 2 2 3 3 2 2" xfId="6977"/>
    <cellStyle name="Normal 2 2 2 2 3 2 2 3 3 2 2 2" xfId="6978"/>
    <cellStyle name="Normal 2 2 2 2 3 2 2 3 3 2 3" xfId="6979"/>
    <cellStyle name="Normal 2 2 2 2 3 2 2 3 3 3" xfId="6980"/>
    <cellStyle name="Normal 2 2 2 2 3 2 2 3 3 3 2" xfId="6981"/>
    <cellStyle name="Normal 2 2 2 2 3 2 2 3 3 4" xfId="6982"/>
    <cellStyle name="Normal 2 2 2 2 3 2 2 3 4" xfId="6983"/>
    <cellStyle name="Normal 2 2 2 2 3 2 2 3 4 2" xfId="6984"/>
    <cellStyle name="Normal 2 2 2 2 3 2 2 3 4 2 2" xfId="6985"/>
    <cellStyle name="Normal 2 2 2 2 3 2 2 3 4 3" xfId="6986"/>
    <cellStyle name="Normal 2 2 2 2 3 2 2 3 5" xfId="6987"/>
    <cellStyle name="Normal 2 2 2 2 3 2 2 3 5 2" xfId="6988"/>
    <cellStyle name="Normal 2 2 2 2 3 2 2 3 6" xfId="6989"/>
    <cellStyle name="Normal 2 2 2 2 3 2 2 4" xfId="1629"/>
    <cellStyle name="Normal 2 2 2 2 3 2 2 4 2" xfId="4349"/>
    <cellStyle name="Normal 2 2 2 2 3 2 2 4 2 2" xfId="6990"/>
    <cellStyle name="Normal 2 2 2 2 3 2 2 4 2 2 2" xfId="6991"/>
    <cellStyle name="Normal 2 2 2 2 3 2 2 4 2 2 2 2" xfId="6992"/>
    <cellStyle name="Normal 2 2 2 2 3 2 2 4 2 2 3" xfId="6993"/>
    <cellStyle name="Normal 2 2 2 2 3 2 2 4 2 3" xfId="6994"/>
    <cellStyle name="Normal 2 2 2 2 3 2 2 4 2 3 2" xfId="6995"/>
    <cellStyle name="Normal 2 2 2 2 3 2 2 4 2 4" xfId="6996"/>
    <cellStyle name="Normal 2 2 2 2 3 2 2 4 3" xfId="6997"/>
    <cellStyle name="Normal 2 2 2 2 3 2 2 4 3 2" xfId="6998"/>
    <cellStyle name="Normal 2 2 2 2 3 2 2 4 3 2 2" xfId="6999"/>
    <cellStyle name="Normal 2 2 2 2 3 2 2 4 3 3" xfId="7000"/>
    <cellStyle name="Normal 2 2 2 2 3 2 2 4 4" xfId="7001"/>
    <cellStyle name="Normal 2 2 2 2 3 2 2 4 4 2" xfId="7002"/>
    <cellStyle name="Normal 2 2 2 2 3 2 2 4 5" xfId="7003"/>
    <cellStyle name="Normal 2 2 2 2 3 2 2 5" xfId="2989"/>
    <cellStyle name="Normal 2 2 2 2 3 2 2 5 2" xfId="7004"/>
    <cellStyle name="Normal 2 2 2 2 3 2 2 5 2 2" xfId="7005"/>
    <cellStyle name="Normal 2 2 2 2 3 2 2 5 2 2 2" xfId="7006"/>
    <cellStyle name="Normal 2 2 2 2 3 2 2 5 2 3" xfId="7007"/>
    <cellStyle name="Normal 2 2 2 2 3 2 2 5 3" xfId="7008"/>
    <cellStyle name="Normal 2 2 2 2 3 2 2 5 3 2" xfId="7009"/>
    <cellStyle name="Normal 2 2 2 2 3 2 2 5 4" xfId="7010"/>
    <cellStyle name="Normal 2 2 2 2 3 2 2 6" xfId="7011"/>
    <cellStyle name="Normal 2 2 2 2 3 2 2 6 2" xfId="7012"/>
    <cellStyle name="Normal 2 2 2 2 3 2 2 6 2 2" xfId="7013"/>
    <cellStyle name="Normal 2 2 2 2 3 2 2 6 3" xfId="7014"/>
    <cellStyle name="Normal 2 2 2 2 3 2 2 7" xfId="7015"/>
    <cellStyle name="Normal 2 2 2 2 3 2 2 7 2" xfId="7016"/>
    <cellStyle name="Normal 2 2 2 2 3 2 2 8" xfId="7017"/>
    <cellStyle name="Normal 2 2 2 2 3 2 3" xfId="405"/>
    <cellStyle name="Normal 2 2 2 2 3 2 3 2" xfId="1085"/>
    <cellStyle name="Normal 2 2 2 2 3 2 3 2 2" xfId="2445"/>
    <cellStyle name="Normal 2 2 2 2 3 2 3 2 2 2" xfId="5165"/>
    <cellStyle name="Normal 2 2 2 2 3 2 3 2 2 2 2" xfId="7018"/>
    <cellStyle name="Normal 2 2 2 2 3 2 3 2 2 2 2 2" xfId="7019"/>
    <cellStyle name="Normal 2 2 2 2 3 2 3 2 2 2 2 2 2" xfId="7020"/>
    <cellStyle name="Normal 2 2 2 2 3 2 3 2 2 2 2 3" xfId="7021"/>
    <cellStyle name="Normal 2 2 2 2 3 2 3 2 2 2 3" xfId="7022"/>
    <cellStyle name="Normal 2 2 2 2 3 2 3 2 2 2 3 2" xfId="7023"/>
    <cellStyle name="Normal 2 2 2 2 3 2 3 2 2 2 4" xfId="7024"/>
    <cellStyle name="Normal 2 2 2 2 3 2 3 2 2 3" xfId="7025"/>
    <cellStyle name="Normal 2 2 2 2 3 2 3 2 2 3 2" xfId="7026"/>
    <cellStyle name="Normal 2 2 2 2 3 2 3 2 2 3 2 2" xfId="7027"/>
    <cellStyle name="Normal 2 2 2 2 3 2 3 2 2 3 3" xfId="7028"/>
    <cellStyle name="Normal 2 2 2 2 3 2 3 2 2 4" xfId="7029"/>
    <cellStyle name="Normal 2 2 2 2 3 2 3 2 2 4 2" xfId="7030"/>
    <cellStyle name="Normal 2 2 2 2 3 2 3 2 2 5" xfId="7031"/>
    <cellStyle name="Normal 2 2 2 2 3 2 3 2 3" xfId="3805"/>
    <cellStyle name="Normal 2 2 2 2 3 2 3 2 3 2" xfId="7032"/>
    <cellStyle name="Normal 2 2 2 2 3 2 3 2 3 2 2" xfId="7033"/>
    <cellStyle name="Normal 2 2 2 2 3 2 3 2 3 2 2 2" xfId="7034"/>
    <cellStyle name="Normal 2 2 2 2 3 2 3 2 3 2 3" xfId="7035"/>
    <cellStyle name="Normal 2 2 2 2 3 2 3 2 3 3" xfId="7036"/>
    <cellStyle name="Normal 2 2 2 2 3 2 3 2 3 3 2" xfId="7037"/>
    <cellStyle name="Normal 2 2 2 2 3 2 3 2 3 4" xfId="7038"/>
    <cellStyle name="Normal 2 2 2 2 3 2 3 2 4" xfId="7039"/>
    <cellStyle name="Normal 2 2 2 2 3 2 3 2 4 2" xfId="7040"/>
    <cellStyle name="Normal 2 2 2 2 3 2 3 2 4 2 2" xfId="7041"/>
    <cellStyle name="Normal 2 2 2 2 3 2 3 2 4 3" xfId="7042"/>
    <cellStyle name="Normal 2 2 2 2 3 2 3 2 5" xfId="7043"/>
    <cellStyle name="Normal 2 2 2 2 3 2 3 2 5 2" xfId="7044"/>
    <cellStyle name="Normal 2 2 2 2 3 2 3 2 6" xfId="7045"/>
    <cellStyle name="Normal 2 2 2 2 3 2 3 3" xfId="1765"/>
    <cellStyle name="Normal 2 2 2 2 3 2 3 3 2" xfId="4485"/>
    <cellStyle name="Normal 2 2 2 2 3 2 3 3 2 2" xfId="7046"/>
    <cellStyle name="Normal 2 2 2 2 3 2 3 3 2 2 2" xfId="7047"/>
    <cellStyle name="Normal 2 2 2 2 3 2 3 3 2 2 2 2" xfId="7048"/>
    <cellStyle name="Normal 2 2 2 2 3 2 3 3 2 2 3" xfId="7049"/>
    <cellStyle name="Normal 2 2 2 2 3 2 3 3 2 3" xfId="7050"/>
    <cellStyle name="Normal 2 2 2 2 3 2 3 3 2 3 2" xfId="7051"/>
    <cellStyle name="Normal 2 2 2 2 3 2 3 3 2 4" xfId="7052"/>
    <cellStyle name="Normal 2 2 2 2 3 2 3 3 3" xfId="7053"/>
    <cellStyle name="Normal 2 2 2 2 3 2 3 3 3 2" xfId="7054"/>
    <cellStyle name="Normal 2 2 2 2 3 2 3 3 3 2 2" xfId="7055"/>
    <cellStyle name="Normal 2 2 2 2 3 2 3 3 3 3" xfId="7056"/>
    <cellStyle name="Normal 2 2 2 2 3 2 3 3 4" xfId="7057"/>
    <cellStyle name="Normal 2 2 2 2 3 2 3 3 4 2" xfId="7058"/>
    <cellStyle name="Normal 2 2 2 2 3 2 3 3 5" xfId="7059"/>
    <cellStyle name="Normal 2 2 2 2 3 2 3 4" xfId="3125"/>
    <cellStyle name="Normal 2 2 2 2 3 2 3 4 2" xfId="7060"/>
    <cellStyle name="Normal 2 2 2 2 3 2 3 4 2 2" xfId="7061"/>
    <cellStyle name="Normal 2 2 2 2 3 2 3 4 2 2 2" xfId="7062"/>
    <cellStyle name="Normal 2 2 2 2 3 2 3 4 2 3" xfId="7063"/>
    <cellStyle name="Normal 2 2 2 2 3 2 3 4 3" xfId="7064"/>
    <cellStyle name="Normal 2 2 2 2 3 2 3 4 3 2" xfId="7065"/>
    <cellStyle name="Normal 2 2 2 2 3 2 3 4 4" xfId="7066"/>
    <cellStyle name="Normal 2 2 2 2 3 2 3 5" xfId="7067"/>
    <cellStyle name="Normal 2 2 2 2 3 2 3 5 2" xfId="7068"/>
    <cellStyle name="Normal 2 2 2 2 3 2 3 5 2 2" xfId="7069"/>
    <cellStyle name="Normal 2 2 2 2 3 2 3 5 3" xfId="7070"/>
    <cellStyle name="Normal 2 2 2 2 3 2 3 6" xfId="7071"/>
    <cellStyle name="Normal 2 2 2 2 3 2 3 6 2" xfId="7072"/>
    <cellStyle name="Normal 2 2 2 2 3 2 3 7" xfId="7073"/>
    <cellStyle name="Normal 2 2 2 2 3 2 4" xfId="677"/>
    <cellStyle name="Normal 2 2 2 2 3 2 4 2" xfId="1357"/>
    <cellStyle name="Normal 2 2 2 2 3 2 4 2 2" xfId="2717"/>
    <cellStyle name="Normal 2 2 2 2 3 2 4 2 2 2" xfId="5437"/>
    <cellStyle name="Normal 2 2 2 2 3 2 4 2 2 2 2" xfId="7074"/>
    <cellStyle name="Normal 2 2 2 2 3 2 4 2 2 2 2 2" xfId="7075"/>
    <cellStyle name="Normal 2 2 2 2 3 2 4 2 2 2 2 2 2" xfId="7076"/>
    <cellStyle name="Normal 2 2 2 2 3 2 4 2 2 2 2 3" xfId="7077"/>
    <cellStyle name="Normal 2 2 2 2 3 2 4 2 2 2 3" xfId="7078"/>
    <cellStyle name="Normal 2 2 2 2 3 2 4 2 2 2 3 2" xfId="7079"/>
    <cellStyle name="Normal 2 2 2 2 3 2 4 2 2 2 4" xfId="7080"/>
    <cellStyle name="Normal 2 2 2 2 3 2 4 2 2 3" xfId="7081"/>
    <cellStyle name="Normal 2 2 2 2 3 2 4 2 2 3 2" xfId="7082"/>
    <cellStyle name="Normal 2 2 2 2 3 2 4 2 2 3 2 2" xfId="7083"/>
    <cellStyle name="Normal 2 2 2 2 3 2 4 2 2 3 3" xfId="7084"/>
    <cellStyle name="Normal 2 2 2 2 3 2 4 2 2 4" xfId="7085"/>
    <cellStyle name="Normal 2 2 2 2 3 2 4 2 2 4 2" xfId="7086"/>
    <cellStyle name="Normal 2 2 2 2 3 2 4 2 2 5" xfId="7087"/>
    <cellStyle name="Normal 2 2 2 2 3 2 4 2 3" xfId="4077"/>
    <cellStyle name="Normal 2 2 2 2 3 2 4 2 3 2" xfId="7088"/>
    <cellStyle name="Normal 2 2 2 2 3 2 4 2 3 2 2" xfId="7089"/>
    <cellStyle name="Normal 2 2 2 2 3 2 4 2 3 2 2 2" xfId="7090"/>
    <cellStyle name="Normal 2 2 2 2 3 2 4 2 3 2 3" xfId="7091"/>
    <cellStyle name="Normal 2 2 2 2 3 2 4 2 3 3" xfId="7092"/>
    <cellStyle name="Normal 2 2 2 2 3 2 4 2 3 3 2" xfId="7093"/>
    <cellStyle name="Normal 2 2 2 2 3 2 4 2 3 4" xfId="7094"/>
    <cellStyle name="Normal 2 2 2 2 3 2 4 2 4" xfId="7095"/>
    <cellStyle name="Normal 2 2 2 2 3 2 4 2 4 2" xfId="7096"/>
    <cellStyle name="Normal 2 2 2 2 3 2 4 2 4 2 2" xfId="7097"/>
    <cellStyle name="Normal 2 2 2 2 3 2 4 2 4 3" xfId="7098"/>
    <cellStyle name="Normal 2 2 2 2 3 2 4 2 5" xfId="7099"/>
    <cellStyle name="Normal 2 2 2 2 3 2 4 2 5 2" xfId="7100"/>
    <cellStyle name="Normal 2 2 2 2 3 2 4 2 6" xfId="7101"/>
    <cellStyle name="Normal 2 2 2 2 3 2 4 3" xfId="2037"/>
    <cellStyle name="Normal 2 2 2 2 3 2 4 3 2" xfId="4757"/>
    <cellStyle name="Normal 2 2 2 2 3 2 4 3 2 2" xfId="7102"/>
    <cellStyle name="Normal 2 2 2 2 3 2 4 3 2 2 2" xfId="7103"/>
    <cellStyle name="Normal 2 2 2 2 3 2 4 3 2 2 2 2" xfId="7104"/>
    <cellStyle name="Normal 2 2 2 2 3 2 4 3 2 2 3" xfId="7105"/>
    <cellStyle name="Normal 2 2 2 2 3 2 4 3 2 3" xfId="7106"/>
    <cellStyle name="Normal 2 2 2 2 3 2 4 3 2 3 2" xfId="7107"/>
    <cellStyle name="Normal 2 2 2 2 3 2 4 3 2 4" xfId="7108"/>
    <cellStyle name="Normal 2 2 2 2 3 2 4 3 3" xfId="7109"/>
    <cellStyle name="Normal 2 2 2 2 3 2 4 3 3 2" xfId="7110"/>
    <cellStyle name="Normal 2 2 2 2 3 2 4 3 3 2 2" xfId="7111"/>
    <cellStyle name="Normal 2 2 2 2 3 2 4 3 3 3" xfId="7112"/>
    <cellStyle name="Normal 2 2 2 2 3 2 4 3 4" xfId="7113"/>
    <cellStyle name="Normal 2 2 2 2 3 2 4 3 4 2" xfId="7114"/>
    <cellStyle name="Normal 2 2 2 2 3 2 4 3 5" xfId="7115"/>
    <cellStyle name="Normal 2 2 2 2 3 2 4 4" xfId="3397"/>
    <cellStyle name="Normal 2 2 2 2 3 2 4 4 2" xfId="7116"/>
    <cellStyle name="Normal 2 2 2 2 3 2 4 4 2 2" xfId="7117"/>
    <cellStyle name="Normal 2 2 2 2 3 2 4 4 2 2 2" xfId="7118"/>
    <cellStyle name="Normal 2 2 2 2 3 2 4 4 2 3" xfId="7119"/>
    <cellStyle name="Normal 2 2 2 2 3 2 4 4 3" xfId="7120"/>
    <cellStyle name="Normal 2 2 2 2 3 2 4 4 3 2" xfId="7121"/>
    <cellStyle name="Normal 2 2 2 2 3 2 4 4 4" xfId="7122"/>
    <cellStyle name="Normal 2 2 2 2 3 2 4 5" xfId="7123"/>
    <cellStyle name="Normal 2 2 2 2 3 2 4 5 2" xfId="7124"/>
    <cellStyle name="Normal 2 2 2 2 3 2 4 5 2 2" xfId="7125"/>
    <cellStyle name="Normal 2 2 2 2 3 2 4 5 3" xfId="7126"/>
    <cellStyle name="Normal 2 2 2 2 3 2 4 6" xfId="7127"/>
    <cellStyle name="Normal 2 2 2 2 3 2 4 6 2" xfId="7128"/>
    <cellStyle name="Normal 2 2 2 2 3 2 4 7" xfId="7129"/>
    <cellStyle name="Normal 2 2 2 2 3 2 5" xfId="813"/>
    <cellStyle name="Normal 2 2 2 2 3 2 5 2" xfId="2173"/>
    <cellStyle name="Normal 2 2 2 2 3 2 5 2 2" xfId="4893"/>
    <cellStyle name="Normal 2 2 2 2 3 2 5 2 2 2" xfId="7130"/>
    <cellStyle name="Normal 2 2 2 2 3 2 5 2 2 2 2" xfId="7131"/>
    <cellStyle name="Normal 2 2 2 2 3 2 5 2 2 2 2 2" xfId="7132"/>
    <cellStyle name="Normal 2 2 2 2 3 2 5 2 2 2 3" xfId="7133"/>
    <cellStyle name="Normal 2 2 2 2 3 2 5 2 2 3" xfId="7134"/>
    <cellStyle name="Normal 2 2 2 2 3 2 5 2 2 3 2" xfId="7135"/>
    <cellStyle name="Normal 2 2 2 2 3 2 5 2 2 4" xfId="7136"/>
    <cellStyle name="Normal 2 2 2 2 3 2 5 2 3" xfId="7137"/>
    <cellStyle name="Normal 2 2 2 2 3 2 5 2 3 2" xfId="7138"/>
    <cellStyle name="Normal 2 2 2 2 3 2 5 2 3 2 2" xfId="7139"/>
    <cellStyle name="Normal 2 2 2 2 3 2 5 2 3 3" xfId="7140"/>
    <cellStyle name="Normal 2 2 2 2 3 2 5 2 4" xfId="7141"/>
    <cellStyle name="Normal 2 2 2 2 3 2 5 2 4 2" xfId="7142"/>
    <cellStyle name="Normal 2 2 2 2 3 2 5 2 5" xfId="7143"/>
    <cellStyle name="Normal 2 2 2 2 3 2 5 3" xfId="3533"/>
    <cellStyle name="Normal 2 2 2 2 3 2 5 3 2" xfId="7144"/>
    <cellStyle name="Normal 2 2 2 2 3 2 5 3 2 2" xfId="7145"/>
    <cellStyle name="Normal 2 2 2 2 3 2 5 3 2 2 2" xfId="7146"/>
    <cellStyle name="Normal 2 2 2 2 3 2 5 3 2 3" xfId="7147"/>
    <cellStyle name="Normal 2 2 2 2 3 2 5 3 3" xfId="7148"/>
    <cellStyle name="Normal 2 2 2 2 3 2 5 3 3 2" xfId="7149"/>
    <cellStyle name="Normal 2 2 2 2 3 2 5 3 4" xfId="7150"/>
    <cellStyle name="Normal 2 2 2 2 3 2 5 4" xfId="7151"/>
    <cellStyle name="Normal 2 2 2 2 3 2 5 4 2" xfId="7152"/>
    <cellStyle name="Normal 2 2 2 2 3 2 5 4 2 2" xfId="7153"/>
    <cellStyle name="Normal 2 2 2 2 3 2 5 4 3" xfId="7154"/>
    <cellStyle name="Normal 2 2 2 2 3 2 5 5" xfId="7155"/>
    <cellStyle name="Normal 2 2 2 2 3 2 5 5 2" xfId="7156"/>
    <cellStyle name="Normal 2 2 2 2 3 2 5 6" xfId="7157"/>
    <cellStyle name="Normal 2 2 2 2 3 2 6" xfId="1493"/>
    <cellStyle name="Normal 2 2 2 2 3 2 6 2" xfId="4213"/>
    <cellStyle name="Normal 2 2 2 2 3 2 6 2 2" xfId="7158"/>
    <cellStyle name="Normal 2 2 2 2 3 2 6 2 2 2" xfId="7159"/>
    <cellStyle name="Normal 2 2 2 2 3 2 6 2 2 2 2" xfId="7160"/>
    <cellStyle name="Normal 2 2 2 2 3 2 6 2 2 3" xfId="7161"/>
    <cellStyle name="Normal 2 2 2 2 3 2 6 2 3" xfId="7162"/>
    <cellStyle name="Normal 2 2 2 2 3 2 6 2 3 2" xfId="7163"/>
    <cellStyle name="Normal 2 2 2 2 3 2 6 2 4" xfId="7164"/>
    <cellStyle name="Normal 2 2 2 2 3 2 6 3" xfId="7165"/>
    <cellStyle name="Normal 2 2 2 2 3 2 6 3 2" xfId="7166"/>
    <cellStyle name="Normal 2 2 2 2 3 2 6 3 2 2" xfId="7167"/>
    <cellStyle name="Normal 2 2 2 2 3 2 6 3 3" xfId="7168"/>
    <cellStyle name="Normal 2 2 2 2 3 2 6 4" xfId="7169"/>
    <cellStyle name="Normal 2 2 2 2 3 2 6 4 2" xfId="7170"/>
    <cellStyle name="Normal 2 2 2 2 3 2 6 5" xfId="7171"/>
    <cellStyle name="Normal 2 2 2 2 3 2 7" xfId="2853"/>
    <cellStyle name="Normal 2 2 2 2 3 2 7 2" xfId="7172"/>
    <cellStyle name="Normal 2 2 2 2 3 2 7 2 2" xfId="7173"/>
    <cellStyle name="Normal 2 2 2 2 3 2 7 2 2 2" xfId="7174"/>
    <cellStyle name="Normal 2 2 2 2 3 2 7 2 3" xfId="7175"/>
    <cellStyle name="Normal 2 2 2 2 3 2 7 3" xfId="7176"/>
    <cellStyle name="Normal 2 2 2 2 3 2 7 3 2" xfId="7177"/>
    <cellStyle name="Normal 2 2 2 2 3 2 7 4" xfId="7178"/>
    <cellStyle name="Normal 2 2 2 2 3 2 8" xfId="7179"/>
    <cellStyle name="Normal 2 2 2 2 3 2 8 2" xfId="7180"/>
    <cellStyle name="Normal 2 2 2 2 3 2 8 2 2" xfId="7181"/>
    <cellStyle name="Normal 2 2 2 2 3 2 8 3" xfId="7182"/>
    <cellStyle name="Normal 2 2 2 2 3 2 9" xfId="7183"/>
    <cellStyle name="Normal 2 2 2 2 3 2 9 2" xfId="7184"/>
    <cellStyle name="Normal 2 2 2 2 3 3" xfId="201"/>
    <cellStyle name="Normal 2 2 2 2 3 3 2" xfId="473"/>
    <cellStyle name="Normal 2 2 2 2 3 3 2 2" xfId="1153"/>
    <cellStyle name="Normal 2 2 2 2 3 3 2 2 2" xfId="2513"/>
    <cellStyle name="Normal 2 2 2 2 3 3 2 2 2 2" xfId="5233"/>
    <cellStyle name="Normal 2 2 2 2 3 3 2 2 2 2 2" xfId="7185"/>
    <cellStyle name="Normal 2 2 2 2 3 3 2 2 2 2 2 2" xfId="7186"/>
    <cellStyle name="Normal 2 2 2 2 3 3 2 2 2 2 2 2 2" xfId="7187"/>
    <cellStyle name="Normal 2 2 2 2 3 3 2 2 2 2 2 3" xfId="7188"/>
    <cellStyle name="Normal 2 2 2 2 3 3 2 2 2 2 3" xfId="7189"/>
    <cellStyle name="Normal 2 2 2 2 3 3 2 2 2 2 3 2" xfId="7190"/>
    <cellStyle name="Normal 2 2 2 2 3 3 2 2 2 2 4" xfId="7191"/>
    <cellStyle name="Normal 2 2 2 2 3 3 2 2 2 3" xfId="7192"/>
    <cellStyle name="Normal 2 2 2 2 3 3 2 2 2 3 2" xfId="7193"/>
    <cellStyle name="Normal 2 2 2 2 3 3 2 2 2 3 2 2" xfId="7194"/>
    <cellStyle name="Normal 2 2 2 2 3 3 2 2 2 3 3" xfId="7195"/>
    <cellStyle name="Normal 2 2 2 2 3 3 2 2 2 4" xfId="7196"/>
    <cellStyle name="Normal 2 2 2 2 3 3 2 2 2 4 2" xfId="7197"/>
    <cellStyle name="Normal 2 2 2 2 3 3 2 2 2 5" xfId="7198"/>
    <cellStyle name="Normal 2 2 2 2 3 3 2 2 3" xfId="3873"/>
    <cellStyle name="Normal 2 2 2 2 3 3 2 2 3 2" xfId="7199"/>
    <cellStyle name="Normal 2 2 2 2 3 3 2 2 3 2 2" xfId="7200"/>
    <cellStyle name="Normal 2 2 2 2 3 3 2 2 3 2 2 2" xfId="7201"/>
    <cellStyle name="Normal 2 2 2 2 3 3 2 2 3 2 3" xfId="7202"/>
    <cellStyle name="Normal 2 2 2 2 3 3 2 2 3 3" xfId="7203"/>
    <cellStyle name="Normal 2 2 2 2 3 3 2 2 3 3 2" xfId="7204"/>
    <cellStyle name="Normal 2 2 2 2 3 3 2 2 3 4" xfId="7205"/>
    <cellStyle name="Normal 2 2 2 2 3 3 2 2 4" xfId="7206"/>
    <cellStyle name="Normal 2 2 2 2 3 3 2 2 4 2" xfId="7207"/>
    <cellStyle name="Normal 2 2 2 2 3 3 2 2 4 2 2" xfId="7208"/>
    <cellStyle name="Normal 2 2 2 2 3 3 2 2 4 3" xfId="7209"/>
    <cellStyle name="Normal 2 2 2 2 3 3 2 2 5" xfId="7210"/>
    <cellStyle name="Normal 2 2 2 2 3 3 2 2 5 2" xfId="7211"/>
    <cellStyle name="Normal 2 2 2 2 3 3 2 2 6" xfId="7212"/>
    <cellStyle name="Normal 2 2 2 2 3 3 2 3" xfId="1833"/>
    <cellStyle name="Normal 2 2 2 2 3 3 2 3 2" xfId="4553"/>
    <cellStyle name="Normal 2 2 2 2 3 3 2 3 2 2" xfId="7213"/>
    <cellStyle name="Normal 2 2 2 2 3 3 2 3 2 2 2" xfId="7214"/>
    <cellStyle name="Normal 2 2 2 2 3 3 2 3 2 2 2 2" xfId="7215"/>
    <cellStyle name="Normal 2 2 2 2 3 3 2 3 2 2 3" xfId="7216"/>
    <cellStyle name="Normal 2 2 2 2 3 3 2 3 2 3" xfId="7217"/>
    <cellStyle name="Normal 2 2 2 2 3 3 2 3 2 3 2" xfId="7218"/>
    <cellStyle name="Normal 2 2 2 2 3 3 2 3 2 4" xfId="7219"/>
    <cellStyle name="Normal 2 2 2 2 3 3 2 3 3" xfId="7220"/>
    <cellStyle name="Normal 2 2 2 2 3 3 2 3 3 2" xfId="7221"/>
    <cellStyle name="Normal 2 2 2 2 3 3 2 3 3 2 2" xfId="7222"/>
    <cellStyle name="Normal 2 2 2 2 3 3 2 3 3 3" xfId="7223"/>
    <cellStyle name="Normal 2 2 2 2 3 3 2 3 4" xfId="7224"/>
    <cellStyle name="Normal 2 2 2 2 3 3 2 3 4 2" xfId="7225"/>
    <cellStyle name="Normal 2 2 2 2 3 3 2 3 5" xfId="7226"/>
    <cellStyle name="Normal 2 2 2 2 3 3 2 4" xfId="3193"/>
    <cellStyle name="Normal 2 2 2 2 3 3 2 4 2" xfId="7227"/>
    <cellStyle name="Normal 2 2 2 2 3 3 2 4 2 2" xfId="7228"/>
    <cellStyle name="Normal 2 2 2 2 3 3 2 4 2 2 2" xfId="7229"/>
    <cellStyle name="Normal 2 2 2 2 3 3 2 4 2 3" xfId="7230"/>
    <cellStyle name="Normal 2 2 2 2 3 3 2 4 3" xfId="7231"/>
    <cellStyle name="Normal 2 2 2 2 3 3 2 4 3 2" xfId="7232"/>
    <cellStyle name="Normal 2 2 2 2 3 3 2 4 4" xfId="7233"/>
    <cellStyle name="Normal 2 2 2 2 3 3 2 5" xfId="7234"/>
    <cellStyle name="Normal 2 2 2 2 3 3 2 5 2" xfId="7235"/>
    <cellStyle name="Normal 2 2 2 2 3 3 2 5 2 2" xfId="7236"/>
    <cellStyle name="Normal 2 2 2 2 3 3 2 5 3" xfId="7237"/>
    <cellStyle name="Normal 2 2 2 2 3 3 2 6" xfId="7238"/>
    <cellStyle name="Normal 2 2 2 2 3 3 2 6 2" xfId="7239"/>
    <cellStyle name="Normal 2 2 2 2 3 3 2 7" xfId="7240"/>
    <cellStyle name="Normal 2 2 2 2 3 3 3" xfId="881"/>
    <cellStyle name="Normal 2 2 2 2 3 3 3 2" xfId="2241"/>
    <cellStyle name="Normal 2 2 2 2 3 3 3 2 2" xfId="4961"/>
    <cellStyle name="Normal 2 2 2 2 3 3 3 2 2 2" xfId="7241"/>
    <cellStyle name="Normal 2 2 2 2 3 3 3 2 2 2 2" xfId="7242"/>
    <cellStyle name="Normal 2 2 2 2 3 3 3 2 2 2 2 2" xfId="7243"/>
    <cellStyle name="Normal 2 2 2 2 3 3 3 2 2 2 3" xfId="7244"/>
    <cellStyle name="Normal 2 2 2 2 3 3 3 2 2 3" xfId="7245"/>
    <cellStyle name="Normal 2 2 2 2 3 3 3 2 2 3 2" xfId="7246"/>
    <cellStyle name="Normal 2 2 2 2 3 3 3 2 2 4" xfId="7247"/>
    <cellStyle name="Normal 2 2 2 2 3 3 3 2 3" xfId="7248"/>
    <cellStyle name="Normal 2 2 2 2 3 3 3 2 3 2" xfId="7249"/>
    <cellStyle name="Normal 2 2 2 2 3 3 3 2 3 2 2" xfId="7250"/>
    <cellStyle name="Normal 2 2 2 2 3 3 3 2 3 3" xfId="7251"/>
    <cellStyle name="Normal 2 2 2 2 3 3 3 2 4" xfId="7252"/>
    <cellStyle name="Normal 2 2 2 2 3 3 3 2 4 2" xfId="7253"/>
    <cellStyle name="Normal 2 2 2 2 3 3 3 2 5" xfId="7254"/>
    <cellStyle name="Normal 2 2 2 2 3 3 3 3" xfId="3601"/>
    <cellStyle name="Normal 2 2 2 2 3 3 3 3 2" xfId="7255"/>
    <cellStyle name="Normal 2 2 2 2 3 3 3 3 2 2" xfId="7256"/>
    <cellStyle name="Normal 2 2 2 2 3 3 3 3 2 2 2" xfId="7257"/>
    <cellStyle name="Normal 2 2 2 2 3 3 3 3 2 3" xfId="7258"/>
    <cellStyle name="Normal 2 2 2 2 3 3 3 3 3" xfId="7259"/>
    <cellStyle name="Normal 2 2 2 2 3 3 3 3 3 2" xfId="7260"/>
    <cellStyle name="Normal 2 2 2 2 3 3 3 3 4" xfId="7261"/>
    <cellStyle name="Normal 2 2 2 2 3 3 3 4" xfId="7262"/>
    <cellStyle name="Normal 2 2 2 2 3 3 3 4 2" xfId="7263"/>
    <cellStyle name="Normal 2 2 2 2 3 3 3 4 2 2" xfId="7264"/>
    <cellStyle name="Normal 2 2 2 2 3 3 3 4 3" xfId="7265"/>
    <cellStyle name="Normal 2 2 2 2 3 3 3 5" xfId="7266"/>
    <cellStyle name="Normal 2 2 2 2 3 3 3 5 2" xfId="7267"/>
    <cellStyle name="Normal 2 2 2 2 3 3 3 6" xfId="7268"/>
    <cellStyle name="Normal 2 2 2 2 3 3 4" xfId="1561"/>
    <cellStyle name="Normal 2 2 2 2 3 3 4 2" xfId="4281"/>
    <cellStyle name="Normal 2 2 2 2 3 3 4 2 2" xfId="7269"/>
    <cellStyle name="Normal 2 2 2 2 3 3 4 2 2 2" xfId="7270"/>
    <cellStyle name="Normal 2 2 2 2 3 3 4 2 2 2 2" xfId="7271"/>
    <cellStyle name="Normal 2 2 2 2 3 3 4 2 2 3" xfId="7272"/>
    <cellStyle name="Normal 2 2 2 2 3 3 4 2 3" xfId="7273"/>
    <cellStyle name="Normal 2 2 2 2 3 3 4 2 3 2" xfId="7274"/>
    <cellStyle name="Normal 2 2 2 2 3 3 4 2 4" xfId="7275"/>
    <cellStyle name="Normal 2 2 2 2 3 3 4 3" xfId="7276"/>
    <cellStyle name="Normal 2 2 2 2 3 3 4 3 2" xfId="7277"/>
    <cellStyle name="Normal 2 2 2 2 3 3 4 3 2 2" xfId="7278"/>
    <cellStyle name="Normal 2 2 2 2 3 3 4 3 3" xfId="7279"/>
    <cellStyle name="Normal 2 2 2 2 3 3 4 4" xfId="7280"/>
    <cellStyle name="Normal 2 2 2 2 3 3 4 4 2" xfId="7281"/>
    <cellStyle name="Normal 2 2 2 2 3 3 4 5" xfId="7282"/>
    <cellStyle name="Normal 2 2 2 2 3 3 5" xfId="2921"/>
    <cellStyle name="Normal 2 2 2 2 3 3 5 2" xfId="7283"/>
    <cellStyle name="Normal 2 2 2 2 3 3 5 2 2" xfId="7284"/>
    <cellStyle name="Normal 2 2 2 2 3 3 5 2 2 2" xfId="7285"/>
    <cellStyle name="Normal 2 2 2 2 3 3 5 2 3" xfId="7286"/>
    <cellStyle name="Normal 2 2 2 2 3 3 5 3" xfId="7287"/>
    <cellStyle name="Normal 2 2 2 2 3 3 5 3 2" xfId="7288"/>
    <cellStyle name="Normal 2 2 2 2 3 3 5 4" xfId="7289"/>
    <cellStyle name="Normal 2 2 2 2 3 3 6" xfId="7290"/>
    <cellStyle name="Normal 2 2 2 2 3 3 6 2" xfId="7291"/>
    <cellStyle name="Normal 2 2 2 2 3 3 6 2 2" xfId="7292"/>
    <cellStyle name="Normal 2 2 2 2 3 3 6 3" xfId="7293"/>
    <cellStyle name="Normal 2 2 2 2 3 3 7" xfId="7294"/>
    <cellStyle name="Normal 2 2 2 2 3 3 7 2" xfId="7295"/>
    <cellStyle name="Normal 2 2 2 2 3 3 8" xfId="7296"/>
    <cellStyle name="Normal 2 2 2 2 3 4" xfId="337"/>
    <cellStyle name="Normal 2 2 2 2 3 4 2" xfId="1017"/>
    <cellStyle name="Normal 2 2 2 2 3 4 2 2" xfId="2377"/>
    <cellStyle name="Normal 2 2 2 2 3 4 2 2 2" xfId="5097"/>
    <cellStyle name="Normal 2 2 2 2 3 4 2 2 2 2" xfId="7297"/>
    <cellStyle name="Normal 2 2 2 2 3 4 2 2 2 2 2" xfId="7298"/>
    <cellStyle name="Normal 2 2 2 2 3 4 2 2 2 2 2 2" xfId="7299"/>
    <cellStyle name="Normal 2 2 2 2 3 4 2 2 2 2 3" xfId="7300"/>
    <cellStyle name="Normal 2 2 2 2 3 4 2 2 2 3" xfId="7301"/>
    <cellStyle name="Normal 2 2 2 2 3 4 2 2 2 3 2" xfId="7302"/>
    <cellStyle name="Normal 2 2 2 2 3 4 2 2 2 4" xfId="7303"/>
    <cellStyle name="Normal 2 2 2 2 3 4 2 2 3" xfId="7304"/>
    <cellStyle name="Normal 2 2 2 2 3 4 2 2 3 2" xfId="7305"/>
    <cellStyle name="Normal 2 2 2 2 3 4 2 2 3 2 2" xfId="7306"/>
    <cellStyle name="Normal 2 2 2 2 3 4 2 2 3 3" xfId="7307"/>
    <cellStyle name="Normal 2 2 2 2 3 4 2 2 4" xfId="7308"/>
    <cellStyle name="Normal 2 2 2 2 3 4 2 2 4 2" xfId="7309"/>
    <cellStyle name="Normal 2 2 2 2 3 4 2 2 5" xfId="7310"/>
    <cellStyle name="Normal 2 2 2 2 3 4 2 3" xfId="3737"/>
    <cellStyle name="Normal 2 2 2 2 3 4 2 3 2" xfId="7311"/>
    <cellStyle name="Normal 2 2 2 2 3 4 2 3 2 2" xfId="7312"/>
    <cellStyle name="Normal 2 2 2 2 3 4 2 3 2 2 2" xfId="7313"/>
    <cellStyle name="Normal 2 2 2 2 3 4 2 3 2 3" xfId="7314"/>
    <cellStyle name="Normal 2 2 2 2 3 4 2 3 3" xfId="7315"/>
    <cellStyle name="Normal 2 2 2 2 3 4 2 3 3 2" xfId="7316"/>
    <cellStyle name="Normal 2 2 2 2 3 4 2 3 4" xfId="7317"/>
    <cellStyle name="Normal 2 2 2 2 3 4 2 4" xfId="7318"/>
    <cellStyle name="Normal 2 2 2 2 3 4 2 4 2" xfId="7319"/>
    <cellStyle name="Normal 2 2 2 2 3 4 2 4 2 2" xfId="7320"/>
    <cellStyle name="Normal 2 2 2 2 3 4 2 4 3" xfId="7321"/>
    <cellStyle name="Normal 2 2 2 2 3 4 2 5" xfId="7322"/>
    <cellStyle name="Normal 2 2 2 2 3 4 2 5 2" xfId="7323"/>
    <cellStyle name="Normal 2 2 2 2 3 4 2 6" xfId="7324"/>
    <cellStyle name="Normal 2 2 2 2 3 4 3" xfId="1697"/>
    <cellStyle name="Normal 2 2 2 2 3 4 3 2" xfId="4417"/>
    <cellStyle name="Normal 2 2 2 2 3 4 3 2 2" xfId="7325"/>
    <cellStyle name="Normal 2 2 2 2 3 4 3 2 2 2" xfId="7326"/>
    <cellStyle name="Normal 2 2 2 2 3 4 3 2 2 2 2" xfId="7327"/>
    <cellStyle name="Normal 2 2 2 2 3 4 3 2 2 3" xfId="7328"/>
    <cellStyle name="Normal 2 2 2 2 3 4 3 2 3" xfId="7329"/>
    <cellStyle name="Normal 2 2 2 2 3 4 3 2 3 2" xfId="7330"/>
    <cellStyle name="Normal 2 2 2 2 3 4 3 2 4" xfId="7331"/>
    <cellStyle name="Normal 2 2 2 2 3 4 3 3" xfId="7332"/>
    <cellStyle name="Normal 2 2 2 2 3 4 3 3 2" xfId="7333"/>
    <cellStyle name="Normal 2 2 2 2 3 4 3 3 2 2" xfId="7334"/>
    <cellStyle name="Normal 2 2 2 2 3 4 3 3 3" xfId="7335"/>
    <cellStyle name="Normal 2 2 2 2 3 4 3 4" xfId="7336"/>
    <cellStyle name="Normal 2 2 2 2 3 4 3 4 2" xfId="7337"/>
    <cellStyle name="Normal 2 2 2 2 3 4 3 5" xfId="7338"/>
    <cellStyle name="Normal 2 2 2 2 3 4 4" xfId="3057"/>
    <cellStyle name="Normal 2 2 2 2 3 4 4 2" xfId="7339"/>
    <cellStyle name="Normal 2 2 2 2 3 4 4 2 2" xfId="7340"/>
    <cellStyle name="Normal 2 2 2 2 3 4 4 2 2 2" xfId="7341"/>
    <cellStyle name="Normal 2 2 2 2 3 4 4 2 3" xfId="7342"/>
    <cellStyle name="Normal 2 2 2 2 3 4 4 3" xfId="7343"/>
    <cellStyle name="Normal 2 2 2 2 3 4 4 3 2" xfId="7344"/>
    <cellStyle name="Normal 2 2 2 2 3 4 4 4" xfId="7345"/>
    <cellStyle name="Normal 2 2 2 2 3 4 5" xfId="7346"/>
    <cellStyle name="Normal 2 2 2 2 3 4 5 2" xfId="7347"/>
    <cellStyle name="Normal 2 2 2 2 3 4 5 2 2" xfId="7348"/>
    <cellStyle name="Normal 2 2 2 2 3 4 5 3" xfId="7349"/>
    <cellStyle name="Normal 2 2 2 2 3 4 6" xfId="7350"/>
    <cellStyle name="Normal 2 2 2 2 3 4 6 2" xfId="7351"/>
    <cellStyle name="Normal 2 2 2 2 3 4 7" xfId="7352"/>
    <cellStyle name="Normal 2 2 2 2 3 5" xfId="609"/>
    <cellStyle name="Normal 2 2 2 2 3 5 2" xfId="1289"/>
    <cellStyle name="Normal 2 2 2 2 3 5 2 2" xfId="2649"/>
    <cellStyle name="Normal 2 2 2 2 3 5 2 2 2" xfId="5369"/>
    <cellStyle name="Normal 2 2 2 2 3 5 2 2 2 2" xfId="7353"/>
    <cellStyle name="Normal 2 2 2 2 3 5 2 2 2 2 2" xfId="7354"/>
    <cellStyle name="Normal 2 2 2 2 3 5 2 2 2 2 2 2" xfId="7355"/>
    <cellStyle name="Normal 2 2 2 2 3 5 2 2 2 2 3" xfId="7356"/>
    <cellStyle name="Normal 2 2 2 2 3 5 2 2 2 3" xfId="7357"/>
    <cellStyle name="Normal 2 2 2 2 3 5 2 2 2 3 2" xfId="7358"/>
    <cellStyle name="Normal 2 2 2 2 3 5 2 2 2 4" xfId="7359"/>
    <cellStyle name="Normal 2 2 2 2 3 5 2 2 3" xfId="7360"/>
    <cellStyle name="Normal 2 2 2 2 3 5 2 2 3 2" xfId="7361"/>
    <cellStyle name="Normal 2 2 2 2 3 5 2 2 3 2 2" xfId="7362"/>
    <cellStyle name="Normal 2 2 2 2 3 5 2 2 3 3" xfId="7363"/>
    <cellStyle name="Normal 2 2 2 2 3 5 2 2 4" xfId="7364"/>
    <cellStyle name="Normal 2 2 2 2 3 5 2 2 4 2" xfId="7365"/>
    <cellStyle name="Normal 2 2 2 2 3 5 2 2 5" xfId="7366"/>
    <cellStyle name="Normal 2 2 2 2 3 5 2 3" xfId="4009"/>
    <cellStyle name="Normal 2 2 2 2 3 5 2 3 2" xfId="7367"/>
    <cellStyle name="Normal 2 2 2 2 3 5 2 3 2 2" xfId="7368"/>
    <cellStyle name="Normal 2 2 2 2 3 5 2 3 2 2 2" xfId="7369"/>
    <cellStyle name="Normal 2 2 2 2 3 5 2 3 2 3" xfId="7370"/>
    <cellStyle name="Normal 2 2 2 2 3 5 2 3 3" xfId="7371"/>
    <cellStyle name="Normal 2 2 2 2 3 5 2 3 3 2" xfId="7372"/>
    <cellStyle name="Normal 2 2 2 2 3 5 2 3 4" xfId="7373"/>
    <cellStyle name="Normal 2 2 2 2 3 5 2 4" xfId="7374"/>
    <cellStyle name="Normal 2 2 2 2 3 5 2 4 2" xfId="7375"/>
    <cellStyle name="Normal 2 2 2 2 3 5 2 4 2 2" xfId="7376"/>
    <cellStyle name="Normal 2 2 2 2 3 5 2 4 3" xfId="7377"/>
    <cellStyle name="Normal 2 2 2 2 3 5 2 5" xfId="7378"/>
    <cellStyle name="Normal 2 2 2 2 3 5 2 5 2" xfId="7379"/>
    <cellStyle name="Normal 2 2 2 2 3 5 2 6" xfId="7380"/>
    <cellStyle name="Normal 2 2 2 2 3 5 3" xfId="1969"/>
    <cellStyle name="Normal 2 2 2 2 3 5 3 2" xfId="4689"/>
    <cellStyle name="Normal 2 2 2 2 3 5 3 2 2" xfId="7381"/>
    <cellStyle name="Normal 2 2 2 2 3 5 3 2 2 2" xfId="7382"/>
    <cellStyle name="Normal 2 2 2 2 3 5 3 2 2 2 2" xfId="7383"/>
    <cellStyle name="Normal 2 2 2 2 3 5 3 2 2 3" xfId="7384"/>
    <cellStyle name="Normal 2 2 2 2 3 5 3 2 3" xfId="7385"/>
    <cellStyle name="Normal 2 2 2 2 3 5 3 2 3 2" xfId="7386"/>
    <cellStyle name="Normal 2 2 2 2 3 5 3 2 4" xfId="7387"/>
    <cellStyle name="Normal 2 2 2 2 3 5 3 3" xfId="7388"/>
    <cellStyle name="Normal 2 2 2 2 3 5 3 3 2" xfId="7389"/>
    <cellStyle name="Normal 2 2 2 2 3 5 3 3 2 2" xfId="7390"/>
    <cellStyle name="Normal 2 2 2 2 3 5 3 3 3" xfId="7391"/>
    <cellStyle name="Normal 2 2 2 2 3 5 3 4" xfId="7392"/>
    <cellStyle name="Normal 2 2 2 2 3 5 3 4 2" xfId="7393"/>
    <cellStyle name="Normal 2 2 2 2 3 5 3 5" xfId="7394"/>
    <cellStyle name="Normal 2 2 2 2 3 5 4" xfId="3329"/>
    <cellStyle name="Normal 2 2 2 2 3 5 4 2" xfId="7395"/>
    <cellStyle name="Normal 2 2 2 2 3 5 4 2 2" xfId="7396"/>
    <cellStyle name="Normal 2 2 2 2 3 5 4 2 2 2" xfId="7397"/>
    <cellStyle name="Normal 2 2 2 2 3 5 4 2 3" xfId="7398"/>
    <cellStyle name="Normal 2 2 2 2 3 5 4 3" xfId="7399"/>
    <cellStyle name="Normal 2 2 2 2 3 5 4 3 2" xfId="7400"/>
    <cellStyle name="Normal 2 2 2 2 3 5 4 4" xfId="7401"/>
    <cellStyle name="Normal 2 2 2 2 3 5 5" xfId="7402"/>
    <cellStyle name="Normal 2 2 2 2 3 5 5 2" xfId="7403"/>
    <cellStyle name="Normal 2 2 2 2 3 5 5 2 2" xfId="7404"/>
    <cellStyle name="Normal 2 2 2 2 3 5 5 3" xfId="7405"/>
    <cellStyle name="Normal 2 2 2 2 3 5 6" xfId="7406"/>
    <cellStyle name="Normal 2 2 2 2 3 5 6 2" xfId="7407"/>
    <cellStyle name="Normal 2 2 2 2 3 5 7" xfId="7408"/>
    <cellStyle name="Normal 2 2 2 2 3 6" xfId="745"/>
    <cellStyle name="Normal 2 2 2 2 3 6 2" xfId="2105"/>
    <cellStyle name="Normal 2 2 2 2 3 6 2 2" xfId="4825"/>
    <cellStyle name="Normal 2 2 2 2 3 6 2 2 2" xfId="7409"/>
    <cellStyle name="Normal 2 2 2 2 3 6 2 2 2 2" xfId="7410"/>
    <cellStyle name="Normal 2 2 2 2 3 6 2 2 2 2 2" xfId="7411"/>
    <cellStyle name="Normal 2 2 2 2 3 6 2 2 2 3" xfId="7412"/>
    <cellStyle name="Normal 2 2 2 2 3 6 2 2 3" xfId="7413"/>
    <cellStyle name="Normal 2 2 2 2 3 6 2 2 3 2" xfId="7414"/>
    <cellStyle name="Normal 2 2 2 2 3 6 2 2 4" xfId="7415"/>
    <cellStyle name="Normal 2 2 2 2 3 6 2 3" xfId="7416"/>
    <cellStyle name="Normal 2 2 2 2 3 6 2 3 2" xfId="7417"/>
    <cellStyle name="Normal 2 2 2 2 3 6 2 3 2 2" xfId="7418"/>
    <cellStyle name="Normal 2 2 2 2 3 6 2 3 3" xfId="7419"/>
    <cellStyle name="Normal 2 2 2 2 3 6 2 4" xfId="7420"/>
    <cellStyle name="Normal 2 2 2 2 3 6 2 4 2" xfId="7421"/>
    <cellStyle name="Normal 2 2 2 2 3 6 2 5" xfId="7422"/>
    <cellStyle name="Normal 2 2 2 2 3 6 3" xfId="3465"/>
    <cellStyle name="Normal 2 2 2 2 3 6 3 2" xfId="7423"/>
    <cellStyle name="Normal 2 2 2 2 3 6 3 2 2" xfId="7424"/>
    <cellStyle name="Normal 2 2 2 2 3 6 3 2 2 2" xfId="7425"/>
    <cellStyle name="Normal 2 2 2 2 3 6 3 2 3" xfId="7426"/>
    <cellStyle name="Normal 2 2 2 2 3 6 3 3" xfId="7427"/>
    <cellStyle name="Normal 2 2 2 2 3 6 3 3 2" xfId="7428"/>
    <cellStyle name="Normal 2 2 2 2 3 6 3 4" xfId="7429"/>
    <cellStyle name="Normal 2 2 2 2 3 6 4" xfId="7430"/>
    <cellStyle name="Normal 2 2 2 2 3 6 4 2" xfId="7431"/>
    <cellStyle name="Normal 2 2 2 2 3 6 4 2 2" xfId="7432"/>
    <cellStyle name="Normal 2 2 2 2 3 6 4 3" xfId="7433"/>
    <cellStyle name="Normal 2 2 2 2 3 6 5" xfId="7434"/>
    <cellStyle name="Normal 2 2 2 2 3 6 5 2" xfId="7435"/>
    <cellStyle name="Normal 2 2 2 2 3 6 6" xfId="7436"/>
    <cellStyle name="Normal 2 2 2 2 3 7" xfId="1425"/>
    <cellStyle name="Normal 2 2 2 2 3 7 2" xfId="4145"/>
    <cellStyle name="Normal 2 2 2 2 3 7 2 2" xfId="7437"/>
    <cellStyle name="Normal 2 2 2 2 3 7 2 2 2" xfId="7438"/>
    <cellStyle name="Normal 2 2 2 2 3 7 2 2 2 2" xfId="7439"/>
    <cellStyle name="Normal 2 2 2 2 3 7 2 2 3" xfId="7440"/>
    <cellStyle name="Normal 2 2 2 2 3 7 2 3" xfId="7441"/>
    <cellStyle name="Normal 2 2 2 2 3 7 2 3 2" xfId="7442"/>
    <cellStyle name="Normal 2 2 2 2 3 7 2 4" xfId="7443"/>
    <cellStyle name="Normal 2 2 2 2 3 7 3" xfId="7444"/>
    <cellStyle name="Normal 2 2 2 2 3 7 3 2" xfId="7445"/>
    <cellStyle name="Normal 2 2 2 2 3 7 3 2 2" xfId="7446"/>
    <cellStyle name="Normal 2 2 2 2 3 7 3 3" xfId="7447"/>
    <cellStyle name="Normal 2 2 2 2 3 7 4" xfId="7448"/>
    <cellStyle name="Normal 2 2 2 2 3 7 4 2" xfId="7449"/>
    <cellStyle name="Normal 2 2 2 2 3 7 5" xfId="7450"/>
    <cellStyle name="Normal 2 2 2 2 3 8" xfId="2785"/>
    <cellStyle name="Normal 2 2 2 2 3 8 2" xfId="7451"/>
    <cellStyle name="Normal 2 2 2 2 3 8 2 2" xfId="7452"/>
    <cellStyle name="Normal 2 2 2 2 3 8 2 2 2" xfId="7453"/>
    <cellStyle name="Normal 2 2 2 2 3 8 2 3" xfId="7454"/>
    <cellStyle name="Normal 2 2 2 2 3 8 3" xfId="7455"/>
    <cellStyle name="Normal 2 2 2 2 3 8 3 2" xfId="7456"/>
    <cellStyle name="Normal 2 2 2 2 3 8 4" xfId="7457"/>
    <cellStyle name="Normal 2 2 2 2 3 9" xfId="7458"/>
    <cellStyle name="Normal 2 2 2 2 3 9 2" xfId="7459"/>
    <cellStyle name="Normal 2 2 2 2 3 9 2 2" xfId="7460"/>
    <cellStyle name="Normal 2 2 2 2 3 9 3" xfId="7461"/>
    <cellStyle name="Normal 2 2 2 2 4" xfId="98"/>
    <cellStyle name="Normal 2 2 2 2 4 10" xfId="7462"/>
    <cellStyle name="Normal 2 2 2 2 4 2" xfId="235"/>
    <cellStyle name="Normal 2 2 2 2 4 2 2" xfId="507"/>
    <cellStyle name="Normal 2 2 2 2 4 2 2 2" xfId="1187"/>
    <cellStyle name="Normal 2 2 2 2 4 2 2 2 2" xfId="2547"/>
    <cellStyle name="Normal 2 2 2 2 4 2 2 2 2 2" xfId="5267"/>
    <cellStyle name="Normal 2 2 2 2 4 2 2 2 2 2 2" xfId="7463"/>
    <cellStyle name="Normal 2 2 2 2 4 2 2 2 2 2 2 2" xfId="7464"/>
    <cellStyle name="Normal 2 2 2 2 4 2 2 2 2 2 2 2 2" xfId="7465"/>
    <cellStyle name="Normal 2 2 2 2 4 2 2 2 2 2 2 3" xfId="7466"/>
    <cellStyle name="Normal 2 2 2 2 4 2 2 2 2 2 3" xfId="7467"/>
    <cellStyle name="Normal 2 2 2 2 4 2 2 2 2 2 3 2" xfId="7468"/>
    <cellStyle name="Normal 2 2 2 2 4 2 2 2 2 2 4" xfId="7469"/>
    <cellStyle name="Normal 2 2 2 2 4 2 2 2 2 3" xfId="7470"/>
    <cellStyle name="Normal 2 2 2 2 4 2 2 2 2 3 2" xfId="7471"/>
    <cellStyle name="Normal 2 2 2 2 4 2 2 2 2 3 2 2" xfId="7472"/>
    <cellStyle name="Normal 2 2 2 2 4 2 2 2 2 3 3" xfId="7473"/>
    <cellStyle name="Normal 2 2 2 2 4 2 2 2 2 4" xfId="7474"/>
    <cellStyle name="Normal 2 2 2 2 4 2 2 2 2 4 2" xfId="7475"/>
    <cellStyle name="Normal 2 2 2 2 4 2 2 2 2 5" xfId="7476"/>
    <cellStyle name="Normal 2 2 2 2 4 2 2 2 3" xfId="3907"/>
    <cellStyle name="Normal 2 2 2 2 4 2 2 2 3 2" xfId="7477"/>
    <cellStyle name="Normal 2 2 2 2 4 2 2 2 3 2 2" xfId="7478"/>
    <cellStyle name="Normal 2 2 2 2 4 2 2 2 3 2 2 2" xfId="7479"/>
    <cellStyle name="Normal 2 2 2 2 4 2 2 2 3 2 3" xfId="7480"/>
    <cellStyle name="Normal 2 2 2 2 4 2 2 2 3 3" xfId="7481"/>
    <cellStyle name="Normal 2 2 2 2 4 2 2 2 3 3 2" xfId="7482"/>
    <cellStyle name="Normal 2 2 2 2 4 2 2 2 3 4" xfId="7483"/>
    <cellStyle name="Normal 2 2 2 2 4 2 2 2 4" xfId="7484"/>
    <cellStyle name="Normal 2 2 2 2 4 2 2 2 4 2" xfId="7485"/>
    <cellStyle name="Normal 2 2 2 2 4 2 2 2 4 2 2" xfId="7486"/>
    <cellStyle name="Normal 2 2 2 2 4 2 2 2 4 3" xfId="7487"/>
    <cellStyle name="Normal 2 2 2 2 4 2 2 2 5" xfId="7488"/>
    <cellStyle name="Normal 2 2 2 2 4 2 2 2 5 2" xfId="7489"/>
    <cellStyle name="Normal 2 2 2 2 4 2 2 2 6" xfId="7490"/>
    <cellStyle name="Normal 2 2 2 2 4 2 2 3" xfId="1867"/>
    <cellStyle name="Normal 2 2 2 2 4 2 2 3 2" xfId="4587"/>
    <cellStyle name="Normal 2 2 2 2 4 2 2 3 2 2" xfId="7491"/>
    <cellStyle name="Normal 2 2 2 2 4 2 2 3 2 2 2" xfId="7492"/>
    <cellStyle name="Normal 2 2 2 2 4 2 2 3 2 2 2 2" xfId="7493"/>
    <cellStyle name="Normal 2 2 2 2 4 2 2 3 2 2 3" xfId="7494"/>
    <cellStyle name="Normal 2 2 2 2 4 2 2 3 2 3" xfId="7495"/>
    <cellStyle name="Normal 2 2 2 2 4 2 2 3 2 3 2" xfId="7496"/>
    <cellStyle name="Normal 2 2 2 2 4 2 2 3 2 4" xfId="7497"/>
    <cellStyle name="Normal 2 2 2 2 4 2 2 3 3" xfId="7498"/>
    <cellStyle name="Normal 2 2 2 2 4 2 2 3 3 2" xfId="7499"/>
    <cellStyle name="Normal 2 2 2 2 4 2 2 3 3 2 2" xfId="7500"/>
    <cellStyle name="Normal 2 2 2 2 4 2 2 3 3 3" xfId="7501"/>
    <cellStyle name="Normal 2 2 2 2 4 2 2 3 4" xfId="7502"/>
    <cellStyle name="Normal 2 2 2 2 4 2 2 3 4 2" xfId="7503"/>
    <cellStyle name="Normal 2 2 2 2 4 2 2 3 5" xfId="7504"/>
    <cellStyle name="Normal 2 2 2 2 4 2 2 4" xfId="3227"/>
    <cellStyle name="Normal 2 2 2 2 4 2 2 4 2" xfId="7505"/>
    <cellStyle name="Normal 2 2 2 2 4 2 2 4 2 2" xfId="7506"/>
    <cellStyle name="Normal 2 2 2 2 4 2 2 4 2 2 2" xfId="7507"/>
    <cellStyle name="Normal 2 2 2 2 4 2 2 4 2 3" xfId="7508"/>
    <cellStyle name="Normal 2 2 2 2 4 2 2 4 3" xfId="7509"/>
    <cellStyle name="Normal 2 2 2 2 4 2 2 4 3 2" xfId="7510"/>
    <cellStyle name="Normal 2 2 2 2 4 2 2 4 4" xfId="7511"/>
    <cellStyle name="Normal 2 2 2 2 4 2 2 5" xfId="7512"/>
    <cellStyle name="Normal 2 2 2 2 4 2 2 5 2" xfId="7513"/>
    <cellStyle name="Normal 2 2 2 2 4 2 2 5 2 2" xfId="7514"/>
    <cellStyle name="Normal 2 2 2 2 4 2 2 5 3" xfId="7515"/>
    <cellStyle name="Normal 2 2 2 2 4 2 2 6" xfId="7516"/>
    <cellStyle name="Normal 2 2 2 2 4 2 2 6 2" xfId="7517"/>
    <cellStyle name="Normal 2 2 2 2 4 2 2 7" xfId="7518"/>
    <cellStyle name="Normal 2 2 2 2 4 2 3" xfId="915"/>
    <cellStyle name="Normal 2 2 2 2 4 2 3 2" xfId="2275"/>
    <cellStyle name="Normal 2 2 2 2 4 2 3 2 2" xfId="4995"/>
    <cellStyle name="Normal 2 2 2 2 4 2 3 2 2 2" xfId="7519"/>
    <cellStyle name="Normal 2 2 2 2 4 2 3 2 2 2 2" xfId="7520"/>
    <cellStyle name="Normal 2 2 2 2 4 2 3 2 2 2 2 2" xfId="7521"/>
    <cellStyle name="Normal 2 2 2 2 4 2 3 2 2 2 3" xfId="7522"/>
    <cellStyle name="Normal 2 2 2 2 4 2 3 2 2 3" xfId="7523"/>
    <cellStyle name="Normal 2 2 2 2 4 2 3 2 2 3 2" xfId="7524"/>
    <cellStyle name="Normal 2 2 2 2 4 2 3 2 2 4" xfId="7525"/>
    <cellStyle name="Normal 2 2 2 2 4 2 3 2 3" xfId="7526"/>
    <cellStyle name="Normal 2 2 2 2 4 2 3 2 3 2" xfId="7527"/>
    <cellStyle name="Normal 2 2 2 2 4 2 3 2 3 2 2" xfId="7528"/>
    <cellStyle name="Normal 2 2 2 2 4 2 3 2 3 3" xfId="7529"/>
    <cellStyle name="Normal 2 2 2 2 4 2 3 2 4" xfId="7530"/>
    <cellStyle name="Normal 2 2 2 2 4 2 3 2 4 2" xfId="7531"/>
    <cellStyle name="Normal 2 2 2 2 4 2 3 2 5" xfId="7532"/>
    <cellStyle name="Normal 2 2 2 2 4 2 3 3" xfId="3635"/>
    <cellStyle name="Normal 2 2 2 2 4 2 3 3 2" xfId="7533"/>
    <cellStyle name="Normal 2 2 2 2 4 2 3 3 2 2" xfId="7534"/>
    <cellStyle name="Normal 2 2 2 2 4 2 3 3 2 2 2" xfId="7535"/>
    <cellStyle name="Normal 2 2 2 2 4 2 3 3 2 3" xfId="7536"/>
    <cellStyle name="Normal 2 2 2 2 4 2 3 3 3" xfId="7537"/>
    <cellStyle name="Normal 2 2 2 2 4 2 3 3 3 2" xfId="7538"/>
    <cellStyle name="Normal 2 2 2 2 4 2 3 3 4" xfId="7539"/>
    <cellStyle name="Normal 2 2 2 2 4 2 3 4" xfId="7540"/>
    <cellStyle name="Normal 2 2 2 2 4 2 3 4 2" xfId="7541"/>
    <cellStyle name="Normal 2 2 2 2 4 2 3 4 2 2" xfId="7542"/>
    <cellStyle name="Normal 2 2 2 2 4 2 3 4 3" xfId="7543"/>
    <cellStyle name="Normal 2 2 2 2 4 2 3 5" xfId="7544"/>
    <cellStyle name="Normal 2 2 2 2 4 2 3 5 2" xfId="7545"/>
    <cellStyle name="Normal 2 2 2 2 4 2 3 6" xfId="7546"/>
    <cellStyle name="Normal 2 2 2 2 4 2 4" xfId="1595"/>
    <cellStyle name="Normal 2 2 2 2 4 2 4 2" xfId="4315"/>
    <cellStyle name="Normal 2 2 2 2 4 2 4 2 2" xfId="7547"/>
    <cellStyle name="Normal 2 2 2 2 4 2 4 2 2 2" xfId="7548"/>
    <cellStyle name="Normal 2 2 2 2 4 2 4 2 2 2 2" xfId="7549"/>
    <cellStyle name="Normal 2 2 2 2 4 2 4 2 2 3" xfId="7550"/>
    <cellStyle name="Normal 2 2 2 2 4 2 4 2 3" xfId="7551"/>
    <cellStyle name="Normal 2 2 2 2 4 2 4 2 3 2" xfId="7552"/>
    <cellStyle name="Normal 2 2 2 2 4 2 4 2 4" xfId="7553"/>
    <cellStyle name="Normal 2 2 2 2 4 2 4 3" xfId="7554"/>
    <cellStyle name="Normal 2 2 2 2 4 2 4 3 2" xfId="7555"/>
    <cellStyle name="Normal 2 2 2 2 4 2 4 3 2 2" xfId="7556"/>
    <cellStyle name="Normal 2 2 2 2 4 2 4 3 3" xfId="7557"/>
    <cellStyle name="Normal 2 2 2 2 4 2 4 4" xfId="7558"/>
    <cellStyle name="Normal 2 2 2 2 4 2 4 4 2" xfId="7559"/>
    <cellStyle name="Normal 2 2 2 2 4 2 4 5" xfId="7560"/>
    <cellStyle name="Normal 2 2 2 2 4 2 5" xfId="2955"/>
    <cellStyle name="Normal 2 2 2 2 4 2 5 2" xfId="7561"/>
    <cellStyle name="Normal 2 2 2 2 4 2 5 2 2" xfId="7562"/>
    <cellStyle name="Normal 2 2 2 2 4 2 5 2 2 2" xfId="7563"/>
    <cellStyle name="Normal 2 2 2 2 4 2 5 2 3" xfId="7564"/>
    <cellStyle name="Normal 2 2 2 2 4 2 5 3" xfId="7565"/>
    <cellStyle name="Normal 2 2 2 2 4 2 5 3 2" xfId="7566"/>
    <cellStyle name="Normal 2 2 2 2 4 2 5 4" xfId="7567"/>
    <cellStyle name="Normal 2 2 2 2 4 2 6" xfId="7568"/>
    <cellStyle name="Normal 2 2 2 2 4 2 6 2" xfId="7569"/>
    <cellStyle name="Normal 2 2 2 2 4 2 6 2 2" xfId="7570"/>
    <cellStyle name="Normal 2 2 2 2 4 2 6 3" xfId="7571"/>
    <cellStyle name="Normal 2 2 2 2 4 2 7" xfId="7572"/>
    <cellStyle name="Normal 2 2 2 2 4 2 7 2" xfId="7573"/>
    <cellStyle name="Normal 2 2 2 2 4 2 8" xfId="7574"/>
    <cellStyle name="Normal 2 2 2 2 4 3" xfId="371"/>
    <cellStyle name="Normal 2 2 2 2 4 3 2" xfId="1051"/>
    <cellStyle name="Normal 2 2 2 2 4 3 2 2" xfId="2411"/>
    <cellStyle name="Normal 2 2 2 2 4 3 2 2 2" xfId="5131"/>
    <cellStyle name="Normal 2 2 2 2 4 3 2 2 2 2" xfId="7575"/>
    <cellStyle name="Normal 2 2 2 2 4 3 2 2 2 2 2" xfId="7576"/>
    <cellStyle name="Normal 2 2 2 2 4 3 2 2 2 2 2 2" xfId="7577"/>
    <cellStyle name="Normal 2 2 2 2 4 3 2 2 2 2 3" xfId="7578"/>
    <cellStyle name="Normal 2 2 2 2 4 3 2 2 2 3" xfId="7579"/>
    <cellStyle name="Normal 2 2 2 2 4 3 2 2 2 3 2" xfId="7580"/>
    <cellStyle name="Normal 2 2 2 2 4 3 2 2 2 4" xfId="7581"/>
    <cellStyle name="Normal 2 2 2 2 4 3 2 2 3" xfId="7582"/>
    <cellStyle name="Normal 2 2 2 2 4 3 2 2 3 2" xfId="7583"/>
    <cellStyle name="Normal 2 2 2 2 4 3 2 2 3 2 2" xfId="7584"/>
    <cellStyle name="Normal 2 2 2 2 4 3 2 2 3 3" xfId="7585"/>
    <cellStyle name="Normal 2 2 2 2 4 3 2 2 4" xfId="7586"/>
    <cellStyle name="Normal 2 2 2 2 4 3 2 2 4 2" xfId="7587"/>
    <cellStyle name="Normal 2 2 2 2 4 3 2 2 5" xfId="7588"/>
    <cellStyle name="Normal 2 2 2 2 4 3 2 3" xfId="3771"/>
    <cellStyle name="Normal 2 2 2 2 4 3 2 3 2" xfId="7589"/>
    <cellStyle name="Normal 2 2 2 2 4 3 2 3 2 2" xfId="7590"/>
    <cellStyle name="Normal 2 2 2 2 4 3 2 3 2 2 2" xfId="7591"/>
    <cellStyle name="Normal 2 2 2 2 4 3 2 3 2 3" xfId="7592"/>
    <cellStyle name="Normal 2 2 2 2 4 3 2 3 3" xfId="7593"/>
    <cellStyle name="Normal 2 2 2 2 4 3 2 3 3 2" xfId="7594"/>
    <cellStyle name="Normal 2 2 2 2 4 3 2 3 4" xfId="7595"/>
    <cellStyle name="Normal 2 2 2 2 4 3 2 4" xfId="7596"/>
    <cellStyle name="Normal 2 2 2 2 4 3 2 4 2" xfId="7597"/>
    <cellStyle name="Normal 2 2 2 2 4 3 2 4 2 2" xfId="7598"/>
    <cellStyle name="Normal 2 2 2 2 4 3 2 4 3" xfId="7599"/>
    <cellStyle name="Normal 2 2 2 2 4 3 2 5" xfId="7600"/>
    <cellStyle name="Normal 2 2 2 2 4 3 2 5 2" xfId="7601"/>
    <cellStyle name="Normal 2 2 2 2 4 3 2 6" xfId="7602"/>
    <cellStyle name="Normal 2 2 2 2 4 3 3" xfId="1731"/>
    <cellStyle name="Normal 2 2 2 2 4 3 3 2" xfId="4451"/>
    <cellStyle name="Normal 2 2 2 2 4 3 3 2 2" xfId="7603"/>
    <cellStyle name="Normal 2 2 2 2 4 3 3 2 2 2" xfId="7604"/>
    <cellStyle name="Normal 2 2 2 2 4 3 3 2 2 2 2" xfId="7605"/>
    <cellStyle name="Normal 2 2 2 2 4 3 3 2 2 3" xfId="7606"/>
    <cellStyle name="Normal 2 2 2 2 4 3 3 2 3" xfId="7607"/>
    <cellStyle name="Normal 2 2 2 2 4 3 3 2 3 2" xfId="7608"/>
    <cellStyle name="Normal 2 2 2 2 4 3 3 2 4" xfId="7609"/>
    <cellStyle name="Normal 2 2 2 2 4 3 3 3" xfId="7610"/>
    <cellStyle name="Normal 2 2 2 2 4 3 3 3 2" xfId="7611"/>
    <cellStyle name="Normal 2 2 2 2 4 3 3 3 2 2" xfId="7612"/>
    <cellStyle name="Normal 2 2 2 2 4 3 3 3 3" xfId="7613"/>
    <cellStyle name="Normal 2 2 2 2 4 3 3 4" xfId="7614"/>
    <cellStyle name="Normal 2 2 2 2 4 3 3 4 2" xfId="7615"/>
    <cellStyle name="Normal 2 2 2 2 4 3 3 5" xfId="7616"/>
    <cellStyle name="Normal 2 2 2 2 4 3 4" xfId="3091"/>
    <cellStyle name="Normal 2 2 2 2 4 3 4 2" xfId="7617"/>
    <cellStyle name="Normal 2 2 2 2 4 3 4 2 2" xfId="7618"/>
    <cellStyle name="Normal 2 2 2 2 4 3 4 2 2 2" xfId="7619"/>
    <cellStyle name="Normal 2 2 2 2 4 3 4 2 3" xfId="7620"/>
    <cellStyle name="Normal 2 2 2 2 4 3 4 3" xfId="7621"/>
    <cellStyle name="Normal 2 2 2 2 4 3 4 3 2" xfId="7622"/>
    <cellStyle name="Normal 2 2 2 2 4 3 4 4" xfId="7623"/>
    <cellStyle name="Normal 2 2 2 2 4 3 5" xfId="7624"/>
    <cellStyle name="Normal 2 2 2 2 4 3 5 2" xfId="7625"/>
    <cellStyle name="Normal 2 2 2 2 4 3 5 2 2" xfId="7626"/>
    <cellStyle name="Normal 2 2 2 2 4 3 5 3" xfId="7627"/>
    <cellStyle name="Normal 2 2 2 2 4 3 6" xfId="7628"/>
    <cellStyle name="Normal 2 2 2 2 4 3 6 2" xfId="7629"/>
    <cellStyle name="Normal 2 2 2 2 4 3 7" xfId="7630"/>
    <cellStyle name="Normal 2 2 2 2 4 4" xfId="643"/>
    <cellStyle name="Normal 2 2 2 2 4 4 2" xfId="1323"/>
    <cellStyle name="Normal 2 2 2 2 4 4 2 2" xfId="2683"/>
    <cellStyle name="Normal 2 2 2 2 4 4 2 2 2" xfId="5403"/>
    <cellStyle name="Normal 2 2 2 2 4 4 2 2 2 2" xfId="7631"/>
    <cellStyle name="Normal 2 2 2 2 4 4 2 2 2 2 2" xfId="7632"/>
    <cellStyle name="Normal 2 2 2 2 4 4 2 2 2 2 2 2" xfId="7633"/>
    <cellStyle name="Normal 2 2 2 2 4 4 2 2 2 2 3" xfId="7634"/>
    <cellStyle name="Normal 2 2 2 2 4 4 2 2 2 3" xfId="7635"/>
    <cellStyle name="Normal 2 2 2 2 4 4 2 2 2 3 2" xfId="7636"/>
    <cellStyle name="Normal 2 2 2 2 4 4 2 2 2 4" xfId="7637"/>
    <cellStyle name="Normal 2 2 2 2 4 4 2 2 3" xfId="7638"/>
    <cellStyle name="Normal 2 2 2 2 4 4 2 2 3 2" xfId="7639"/>
    <cellStyle name="Normal 2 2 2 2 4 4 2 2 3 2 2" xfId="7640"/>
    <cellStyle name="Normal 2 2 2 2 4 4 2 2 3 3" xfId="7641"/>
    <cellStyle name="Normal 2 2 2 2 4 4 2 2 4" xfId="7642"/>
    <cellStyle name="Normal 2 2 2 2 4 4 2 2 4 2" xfId="7643"/>
    <cellStyle name="Normal 2 2 2 2 4 4 2 2 5" xfId="7644"/>
    <cellStyle name="Normal 2 2 2 2 4 4 2 3" xfId="4043"/>
    <cellStyle name="Normal 2 2 2 2 4 4 2 3 2" xfId="7645"/>
    <cellStyle name="Normal 2 2 2 2 4 4 2 3 2 2" xfId="7646"/>
    <cellStyle name="Normal 2 2 2 2 4 4 2 3 2 2 2" xfId="7647"/>
    <cellStyle name="Normal 2 2 2 2 4 4 2 3 2 3" xfId="7648"/>
    <cellStyle name="Normal 2 2 2 2 4 4 2 3 3" xfId="7649"/>
    <cellStyle name="Normal 2 2 2 2 4 4 2 3 3 2" xfId="7650"/>
    <cellStyle name="Normal 2 2 2 2 4 4 2 3 4" xfId="7651"/>
    <cellStyle name="Normal 2 2 2 2 4 4 2 4" xfId="7652"/>
    <cellStyle name="Normal 2 2 2 2 4 4 2 4 2" xfId="7653"/>
    <cellStyle name="Normal 2 2 2 2 4 4 2 4 2 2" xfId="7654"/>
    <cellStyle name="Normal 2 2 2 2 4 4 2 4 3" xfId="7655"/>
    <cellStyle name="Normal 2 2 2 2 4 4 2 5" xfId="7656"/>
    <cellStyle name="Normal 2 2 2 2 4 4 2 5 2" xfId="7657"/>
    <cellStyle name="Normal 2 2 2 2 4 4 2 6" xfId="7658"/>
    <cellStyle name="Normal 2 2 2 2 4 4 3" xfId="2003"/>
    <cellStyle name="Normal 2 2 2 2 4 4 3 2" xfId="4723"/>
    <cellStyle name="Normal 2 2 2 2 4 4 3 2 2" xfId="7659"/>
    <cellStyle name="Normal 2 2 2 2 4 4 3 2 2 2" xfId="7660"/>
    <cellStyle name="Normal 2 2 2 2 4 4 3 2 2 2 2" xfId="7661"/>
    <cellStyle name="Normal 2 2 2 2 4 4 3 2 2 3" xfId="7662"/>
    <cellStyle name="Normal 2 2 2 2 4 4 3 2 3" xfId="7663"/>
    <cellStyle name="Normal 2 2 2 2 4 4 3 2 3 2" xfId="7664"/>
    <cellStyle name="Normal 2 2 2 2 4 4 3 2 4" xfId="7665"/>
    <cellStyle name="Normal 2 2 2 2 4 4 3 3" xfId="7666"/>
    <cellStyle name="Normal 2 2 2 2 4 4 3 3 2" xfId="7667"/>
    <cellStyle name="Normal 2 2 2 2 4 4 3 3 2 2" xfId="7668"/>
    <cellStyle name="Normal 2 2 2 2 4 4 3 3 3" xfId="7669"/>
    <cellStyle name="Normal 2 2 2 2 4 4 3 4" xfId="7670"/>
    <cellStyle name="Normal 2 2 2 2 4 4 3 4 2" xfId="7671"/>
    <cellStyle name="Normal 2 2 2 2 4 4 3 5" xfId="7672"/>
    <cellStyle name="Normal 2 2 2 2 4 4 4" xfId="3363"/>
    <cellStyle name="Normal 2 2 2 2 4 4 4 2" xfId="7673"/>
    <cellStyle name="Normal 2 2 2 2 4 4 4 2 2" xfId="7674"/>
    <cellStyle name="Normal 2 2 2 2 4 4 4 2 2 2" xfId="7675"/>
    <cellStyle name="Normal 2 2 2 2 4 4 4 2 3" xfId="7676"/>
    <cellStyle name="Normal 2 2 2 2 4 4 4 3" xfId="7677"/>
    <cellStyle name="Normal 2 2 2 2 4 4 4 3 2" xfId="7678"/>
    <cellStyle name="Normal 2 2 2 2 4 4 4 4" xfId="7679"/>
    <cellStyle name="Normal 2 2 2 2 4 4 5" xfId="7680"/>
    <cellStyle name="Normal 2 2 2 2 4 4 5 2" xfId="7681"/>
    <cellStyle name="Normal 2 2 2 2 4 4 5 2 2" xfId="7682"/>
    <cellStyle name="Normal 2 2 2 2 4 4 5 3" xfId="7683"/>
    <cellStyle name="Normal 2 2 2 2 4 4 6" xfId="7684"/>
    <cellStyle name="Normal 2 2 2 2 4 4 6 2" xfId="7685"/>
    <cellStyle name="Normal 2 2 2 2 4 4 7" xfId="7686"/>
    <cellStyle name="Normal 2 2 2 2 4 5" xfId="779"/>
    <cellStyle name="Normal 2 2 2 2 4 5 2" xfId="2139"/>
    <cellStyle name="Normal 2 2 2 2 4 5 2 2" xfId="4859"/>
    <cellStyle name="Normal 2 2 2 2 4 5 2 2 2" xfId="7687"/>
    <cellStyle name="Normal 2 2 2 2 4 5 2 2 2 2" xfId="7688"/>
    <cellStyle name="Normal 2 2 2 2 4 5 2 2 2 2 2" xfId="7689"/>
    <cellStyle name="Normal 2 2 2 2 4 5 2 2 2 3" xfId="7690"/>
    <cellStyle name="Normal 2 2 2 2 4 5 2 2 3" xfId="7691"/>
    <cellStyle name="Normal 2 2 2 2 4 5 2 2 3 2" xfId="7692"/>
    <cellStyle name="Normal 2 2 2 2 4 5 2 2 4" xfId="7693"/>
    <cellStyle name="Normal 2 2 2 2 4 5 2 3" xfId="7694"/>
    <cellStyle name="Normal 2 2 2 2 4 5 2 3 2" xfId="7695"/>
    <cellStyle name="Normal 2 2 2 2 4 5 2 3 2 2" xfId="7696"/>
    <cellStyle name="Normal 2 2 2 2 4 5 2 3 3" xfId="7697"/>
    <cellStyle name="Normal 2 2 2 2 4 5 2 4" xfId="7698"/>
    <cellStyle name="Normal 2 2 2 2 4 5 2 4 2" xfId="7699"/>
    <cellStyle name="Normal 2 2 2 2 4 5 2 5" xfId="7700"/>
    <cellStyle name="Normal 2 2 2 2 4 5 3" xfId="3499"/>
    <cellStyle name="Normal 2 2 2 2 4 5 3 2" xfId="7701"/>
    <cellStyle name="Normal 2 2 2 2 4 5 3 2 2" xfId="7702"/>
    <cellStyle name="Normal 2 2 2 2 4 5 3 2 2 2" xfId="7703"/>
    <cellStyle name="Normal 2 2 2 2 4 5 3 2 3" xfId="7704"/>
    <cellStyle name="Normal 2 2 2 2 4 5 3 3" xfId="7705"/>
    <cellStyle name="Normal 2 2 2 2 4 5 3 3 2" xfId="7706"/>
    <cellStyle name="Normal 2 2 2 2 4 5 3 4" xfId="7707"/>
    <cellStyle name="Normal 2 2 2 2 4 5 4" xfId="7708"/>
    <cellStyle name="Normal 2 2 2 2 4 5 4 2" xfId="7709"/>
    <cellStyle name="Normal 2 2 2 2 4 5 4 2 2" xfId="7710"/>
    <cellStyle name="Normal 2 2 2 2 4 5 4 3" xfId="7711"/>
    <cellStyle name="Normal 2 2 2 2 4 5 5" xfId="7712"/>
    <cellStyle name="Normal 2 2 2 2 4 5 5 2" xfId="7713"/>
    <cellStyle name="Normal 2 2 2 2 4 5 6" xfId="7714"/>
    <cellStyle name="Normal 2 2 2 2 4 6" xfId="1459"/>
    <cellStyle name="Normal 2 2 2 2 4 6 2" xfId="4179"/>
    <cellStyle name="Normal 2 2 2 2 4 6 2 2" xfId="7715"/>
    <cellStyle name="Normal 2 2 2 2 4 6 2 2 2" xfId="7716"/>
    <cellStyle name="Normal 2 2 2 2 4 6 2 2 2 2" xfId="7717"/>
    <cellStyle name="Normal 2 2 2 2 4 6 2 2 3" xfId="7718"/>
    <cellStyle name="Normal 2 2 2 2 4 6 2 3" xfId="7719"/>
    <cellStyle name="Normal 2 2 2 2 4 6 2 3 2" xfId="7720"/>
    <cellStyle name="Normal 2 2 2 2 4 6 2 4" xfId="7721"/>
    <cellStyle name="Normal 2 2 2 2 4 6 3" xfId="7722"/>
    <cellStyle name="Normal 2 2 2 2 4 6 3 2" xfId="7723"/>
    <cellStyle name="Normal 2 2 2 2 4 6 3 2 2" xfId="7724"/>
    <cellStyle name="Normal 2 2 2 2 4 6 3 3" xfId="7725"/>
    <cellStyle name="Normal 2 2 2 2 4 6 4" xfId="7726"/>
    <cellStyle name="Normal 2 2 2 2 4 6 4 2" xfId="7727"/>
    <cellStyle name="Normal 2 2 2 2 4 6 5" xfId="7728"/>
    <cellStyle name="Normal 2 2 2 2 4 7" xfId="2819"/>
    <cellStyle name="Normal 2 2 2 2 4 7 2" xfId="7729"/>
    <cellStyle name="Normal 2 2 2 2 4 7 2 2" xfId="7730"/>
    <cellStyle name="Normal 2 2 2 2 4 7 2 2 2" xfId="7731"/>
    <cellStyle name="Normal 2 2 2 2 4 7 2 3" xfId="7732"/>
    <cellStyle name="Normal 2 2 2 2 4 7 3" xfId="7733"/>
    <cellStyle name="Normal 2 2 2 2 4 7 3 2" xfId="7734"/>
    <cellStyle name="Normal 2 2 2 2 4 7 4" xfId="7735"/>
    <cellStyle name="Normal 2 2 2 2 4 8" xfId="7736"/>
    <cellStyle name="Normal 2 2 2 2 4 8 2" xfId="7737"/>
    <cellStyle name="Normal 2 2 2 2 4 8 2 2" xfId="7738"/>
    <cellStyle name="Normal 2 2 2 2 4 8 3" xfId="7739"/>
    <cellStyle name="Normal 2 2 2 2 4 9" xfId="7740"/>
    <cellStyle name="Normal 2 2 2 2 4 9 2" xfId="7741"/>
    <cellStyle name="Normal 2 2 2 2 5" xfId="167"/>
    <cellStyle name="Normal 2 2 2 2 5 2" xfId="439"/>
    <cellStyle name="Normal 2 2 2 2 5 2 2" xfId="1119"/>
    <cellStyle name="Normal 2 2 2 2 5 2 2 2" xfId="2479"/>
    <cellStyle name="Normal 2 2 2 2 5 2 2 2 2" xfId="5199"/>
    <cellStyle name="Normal 2 2 2 2 5 2 2 2 2 2" xfId="7742"/>
    <cellStyle name="Normal 2 2 2 2 5 2 2 2 2 2 2" xfId="7743"/>
    <cellStyle name="Normal 2 2 2 2 5 2 2 2 2 2 2 2" xfId="7744"/>
    <cellStyle name="Normal 2 2 2 2 5 2 2 2 2 2 3" xfId="7745"/>
    <cellStyle name="Normal 2 2 2 2 5 2 2 2 2 3" xfId="7746"/>
    <cellStyle name="Normal 2 2 2 2 5 2 2 2 2 3 2" xfId="7747"/>
    <cellStyle name="Normal 2 2 2 2 5 2 2 2 2 4" xfId="7748"/>
    <cellStyle name="Normal 2 2 2 2 5 2 2 2 3" xfId="7749"/>
    <cellStyle name="Normal 2 2 2 2 5 2 2 2 3 2" xfId="7750"/>
    <cellStyle name="Normal 2 2 2 2 5 2 2 2 3 2 2" xfId="7751"/>
    <cellStyle name="Normal 2 2 2 2 5 2 2 2 3 3" xfId="7752"/>
    <cellStyle name="Normal 2 2 2 2 5 2 2 2 4" xfId="7753"/>
    <cellStyle name="Normal 2 2 2 2 5 2 2 2 4 2" xfId="7754"/>
    <cellStyle name="Normal 2 2 2 2 5 2 2 2 5" xfId="7755"/>
    <cellStyle name="Normal 2 2 2 2 5 2 2 3" xfId="3839"/>
    <cellStyle name="Normal 2 2 2 2 5 2 2 3 2" xfId="7756"/>
    <cellStyle name="Normal 2 2 2 2 5 2 2 3 2 2" xfId="7757"/>
    <cellStyle name="Normal 2 2 2 2 5 2 2 3 2 2 2" xfId="7758"/>
    <cellStyle name="Normal 2 2 2 2 5 2 2 3 2 3" xfId="7759"/>
    <cellStyle name="Normal 2 2 2 2 5 2 2 3 3" xfId="7760"/>
    <cellStyle name="Normal 2 2 2 2 5 2 2 3 3 2" xfId="7761"/>
    <cellStyle name="Normal 2 2 2 2 5 2 2 3 4" xfId="7762"/>
    <cellStyle name="Normal 2 2 2 2 5 2 2 4" xfId="7763"/>
    <cellStyle name="Normal 2 2 2 2 5 2 2 4 2" xfId="7764"/>
    <cellStyle name="Normal 2 2 2 2 5 2 2 4 2 2" xfId="7765"/>
    <cellStyle name="Normal 2 2 2 2 5 2 2 4 3" xfId="7766"/>
    <cellStyle name="Normal 2 2 2 2 5 2 2 5" xfId="7767"/>
    <cellStyle name="Normal 2 2 2 2 5 2 2 5 2" xfId="7768"/>
    <cellStyle name="Normal 2 2 2 2 5 2 2 6" xfId="7769"/>
    <cellStyle name="Normal 2 2 2 2 5 2 3" xfId="1799"/>
    <cellStyle name="Normal 2 2 2 2 5 2 3 2" xfId="4519"/>
    <cellStyle name="Normal 2 2 2 2 5 2 3 2 2" xfId="7770"/>
    <cellStyle name="Normal 2 2 2 2 5 2 3 2 2 2" xfId="7771"/>
    <cellStyle name="Normal 2 2 2 2 5 2 3 2 2 2 2" xfId="7772"/>
    <cellStyle name="Normal 2 2 2 2 5 2 3 2 2 3" xfId="7773"/>
    <cellStyle name="Normal 2 2 2 2 5 2 3 2 3" xfId="7774"/>
    <cellStyle name="Normal 2 2 2 2 5 2 3 2 3 2" xfId="7775"/>
    <cellStyle name="Normal 2 2 2 2 5 2 3 2 4" xfId="7776"/>
    <cellStyle name="Normal 2 2 2 2 5 2 3 3" xfId="7777"/>
    <cellStyle name="Normal 2 2 2 2 5 2 3 3 2" xfId="7778"/>
    <cellStyle name="Normal 2 2 2 2 5 2 3 3 2 2" xfId="7779"/>
    <cellStyle name="Normal 2 2 2 2 5 2 3 3 3" xfId="7780"/>
    <cellStyle name="Normal 2 2 2 2 5 2 3 4" xfId="7781"/>
    <cellStyle name="Normal 2 2 2 2 5 2 3 4 2" xfId="7782"/>
    <cellStyle name="Normal 2 2 2 2 5 2 3 5" xfId="7783"/>
    <cellStyle name="Normal 2 2 2 2 5 2 4" xfId="3159"/>
    <cellStyle name="Normal 2 2 2 2 5 2 4 2" xfId="7784"/>
    <cellStyle name="Normal 2 2 2 2 5 2 4 2 2" xfId="7785"/>
    <cellStyle name="Normal 2 2 2 2 5 2 4 2 2 2" xfId="7786"/>
    <cellStyle name="Normal 2 2 2 2 5 2 4 2 3" xfId="7787"/>
    <cellStyle name="Normal 2 2 2 2 5 2 4 3" xfId="7788"/>
    <cellStyle name="Normal 2 2 2 2 5 2 4 3 2" xfId="7789"/>
    <cellStyle name="Normal 2 2 2 2 5 2 4 4" xfId="7790"/>
    <cellStyle name="Normal 2 2 2 2 5 2 5" xfId="7791"/>
    <cellStyle name="Normal 2 2 2 2 5 2 5 2" xfId="7792"/>
    <cellStyle name="Normal 2 2 2 2 5 2 5 2 2" xfId="7793"/>
    <cellStyle name="Normal 2 2 2 2 5 2 5 3" xfId="7794"/>
    <cellStyle name="Normal 2 2 2 2 5 2 6" xfId="7795"/>
    <cellStyle name="Normal 2 2 2 2 5 2 6 2" xfId="7796"/>
    <cellStyle name="Normal 2 2 2 2 5 2 7" xfId="7797"/>
    <cellStyle name="Normal 2 2 2 2 5 3" xfId="847"/>
    <cellStyle name="Normal 2 2 2 2 5 3 2" xfId="2207"/>
    <cellStyle name="Normal 2 2 2 2 5 3 2 2" xfId="4927"/>
    <cellStyle name="Normal 2 2 2 2 5 3 2 2 2" xfId="7798"/>
    <cellStyle name="Normal 2 2 2 2 5 3 2 2 2 2" xfId="7799"/>
    <cellStyle name="Normal 2 2 2 2 5 3 2 2 2 2 2" xfId="7800"/>
    <cellStyle name="Normal 2 2 2 2 5 3 2 2 2 3" xfId="7801"/>
    <cellStyle name="Normal 2 2 2 2 5 3 2 2 3" xfId="7802"/>
    <cellStyle name="Normal 2 2 2 2 5 3 2 2 3 2" xfId="7803"/>
    <cellStyle name="Normal 2 2 2 2 5 3 2 2 4" xfId="7804"/>
    <cellStyle name="Normal 2 2 2 2 5 3 2 3" xfId="7805"/>
    <cellStyle name="Normal 2 2 2 2 5 3 2 3 2" xfId="7806"/>
    <cellStyle name="Normal 2 2 2 2 5 3 2 3 2 2" xfId="7807"/>
    <cellStyle name="Normal 2 2 2 2 5 3 2 3 3" xfId="7808"/>
    <cellStyle name="Normal 2 2 2 2 5 3 2 4" xfId="7809"/>
    <cellStyle name="Normal 2 2 2 2 5 3 2 4 2" xfId="7810"/>
    <cellStyle name="Normal 2 2 2 2 5 3 2 5" xfId="7811"/>
    <cellStyle name="Normal 2 2 2 2 5 3 3" xfId="3567"/>
    <cellStyle name="Normal 2 2 2 2 5 3 3 2" xfId="7812"/>
    <cellStyle name="Normal 2 2 2 2 5 3 3 2 2" xfId="7813"/>
    <cellStyle name="Normal 2 2 2 2 5 3 3 2 2 2" xfId="7814"/>
    <cellStyle name="Normal 2 2 2 2 5 3 3 2 3" xfId="7815"/>
    <cellStyle name="Normal 2 2 2 2 5 3 3 3" xfId="7816"/>
    <cellStyle name="Normal 2 2 2 2 5 3 3 3 2" xfId="7817"/>
    <cellStyle name="Normal 2 2 2 2 5 3 3 4" xfId="7818"/>
    <cellStyle name="Normal 2 2 2 2 5 3 4" xfId="7819"/>
    <cellStyle name="Normal 2 2 2 2 5 3 4 2" xfId="7820"/>
    <cellStyle name="Normal 2 2 2 2 5 3 4 2 2" xfId="7821"/>
    <cellStyle name="Normal 2 2 2 2 5 3 4 3" xfId="7822"/>
    <cellStyle name="Normal 2 2 2 2 5 3 5" xfId="7823"/>
    <cellStyle name="Normal 2 2 2 2 5 3 5 2" xfId="7824"/>
    <cellStyle name="Normal 2 2 2 2 5 3 6" xfId="7825"/>
    <cellStyle name="Normal 2 2 2 2 5 4" xfId="1527"/>
    <cellStyle name="Normal 2 2 2 2 5 4 2" xfId="4247"/>
    <cellStyle name="Normal 2 2 2 2 5 4 2 2" xfId="7826"/>
    <cellStyle name="Normal 2 2 2 2 5 4 2 2 2" xfId="7827"/>
    <cellStyle name="Normal 2 2 2 2 5 4 2 2 2 2" xfId="7828"/>
    <cellStyle name="Normal 2 2 2 2 5 4 2 2 3" xfId="7829"/>
    <cellStyle name="Normal 2 2 2 2 5 4 2 3" xfId="7830"/>
    <cellStyle name="Normal 2 2 2 2 5 4 2 3 2" xfId="7831"/>
    <cellStyle name="Normal 2 2 2 2 5 4 2 4" xfId="7832"/>
    <cellStyle name="Normal 2 2 2 2 5 4 3" xfId="7833"/>
    <cellStyle name="Normal 2 2 2 2 5 4 3 2" xfId="7834"/>
    <cellStyle name="Normal 2 2 2 2 5 4 3 2 2" xfId="7835"/>
    <cellStyle name="Normal 2 2 2 2 5 4 3 3" xfId="7836"/>
    <cellStyle name="Normal 2 2 2 2 5 4 4" xfId="7837"/>
    <cellStyle name="Normal 2 2 2 2 5 4 4 2" xfId="7838"/>
    <cellStyle name="Normal 2 2 2 2 5 4 5" xfId="7839"/>
    <cellStyle name="Normal 2 2 2 2 5 5" xfId="2887"/>
    <cellStyle name="Normal 2 2 2 2 5 5 2" xfId="7840"/>
    <cellStyle name="Normal 2 2 2 2 5 5 2 2" xfId="7841"/>
    <cellStyle name="Normal 2 2 2 2 5 5 2 2 2" xfId="7842"/>
    <cellStyle name="Normal 2 2 2 2 5 5 2 3" xfId="7843"/>
    <cellStyle name="Normal 2 2 2 2 5 5 3" xfId="7844"/>
    <cellStyle name="Normal 2 2 2 2 5 5 3 2" xfId="7845"/>
    <cellStyle name="Normal 2 2 2 2 5 5 4" xfId="7846"/>
    <cellStyle name="Normal 2 2 2 2 5 6" xfId="7847"/>
    <cellStyle name="Normal 2 2 2 2 5 6 2" xfId="7848"/>
    <cellStyle name="Normal 2 2 2 2 5 6 2 2" xfId="7849"/>
    <cellStyle name="Normal 2 2 2 2 5 6 3" xfId="7850"/>
    <cellStyle name="Normal 2 2 2 2 5 7" xfId="7851"/>
    <cellStyle name="Normal 2 2 2 2 5 7 2" xfId="7852"/>
    <cellStyle name="Normal 2 2 2 2 5 8" xfId="7853"/>
    <cellStyle name="Normal 2 2 2 2 6" xfId="303"/>
    <cellStyle name="Normal 2 2 2 2 6 2" xfId="983"/>
    <cellStyle name="Normal 2 2 2 2 6 2 2" xfId="2343"/>
    <cellStyle name="Normal 2 2 2 2 6 2 2 2" xfId="5063"/>
    <cellStyle name="Normal 2 2 2 2 6 2 2 2 2" xfId="7854"/>
    <cellStyle name="Normal 2 2 2 2 6 2 2 2 2 2" xfId="7855"/>
    <cellStyle name="Normal 2 2 2 2 6 2 2 2 2 2 2" xfId="7856"/>
    <cellStyle name="Normal 2 2 2 2 6 2 2 2 2 3" xfId="7857"/>
    <cellStyle name="Normal 2 2 2 2 6 2 2 2 3" xfId="7858"/>
    <cellStyle name="Normal 2 2 2 2 6 2 2 2 3 2" xfId="7859"/>
    <cellStyle name="Normal 2 2 2 2 6 2 2 2 4" xfId="7860"/>
    <cellStyle name="Normal 2 2 2 2 6 2 2 3" xfId="7861"/>
    <cellStyle name="Normal 2 2 2 2 6 2 2 3 2" xfId="7862"/>
    <cellStyle name="Normal 2 2 2 2 6 2 2 3 2 2" xfId="7863"/>
    <cellStyle name="Normal 2 2 2 2 6 2 2 3 3" xfId="7864"/>
    <cellStyle name="Normal 2 2 2 2 6 2 2 4" xfId="7865"/>
    <cellStyle name="Normal 2 2 2 2 6 2 2 4 2" xfId="7866"/>
    <cellStyle name="Normal 2 2 2 2 6 2 2 5" xfId="7867"/>
    <cellStyle name="Normal 2 2 2 2 6 2 3" xfId="3703"/>
    <cellStyle name="Normal 2 2 2 2 6 2 3 2" xfId="7868"/>
    <cellStyle name="Normal 2 2 2 2 6 2 3 2 2" xfId="7869"/>
    <cellStyle name="Normal 2 2 2 2 6 2 3 2 2 2" xfId="7870"/>
    <cellStyle name="Normal 2 2 2 2 6 2 3 2 3" xfId="7871"/>
    <cellStyle name="Normal 2 2 2 2 6 2 3 3" xfId="7872"/>
    <cellStyle name="Normal 2 2 2 2 6 2 3 3 2" xfId="7873"/>
    <cellStyle name="Normal 2 2 2 2 6 2 3 4" xfId="7874"/>
    <cellStyle name="Normal 2 2 2 2 6 2 4" xfId="7875"/>
    <cellStyle name="Normal 2 2 2 2 6 2 4 2" xfId="7876"/>
    <cellStyle name="Normal 2 2 2 2 6 2 4 2 2" xfId="7877"/>
    <cellStyle name="Normal 2 2 2 2 6 2 4 3" xfId="7878"/>
    <cellStyle name="Normal 2 2 2 2 6 2 5" xfId="7879"/>
    <cellStyle name="Normal 2 2 2 2 6 2 5 2" xfId="7880"/>
    <cellStyle name="Normal 2 2 2 2 6 2 6" xfId="7881"/>
    <cellStyle name="Normal 2 2 2 2 6 3" xfId="1663"/>
    <cellStyle name="Normal 2 2 2 2 6 3 2" xfId="4383"/>
    <cellStyle name="Normal 2 2 2 2 6 3 2 2" xfId="7882"/>
    <cellStyle name="Normal 2 2 2 2 6 3 2 2 2" xfId="7883"/>
    <cellStyle name="Normal 2 2 2 2 6 3 2 2 2 2" xfId="7884"/>
    <cellStyle name="Normal 2 2 2 2 6 3 2 2 3" xfId="7885"/>
    <cellStyle name="Normal 2 2 2 2 6 3 2 3" xfId="7886"/>
    <cellStyle name="Normal 2 2 2 2 6 3 2 3 2" xfId="7887"/>
    <cellStyle name="Normal 2 2 2 2 6 3 2 4" xfId="7888"/>
    <cellStyle name="Normal 2 2 2 2 6 3 3" xfId="7889"/>
    <cellStyle name="Normal 2 2 2 2 6 3 3 2" xfId="7890"/>
    <cellStyle name="Normal 2 2 2 2 6 3 3 2 2" xfId="7891"/>
    <cellStyle name="Normal 2 2 2 2 6 3 3 3" xfId="7892"/>
    <cellStyle name="Normal 2 2 2 2 6 3 4" xfId="7893"/>
    <cellStyle name="Normal 2 2 2 2 6 3 4 2" xfId="7894"/>
    <cellStyle name="Normal 2 2 2 2 6 3 5" xfId="7895"/>
    <cellStyle name="Normal 2 2 2 2 6 4" xfId="3023"/>
    <cellStyle name="Normal 2 2 2 2 6 4 2" xfId="7896"/>
    <cellStyle name="Normal 2 2 2 2 6 4 2 2" xfId="7897"/>
    <cellStyle name="Normal 2 2 2 2 6 4 2 2 2" xfId="7898"/>
    <cellStyle name="Normal 2 2 2 2 6 4 2 3" xfId="7899"/>
    <cellStyle name="Normal 2 2 2 2 6 4 3" xfId="7900"/>
    <cellStyle name="Normal 2 2 2 2 6 4 3 2" xfId="7901"/>
    <cellStyle name="Normal 2 2 2 2 6 4 4" xfId="7902"/>
    <cellStyle name="Normal 2 2 2 2 6 5" xfId="7903"/>
    <cellStyle name="Normal 2 2 2 2 6 5 2" xfId="7904"/>
    <cellStyle name="Normal 2 2 2 2 6 5 2 2" xfId="7905"/>
    <cellStyle name="Normal 2 2 2 2 6 5 3" xfId="7906"/>
    <cellStyle name="Normal 2 2 2 2 6 6" xfId="7907"/>
    <cellStyle name="Normal 2 2 2 2 6 6 2" xfId="7908"/>
    <cellStyle name="Normal 2 2 2 2 6 7" xfId="7909"/>
    <cellStyle name="Normal 2 2 2 2 7" xfId="575"/>
    <cellStyle name="Normal 2 2 2 2 7 2" xfId="1255"/>
    <cellStyle name="Normal 2 2 2 2 7 2 2" xfId="2615"/>
    <cellStyle name="Normal 2 2 2 2 7 2 2 2" xfId="5335"/>
    <cellStyle name="Normal 2 2 2 2 7 2 2 2 2" xfId="7910"/>
    <cellStyle name="Normal 2 2 2 2 7 2 2 2 2 2" xfId="7911"/>
    <cellStyle name="Normal 2 2 2 2 7 2 2 2 2 2 2" xfId="7912"/>
    <cellStyle name="Normal 2 2 2 2 7 2 2 2 2 3" xfId="7913"/>
    <cellStyle name="Normal 2 2 2 2 7 2 2 2 3" xfId="7914"/>
    <cellStyle name="Normal 2 2 2 2 7 2 2 2 3 2" xfId="7915"/>
    <cellStyle name="Normal 2 2 2 2 7 2 2 2 4" xfId="7916"/>
    <cellStyle name="Normal 2 2 2 2 7 2 2 3" xfId="7917"/>
    <cellStyle name="Normal 2 2 2 2 7 2 2 3 2" xfId="7918"/>
    <cellStyle name="Normal 2 2 2 2 7 2 2 3 2 2" xfId="7919"/>
    <cellStyle name="Normal 2 2 2 2 7 2 2 3 3" xfId="7920"/>
    <cellStyle name="Normal 2 2 2 2 7 2 2 4" xfId="7921"/>
    <cellStyle name="Normal 2 2 2 2 7 2 2 4 2" xfId="7922"/>
    <cellStyle name="Normal 2 2 2 2 7 2 2 5" xfId="7923"/>
    <cellStyle name="Normal 2 2 2 2 7 2 3" xfId="3975"/>
    <cellStyle name="Normal 2 2 2 2 7 2 3 2" xfId="7924"/>
    <cellStyle name="Normal 2 2 2 2 7 2 3 2 2" xfId="7925"/>
    <cellStyle name="Normal 2 2 2 2 7 2 3 2 2 2" xfId="7926"/>
    <cellStyle name="Normal 2 2 2 2 7 2 3 2 3" xfId="7927"/>
    <cellStyle name="Normal 2 2 2 2 7 2 3 3" xfId="7928"/>
    <cellStyle name="Normal 2 2 2 2 7 2 3 3 2" xfId="7929"/>
    <cellStyle name="Normal 2 2 2 2 7 2 3 4" xfId="7930"/>
    <cellStyle name="Normal 2 2 2 2 7 2 4" xfId="7931"/>
    <cellStyle name="Normal 2 2 2 2 7 2 4 2" xfId="7932"/>
    <cellStyle name="Normal 2 2 2 2 7 2 4 2 2" xfId="7933"/>
    <cellStyle name="Normal 2 2 2 2 7 2 4 3" xfId="7934"/>
    <cellStyle name="Normal 2 2 2 2 7 2 5" xfId="7935"/>
    <cellStyle name="Normal 2 2 2 2 7 2 5 2" xfId="7936"/>
    <cellStyle name="Normal 2 2 2 2 7 2 6" xfId="7937"/>
    <cellStyle name="Normal 2 2 2 2 7 3" xfId="1935"/>
    <cellStyle name="Normal 2 2 2 2 7 3 2" xfId="4655"/>
    <cellStyle name="Normal 2 2 2 2 7 3 2 2" xfId="7938"/>
    <cellStyle name="Normal 2 2 2 2 7 3 2 2 2" xfId="7939"/>
    <cellStyle name="Normal 2 2 2 2 7 3 2 2 2 2" xfId="7940"/>
    <cellStyle name="Normal 2 2 2 2 7 3 2 2 3" xfId="7941"/>
    <cellStyle name="Normal 2 2 2 2 7 3 2 3" xfId="7942"/>
    <cellStyle name="Normal 2 2 2 2 7 3 2 3 2" xfId="7943"/>
    <cellStyle name="Normal 2 2 2 2 7 3 2 4" xfId="7944"/>
    <cellStyle name="Normal 2 2 2 2 7 3 3" xfId="7945"/>
    <cellStyle name="Normal 2 2 2 2 7 3 3 2" xfId="7946"/>
    <cellStyle name="Normal 2 2 2 2 7 3 3 2 2" xfId="7947"/>
    <cellStyle name="Normal 2 2 2 2 7 3 3 3" xfId="7948"/>
    <cellStyle name="Normal 2 2 2 2 7 3 4" xfId="7949"/>
    <cellStyle name="Normal 2 2 2 2 7 3 4 2" xfId="7950"/>
    <cellStyle name="Normal 2 2 2 2 7 3 5" xfId="7951"/>
    <cellStyle name="Normal 2 2 2 2 7 4" xfId="3295"/>
    <cellStyle name="Normal 2 2 2 2 7 4 2" xfId="7952"/>
    <cellStyle name="Normal 2 2 2 2 7 4 2 2" xfId="7953"/>
    <cellStyle name="Normal 2 2 2 2 7 4 2 2 2" xfId="7954"/>
    <cellStyle name="Normal 2 2 2 2 7 4 2 3" xfId="7955"/>
    <cellStyle name="Normal 2 2 2 2 7 4 3" xfId="7956"/>
    <cellStyle name="Normal 2 2 2 2 7 4 3 2" xfId="7957"/>
    <cellStyle name="Normal 2 2 2 2 7 4 4" xfId="7958"/>
    <cellStyle name="Normal 2 2 2 2 7 5" xfId="7959"/>
    <cellStyle name="Normal 2 2 2 2 7 5 2" xfId="7960"/>
    <cellStyle name="Normal 2 2 2 2 7 5 2 2" xfId="7961"/>
    <cellStyle name="Normal 2 2 2 2 7 5 3" xfId="7962"/>
    <cellStyle name="Normal 2 2 2 2 7 6" xfId="7963"/>
    <cellStyle name="Normal 2 2 2 2 7 6 2" xfId="7964"/>
    <cellStyle name="Normal 2 2 2 2 7 7" xfId="7965"/>
    <cellStyle name="Normal 2 2 2 2 8" xfId="711"/>
    <cellStyle name="Normal 2 2 2 2 8 2" xfId="2071"/>
    <cellStyle name="Normal 2 2 2 2 8 2 2" xfId="4791"/>
    <cellStyle name="Normal 2 2 2 2 8 2 2 2" xfId="7966"/>
    <cellStyle name="Normal 2 2 2 2 8 2 2 2 2" xfId="7967"/>
    <cellStyle name="Normal 2 2 2 2 8 2 2 2 2 2" xfId="7968"/>
    <cellStyle name="Normal 2 2 2 2 8 2 2 2 3" xfId="7969"/>
    <cellStyle name="Normal 2 2 2 2 8 2 2 3" xfId="7970"/>
    <cellStyle name="Normal 2 2 2 2 8 2 2 3 2" xfId="7971"/>
    <cellStyle name="Normal 2 2 2 2 8 2 2 4" xfId="7972"/>
    <cellStyle name="Normal 2 2 2 2 8 2 3" xfId="7973"/>
    <cellStyle name="Normal 2 2 2 2 8 2 3 2" xfId="7974"/>
    <cellStyle name="Normal 2 2 2 2 8 2 3 2 2" xfId="7975"/>
    <cellStyle name="Normal 2 2 2 2 8 2 3 3" xfId="7976"/>
    <cellStyle name="Normal 2 2 2 2 8 2 4" xfId="7977"/>
    <cellStyle name="Normal 2 2 2 2 8 2 4 2" xfId="7978"/>
    <cellStyle name="Normal 2 2 2 2 8 2 5" xfId="7979"/>
    <cellStyle name="Normal 2 2 2 2 8 3" xfId="3431"/>
    <cellStyle name="Normal 2 2 2 2 8 3 2" xfId="7980"/>
    <cellStyle name="Normal 2 2 2 2 8 3 2 2" xfId="7981"/>
    <cellStyle name="Normal 2 2 2 2 8 3 2 2 2" xfId="7982"/>
    <cellStyle name="Normal 2 2 2 2 8 3 2 3" xfId="7983"/>
    <cellStyle name="Normal 2 2 2 2 8 3 3" xfId="7984"/>
    <cellStyle name="Normal 2 2 2 2 8 3 3 2" xfId="7985"/>
    <cellStyle name="Normal 2 2 2 2 8 3 4" xfId="7986"/>
    <cellStyle name="Normal 2 2 2 2 8 4" xfId="7987"/>
    <cellStyle name="Normal 2 2 2 2 8 4 2" xfId="7988"/>
    <cellStyle name="Normal 2 2 2 2 8 4 2 2" xfId="7989"/>
    <cellStyle name="Normal 2 2 2 2 8 4 3" xfId="7990"/>
    <cellStyle name="Normal 2 2 2 2 8 5" xfId="7991"/>
    <cellStyle name="Normal 2 2 2 2 8 5 2" xfId="7992"/>
    <cellStyle name="Normal 2 2 2 2 8 6" xfId="7993"/>
    <cellStyle name="Normal 2 2 2 2 9" xfId="1391"/>
    <cellStyle name="Normal 2 2 2 2 9 2" xfId="4111"/>
    <cellStyle name="Normal 2 2 2 2 9 2 2" xfId="7994"/>
    <cellStyle name="Normal 2 2 2 2 9 2 2 2" xfId="7995"/>
    <cellStyle name="Normal 2 2 2 2 9 2 2 2 2" xfId="7996"/>
    <cellStyle name="Normal 2 2 2 2 9 2 2 3" xfId="7997"/>
    <cellStyle name="Normal 2 2 2 2 9 2 3" xfId="7998"/>
    <cellStyle name="Normal 2 2 2 2 9 2 3 2" xfId="7999"/>
    <cellStyle name="Normal 2 2 2 2 9 2 4" xfId="8000"/>
    <cellStyle name="Normal 2 2 2 2 9 3" xfId="8001"/>
    <cellStyle name="Normal 2 2 2 2 9 3 2" xfId="8002"/>
    <cellStyle name="Normal 2 2 2 2 9 3 2 2" xfId="8003"/>
    <cellStyle name="Normal 2 2 2 2 9 3 3" xfId="8004"/>
    <cellStyle name="Normal 2 2 2 2 9 4" xfId="8005"/>
    <cellStyle name="Normal 2 2 2 2 9 4 2" xfId="8006"/>
    <cellStyle name="Normal 2 2 2 2 9 5" xfId="8007"/>
    <cellStyle name="Normal 2 2 2 3" xfId="39"/>
    <cellStyle name="Normal 2 2 2 3 10" xfId="8008"/>
    <cellStyle name="Normal 2 2 2 3 10 2" xfId="8009"/>
    <cellStyle name="Normal 2 2 2 3 10 2 2" xfId="8010"/>
    <cellStyle name="Normal 2 2 2 3 10 3" xfId="8011"/>
    <cellStyle name="Normal 2 2 2 3 11" xfId="8012"/>
    <cellStyle name="Normal 2 2 2 3 11 2" xfId="8013"/>
    <cellStyle name="Normal 2 2 2 3 12" xfId="8014"/>
    <cellStyle name="Normal 2 2 2 3 2" xfId="74"/>
    <cellStyle name="Normal 2 2 2 3 2 10" xfId="8015"/>
    <cellStyle name="Normal 2 2 2 3 2 10 2" xfId="8016"/>
    <cellStyle name="Normal 2 2 2 3 2 11" xfId="8017"/>
    <cellStyle name="Normal 2 2 2 3 2 2" xfId="142"/>
    <cellStyle name="Normal 2 2 2 3 2 2 10" xfId="8018"/>
    <cellStyle name="Normal 2 2 2 3 2 2 2" xfId="279"/>
    <cellStyle name="Normal 2 2 2 3 2 2 2 2" xfId="551"/>
    <cellStyle name="Normal 2 2 2 3 2 2 2 2 2" xfId="1231"/>
    <cellStyle name="Normal 2 2 2 3 2 2 2 2 2 2" xfId="2591"/>
    <cellStyle name="Normal 2 2 2 3 2 2 2 2 2 2 2" xfId="5311"/>
    <cellStyle name="Normal 2 2 2 3 2 2 2 2 2 2 2 2" xfId="8019"/>
    <cellStyle name="Normal 2 2 2 3 2 2 2 2 2 2 2 2 2" xfId="8020"/>
    <cellStyle name="Normal 2 2 2 3 2 2 2 2 2 2 2 2 2 2" xfId="8021"/>
    <cellStyle name="Normal 2 2 2 3 2 2 2 2 2 2 2 2 3" xfId="8022"/>
    <cellStyle name="Normal 2 2 2 3 2 2 2 2 2 2 2 3" xfId="8023"/>
    <cellStyle name="Normal 2 2 2 3 2 2 2 2 2 2 2 3 2" xfId="8024"/>
    <cellStyle name="Normal 2 2 2 3 2 2 2 2 2 2 2 4" xfId="8025"/>
    <cellStyle name="Normal 2 2 2 3 2 2 2 2 2 2 3" xfId="8026"/>
    <cellStyle name="Normal 2 2 2 3 2 2 2 2 2 2 3 2" xfId="8027"/>
    <cellStyle name="Normal 2 2 2 3 2 2 2 2 2 2 3 2 2" xfId="8028"/>
    <cellStyle name="Normal 2 2 2 3 2 2 2 2 2 2 3 3" xfId="8029"/>
    <cellStyle name="Normal 2 2 2 3 2 2 2 2 2 2 4" xfId="8030"/>
    <cellStyle name="Normal 2 2 2 3 2 2 2 2 2 2 4 2" xfId="8031"/>
    <cellStyle name="Normal 2 2 2 3 2 2 2 2 2 2 5" xfId="8032"/>
    <cellStyle name="Normal 2 2 2 3 2 2 2 2 2 3" xfId="3951"/>
    <cellStyle name="Normal 2 2 2 3 2 2 2 2 2 3 2" xfId="8033"/>
    <cellStyle name="Normal 2 2 2 3 2 2 2 2 2 3 2 2" xfId="8034"/>
    <cellStyle name="Normal 2 2 2 3 2 2 2 2 2 3 2 2 2" xfId="8035"/>
    <cellStyle name="Normal 2 2 2 3 2 2 2 2 2 3 2 3" xfId="8036"/>
    <cellStyle name="Normal 2 2 2 3 2 2 2 2 2 3 3" xfId="8037"/>
    <cellStyle name="Normal 2 2 2 3 2 2 2 2 2 3 3 2" xfId="8038"/>
    <cellStyle name="Normal 2 2 2 3 2 2 2 2 2 3 4" xfId="8039"/>
    <cellStyle name="Normal 2 2 2 3 2 2 2 2 2 4" xfId="8040"/>
    <cellStyle name="Normal 2 2 2 3 2 2 2 2 2 4 2" xfId="8041"/>
    <cellStyle name="Normal 2 2 2 3 2 2 2 2 2 4 2 2" xfId="8042"/>
    <cellStyle name="Normal 2 2 2 3 2 2 2 2 2 4 3" xfId="8043"/>
    <cellStyle name="Normal 2 2 2 3 2 2 2 2 2 5" xfId="8044"/>
    <cellStyle name="Normal 2 2 2 3 2 2 2 2 2 5 2" xfId="8045"/>
    <cellStyle name="Normal 2 2 2 3 2 2 2 2 2 6" xfId="8046"/>
    <cellStyle name="Normal 2 2 2 3 2 2 2 2 3" xfId="1911"/>
    <cellStyle name="Normal 2 2 2 3 2 2 2 2 3 2" xfId="4631"/>
    <cellStyle name="Normal 2 2 2 3 2 2 2 2 3 2 2" xfId="8047"/>
    <cellStyle name="Normal 2 2 2 3 2 2 2 2 3 2 2 2" xfId="8048"/>
    <cellStyle name="Normal 2 2 2 3 2 2 2 2 3 2 2 2 2" xfId="8049"/>
    <cellStyle name="Normal 2 2 2 3 2 2 2 2 3 2 2 3" xfId="8050"/>
    <cellStyle name="Normal 2 2 2 3 2 2 2 2 3 2 3" xfId="8051"/>
    <cellStyle name="Normal 2 2 2 3 2 2 2 2 3 2 3 2" xfId="8052"/>
    <cellStyle name="Normal 2 2 2 3 2 2 2 2 3 2 4" xfId="8053"/>
    <cellStyle name="Normal 2 2 2 3 2 2 2 2 3 3" xfId="8054"/>
    <cellStyle name="Normal 2 2 2 3 2 2 2 2 3 3 2" xfId="8055"/>
    <cellStyle name="Normal 2 2 2 3 2 2 2 2 3 3 2 2" xfId="8056"/>
    <cellStyle name="Normal 2 2 2 3 2 2 2 2 3 3 3" xfId="8057"/>
    <cellStyle name="Normal 2 2 2 3 2 2 2 2 3 4" xfId="8058"/>
    <cellStyle name="Normal 2 2 2 3 2 2 2 2 3 4 2" xfId="8059"/>
    <cellStyle name="Normal 2 2 2 3 2 2 2 2 3 5" xfId="8060"/>
    <cellStyle name="Normal 2 2 2 3 2 2 2 2 4" xfId="3271"/>
    <cellStyle name="Normal 2 2 2 3 2 2 2 2 4 2" xfId="8061"/>
    <cellStyle name="Normal 2 2 2 3 2 2 2 2 4 2 2" xfId="8062"/>
    <cellStyle name="Normal 2 2 2 3 2 2 2 2 4 2 2 2" xfId="8063"/>
    <cellStyle name="Normal 2 2 2 3 2 2 2 2 4 2 3" xfId="8064"/>
    <cellStyle name="Normal 2 2 2 3 2 2 2 2 4 3" xfId="8065"/>
    <cellStyle name="Normal 2 2 2 3 2 2 2 2 4 3 2" xfId="8066"/>
    <cellStyle name="Normal 2 2 2 3 2 2 2 2 4 4" xfId="8067"/>
    <cellStyle name="Normal 2 2 2 3 2 2 2 2 5" xfId="8068"/>
    <cellStyle name="Normal 2 2 2 3 2 2 2 2 5 2" xfId="8069"/>
    <cellStyle name="Normal 2 2 2 3 2 2 2 2 5 2 2" xfId="8070"/>
    <cellStyle name="Normal 2 2 2 3 2 2 2 2 5 3" xfId="8071"/>
    <cellStyle name="Normal 2 2 2 3 2 2 2 2 6" xfId="8072"/>
    <cellStyle name="Normal 2 2 2 3 2 2 2 2 6 2" xfId="8073"/>
    <cellStyle name="Normal 2 2 2 3 2 2 2 2 7" xfId="8074"/>
    <cellStyle name="Normal 2 2 2 3 2 2 2 3" xfId="959"/>
    <cellStyle name="Normal 2 2 2 3 2 2 2 3 2" xfId="2319"/>
    <cellStyle name="Normal 2 2 2 3 2 2 2 3 2 2" xfId="5039"/>
    <cellStyle name="Normal 2 2 2 3 2 2 2 3 2 2 2" xfId="8075"/>
    <cellStyle name="Normal 2 2 2 3 2 2 2 3 2 2 2 2" xfId="8076"/>
    <cellStyle name="Normal 2 2 2 3 2 2 2 3 2 2 2 2 2" xfId="8077"/>
    <cellStyle name="Normal 2 2 2 3 2 2 2 3 2 2 2 3" xfId="8078"/>
    <cellStyle name="Normal 2 2 2 3 2 2 2 3 2 2 3" xfId="8079"/>
    <cellStyle name="Normal 2 2 2 3 2 2 2 3 2 2 3 2" xfId="8080"/>
    <cellStyle name="Normal 2 2 2 3 2 2 2 3 2 2 4" xfId="8081"/>
    <cellStyle name="Normal 2 2 2 3 2 2 2 3 2 3" xfId="8082"/>
    <cellStyle name="Normal 2 2 2 3 2 2 2 3 2 3 2" xfId="8083"/>
    <cellStyle name="Normal 2 2 2 3 2 2 2 3 2 3 2 2" xfId="8084"/>
    <cellStyle name="Normal 2 2 2 3 2 2 2 3 2 3 3" xfId="8085"/>
    <cellStyle name="Normal 2 2 2 3 2 2 2 3 2 4" xfId="8086"/>
    <cellStyle name="Normal 2 2 2 3 2 2 2 3 2 4 2" xfId="8087"/>
    <cellStyle name="Normal 2 2 2 3 2 2 2 3 2 5" xfId="8088"/>
    <cellStyle name="Normal 2 2 2 3 2 2 2 3 3" xfId="3679"/>
    <cellStyle name="Normal 2 2 2 3 2 2 2 3 3 2" xfId="8089"/>
    <cellStyle name="Normal 2 2 2 3 2 2 2 3 3 2 2" xfId="8090"/>
    <cellStyle name="Normal 2 2 2 3 2 2 2 3 3 2 2 2" xfId="8091"/>
    <cellStyle name="Normal 2 2 2 3 2 2 2 3 3 2 3" xfId="8092"/>
    <cellStyle name="Normal 2 2 2 3 2 2 2 3 3 3" xfId="8093"/>
    <cellStyle name="Normal 2 2 2 3 2 2 2 3 3 3 2" xfId="8094"/>
    <cellStyle name="Normal 2 2 2 3 2 2 2 3 3 4" xfId="8095"/>
    <cellStyle name="Normal 2 2 2 3 2 2 2 3 4" xfId="8096"/>
    <cellStyle name="Normal 2 2 2 3 2 2 2 3 4 2" xfId="8097"/>
    <cellStyle name="Normal 2 2 2 3 2 2 2 3 4 2 2" xfId="8098"/>
    <cellStyle name="Normal 2 2 2 3 2 2 2 3 4 3" xfId="8099"/>
    <cellStyle name="Normal 2 2 2 3 2 2 2 3 5" xfId="8100"/>
    <cellStyle name="Normal 2 2 2 3 2 2 2 3 5 2" xfId="8101"/>
    <cellStyle name="Normal 2 2 2 3 2 2 2 3 6" xfId="8102"/>
    <cellStyle name="Normal 2 2 2 3 2 2 2 4" xfId="1639"/>
    <cellStyle name="Normal 2 2 2 3 2 2 2 4 2" xfId="4359"/>
    <cellStyle name="Normal 2 2 2 3 2 2 2 4 2 2" xfId="8103"/>
    <cellStyle name="Normal 2 2 2 3 2 2 2 4 2 2 2" xfId="8104"/>
    <cellStyle name="Normal 2 2 2 3 2 2 2 4 2 2 2 2" xfId="8105"/>
    <cellStyle name="Normal 2 2 2 3 2 2 2 4 2 2 3" xfId="8106"/>
    <cellStyle name="Normal 2 2 2 3 2 2 2 4 2 3" xfId="8107"/>
    <cellStyle name="Normal 2 2 2 3 2 2 2 4 2 3 2" xfId="8108"/>
    <cellStyle name="Normal 2 2 2 3 2 2 2 4 2 4" xfId="8109"/>
    <cellStyle name="Normal 2 2 2 3 2 2 2 4 3" xfId="8110"/>
    <cellStyle name="Normal 2 2 2 3 2 2 2 4 3 2" xfId="8111"/>
    <cellStyle name="Normal 2 2 2 3 2 2 2 4 3 2 2" xfId="8112"/>
    <cellStyle name="Normal 2 2 2 3 2 2 2 4 3 3" xfId="8113"/>
    <cellStyle name="Normal 2 2 2 3 2 2 2 4 4" xfId="8114"/>
    <cellStyle name="Normal 2 2 2 3 2 2 2 4 4 2" xfId="8115"/>
    <cellStyle name="Normal 2 2 2 3 2 2 2 4 5" xfId="8116"/>
    <cellStyle name="Normal 2 2 2 3 2 2 2 5" xfId="2999"/>
    <cellStyle name="Normal 2 2 2 3 2 2 2 5 2" xfId="8117"/>
    <cellStyle name="Normal 2 2 2 3 2 2 2 5 2 2" xfId="8118"/>
    <cellStyle name="Normal 2 2 2 3 2 2 2 5 2 2 2" xfId="8119"/>
    <cellStyle name="Normal 2 2 2 3 2 2 2 5 2 3" xfId="8120"/>
    <cellStyle name="Normal 2 2 2 3 2 2 2 5 3" xfId="8121"/>
    <cellStyle name="Normal 2 2 2 3 2 2 2 5 3 2" xfId="8122"/>
    <cellStyle name="Normal 2 2 2 3 2 2 2 5 4" xfId="8123"/>
    <cellStyle name="Normal 2 2 2 3 2 2 2 6" xfId="8124"/>
    <cellStyle name="Normal 2 2 2 3 2 2 2 6 2" xfId="8125"/>
    <cellStyle name="Normal 2 2 2 3 2 2 2 6 2 2" xfId="8126"/>
    <cellStyle name="Normal 2 2 2 3 2 2 2 6 3" xfId="8127"/>
    <cellStyle name="Normal 2 2 2 3 2 2 2 7" xfId="8128"/>
    <cellStyle name="Normal 2 2 2 3 2 2 2 7 2" xfId="8129"/>
    <cellStyle name="Normal 2 2 2 3 2 2 2 8" xfId="8130"/>
    <cellStyle name="Normal 2 2 2 3 2 2 3" xfId="415"/>
    <cellStyle name="Normal 2 2 2 3 2 2 3 2" xfId="1095"/>
    <cellStyle name="Normal 2 2 2 3 2 2 3 2 2" xfId="2455"/>
    <cellStyle name="Normal 2 2 2 3 2 2 3 2 2 2" xfId="5175"/>
    <cellStyle name="Normal 2 2 2 3 2 2 3 2 2 2 2" xfId="8131"/>
    <cellStyle name="Normal 2 2 2 3 2 2 3 2 2 2 2 2" xfId="8132"/>
    <cellStyle name="Normal 2 2 2 3 2 2 3 2 2 2 2 2 2" xfId="8133"/>
    <cellStyle name="Normal 2 2 2 3 2 2 3 2 2 2 2 3" xfId="8134"/>
    <cellStyle name="Normal 2 2 2 3 2 2 3 2 2 2 3" xfId="8135"/>
    <cellStyle name="Normal 2 2 2 3 2 2 3 2 2 2 3 2" xfId="8136"/>
    <cellStyle name="Normal 2 2 2 3 2 2 3 2 2 2 4" xfId="8137"/>
    <cellStyle name="Normal 2 2 2 3 2 2 3 2 2 3" xfId="8138"/>
    <cellStyle name="Normal 2 2 2 3 2 2 3 2 2 3 2" xfId="8139"/>
    <cellStyle name="Normal 2 2 2 3 2 2 3 2 2 3 2 2" xfId="8140"/>
    <cellStyle name="Normal 2 2 2 3 2 2 3 2 2 3 3" xfId="8141"/>
    <cellStyle name="Normal 2 2 2 3 2 2 3 2 2 4" xfId="8142"/>
    <cellStyle name="Normal 2 2 2 3 2 2 3 2 2 4 2" xfId="8143"/>
    <cellStyle name="Normal 2 2 2 3 2 2 3 2 2 5" xfId="8144"/>
    <cellStyle name="Normal 2 2 2 3 2 2 3 2 3" xfId="3815"/>
    <cellStyle name="Normal 2 2 2 3 2 2 3 2 3 2" xfId="8145"/>
    <cellStyle name="Normal 2 2 2 3 2 2 3 2 3 2 2" xfId="8146"/>
    <cellStyle name="Normal 2 2 2 3 2 2 3 2 3 2 2 2" xfId="8147"/>
    <cellStyle name="Normal 2 2 2 3 2 2 3 2 3 2 3" xfId="8148"/>
    <cellStyle name="Normal 2 2 2 3 2 2 3 2 3 3" xfId="8149"/>
    <cellStyle name="Normal 2 2 2 3 2 2 3 2 3 3 2" xfId="8150"/>
    <cellStyle name="Normal 2 2 2 3 2 2 3 2 3 4" xfId="8151"/>
    <cellStyle name="Normal 2 2 2 3 2 2 3 2 4" xfId="8152"/>
    <cellStyle name="Normal 2 2 2 3 2 2 3 2 4 2" xfId="8153"/>
    <cellStyle name="Normal 2 2 2 3 2 2 3 2 4 2 2" xfId="8154"/>
    <cellStyle name="Normal 2 2 2 3 2 2 3 2 4 3" xfId="8155"/>
    <cellStyle name="Normal 2 2 2 3 2 2 3 2 5" xfId="8156"/>
    <cellStyle name="Normal 2 2 2 3 2 2 3 2 5 2" xfId="8157"/>
    <cellStyle name="Normal 2 2 2 3 2 2 3 2 6" xfId="8158"/>
    <cellStyle name="Normal 2 2 2 3 2 2 3 3" xfId="1775"/>
    <cellStyle name="Normal 2 2 2 3 2 2 3 3 2" xfId="4495"/>
    <cellStyle name="Normal 2 2 2 3 2 2 3 3 2 2" xfId="8159"/>
    <cellStyle name="Normal 2 2 2 3 2 2 3 3 2 2 2" xfId="8160"/>
    <cellStyle name="Normal 2 2 2 3 2 2 3 3 2 2 2 2" xfId="8161"/>
    <cellStyle name="Normal 2 2 2 3 2 2 3 3 2 2 3" xfId="8162"/>
    <cellStyle name="Normal 2 2 2 3 2 2 3 3 2 3" xfId="8163"/>
    <cellStyle name="Normal 2 2 2 3 2 2 3 3 2 3 2" xfId="8164"/>
    <cellStyle name="Normal 2 2 2 3 2 2 3 3 2 4" xfId="8165"/>
    <cellStyle name="Normal 2 2 2 3 2 2 3 3 3" xfId="8166"/>
    <cellStyle name="Normal 2 2 2 3 2 2 3 3 3 2" xfId="8167"/>
    <cellStyle name="Normal 2 2 2 3 2 2 3 3 3 2 2" xfId="8168"/>
    <cellStyle name="Normal 2 2 2 3 2 2 3 3 3 3" xfId="8169"/>
    <cellStyle name="Normal 2 2 2 3 2 2 3 3 4" xfId="8170"/>
    <cellStyle name="Normal 2 2 2 3 2 2 3 3 4 2" xfId="8171"/>
    <cellStyle name="Normal 2 2 2 3 2 2 3 3 5" xfId="8172"/>
    <cellStyle name="Normal 2 2 2 3 2 2 3 4" xfId="3135"/>
    <cellStyle name="Normal 2 2 2 3 2 2 3 4 2" xfId="8173"/>
    <cellStyle name="Normal 2 2 2 3 2 2 3 4 2 2" xfId="8174"/>
    <cellStyle name="Normal 2 2 2 3 2 2 3 4 2 2 2" xfId="8175"/>
    <cellStyle name="Normal 2 2 2 3 2 2 3 4 2 3" xfId="8176"/>
    <cellStyle name="Normal 2 2 2 3 2 2 3 4 3" xfId="8177"/>
    <cellStyle name="Normal 2 2 2 3 2 2 3 4 3 2" xfId="8178"/>
    <cellStyle name="Normal 2 2 2 3 2 2 3 4 4" xfId="8179"/>
    <cellStyle name="Normal 2 2 2 3 2 2 3 5" xfId="8180"/>
    <cellStyle name="Normal 2 2 2 3 2 2 3 5 2" xfId="8181"/>
    <cellStyle name="Normal 2 2 2 3 2 2 3 5 2 2" xfId="8182"/>
    <cellStyle name="Normal 2 2 2 3 2 2 3 5 3" xfId="8183"/>
    <cellStyle name="Normal 2 2 2 3 2 2 3 6" xfId="8184"/>
    <cellStyle name="Normal 2 2 2 3 2 2 3 6 2" xfId="8185"/>
    <cellStyle name="Normal 2 2 2 3 2 2 3 7" xfId="8186"/>
    <cellStyle name="Normal 2 2 2 3 2 2 4" xfId="687"/>
    <cellStyle name="Normal 2 2 2 3 2 2 4 2" xfId="1367"/>
    <cellStyle name="Normal 2 2 2 3 2 2 4 2 2" xfId="2727"/>
    <cellStyle name="Normal 2 2 2 3 2 2 4 2 2 2" xfId="5447"/>
    <cellStyle name="Normal 2 2 2 3 2 2 4 2 2 2 2" xfId="8187"/>
    <cellStyle name="Normal 2 2 2 3 2 2 4 2 2 2 2 2" xfId="8188"/>
    <cellStyle name="Normal 2 2 2 3 2 2 4 2 2 2 2 2 2" xfId="8189"/>
    <cellStyle name="Normal 2 2 2 3 2 2 4 2 2 2 2 3" xfId="8190"/>
    <cellStyle name="Normal 2 2 2 3 2 2 4 2 2 2 3" xfId="8191"/>
    <cellStyle name="Normal 2 2 2 3 2 2 4 2 2 2 3 2" xfId="8192"/>
    <cellStyle name="Normal 2 2 2 3 2 2 4 2 2 2 4" xfId="8193"/>
    <cellStyle name="Normal 2 2 2 3 2 2 4 2 2 3" xfId="8194"/>
    <cellStyle name="Normal 2 2 2 3 2 2 4 2 2 3 2" xfId="8195"/>
    <cellStyle name="Normal 2 2 2 3 2 2 4 2 2 3 2 2" xfId="8196"/>
    <cellStyle name="Normal 2 2 2 3 2 2 4 2 2 3 3" xfId="8197"/>
    <cellStyle name="Normal 2 2 2 3 2 2 4 2 2 4" xfId="8198"/>
    <cellStyle name="Normal 2 2 2 3 2 2 4 2 2 4 2" xfId="8199"/>
    <cellStyle name="Normal 2 2 2 3 2 2 4 2 2 5" xfId="8200"/>
    <cellStyle name="Normal 2 2 2 3 2 2 4 2 3" xfId="4087"/>
    <cellStyle name="Normal 2 2 2 3 2 2 4 2 3 2" xfId="8201"/>
    <cellStyle name="Normal 2 2 2 3 2 2 4 2 3 2 2" xfId="8202"/>
    <cellStyle name="Normal 2 2 2 3 2 2 4 2 3 2 2 2" xfId="8203"/>
    <cellStyle name="Normal 2 2 2 3 2 2 4 2 3 2 3" xfId="8204"/>
    <cellStyle name="Normal 2 2 2 3 2 2 4 2 3 3" xfId="8205"/>
    <cellStyle name="Normal 2 2 2 3 2 2 4 2 3 3 2" xfId="8206"/>
    <cellStyle name="Normal 2 2 2 3 2 2 4 2 3 4" xfId="8207"/>
    <cellStyle name="Normal 2 2 2 3 2 2 4 2 4" xfId="8208"/>
    <cellStyle name="Normal 2 2 2 3 2 2 4 2 4 2" xfId="8209"/>
    <cellStyle name="Normal 2 2 2 3 2 2 4 2 4 2 2" xfId="8210"/>
    <cellStyle name="Normal 2 2 2 3 2 2 4 2 4 3" xfId="8211"/>
    <cellStyle name="Normal 2 2 2 3 2 2 4 2 5" xfId="8212"/>
    <cellStyle name="Normal 2 2 2 3 2 2 4 2 5 2" xfId="8213"/>
    <cellStyle name="Normal 2 2 2 3 2 2 4 2 6" xfId="8214"/>
    <cellStyle name="Normal 2 2 2 3 2 2 4 3" xfId="2047"/>
    <cellStyle name="Normal 2 2 2 3 2 2 4 3 2" xfId="4767"/>
    <cellStyle name="Normal 2 2 2 3 2 2 4 3 2 2" xfId="8215"/>
    <cellStyle name="Normal 2 2 2 3 2 2 4 3 2 2 2" xfId="8216"/>
    <cellStyle name="Normal 2 2 2 3 2 2 4 3 2 2 2 2" xfId="8217"/>
    <cellStyle name="Normal 2 2 2 3 2 2 4 3 2 2 3" xfId="8218"/>
    <cellStyle name="Normal 2 2 2 3 2 2 4 3 2 3" xfId="8219"/>
    <cellStyle name="Normal 2 2 2 3 2 2 4 3 2 3 2" xfId="8220"/>
    <cellStyle name="Normal 2 2 2 3 2 2 4 3 2 4" xfId="8221"/>
    <cellStyle name="Normal 2 2 2 3 2 2 4 3 3" xfId="8222"/>
    <cellStyle name="Normal 2 2 2 3 2 2 4 3 3 2" xfId="8223"/>
    <cellStyle name="Normal 2 2 2 3 2 2 4 3 3 2 2" xfId="8224"/>
    <cellStyle name="Normal 2 2 2 3 2 2 4 3 3 3" xfId="8225"/>
    <cellStyle name="Normal 2 2 2 3 2 2 4 3 4" xfId="8226"/>
    <cellStyle name="Normal 2 2 2 3 2 2 4 3 4 2" xfId="8227"/>
    <cellStyle name="Normal 2 2 2 3 2 2 4 3 5" xfId="8228"/>
    <cellStyle name="Normal 2 2 2 3 2 2 4 4" xfId="3407"/>
    <cellStyle name="Normal 2 2 2 3 2 2 4 4 2" xfId="8229"/>
    <cellStyle name="Normal 2 2 2 3 2 2 4 4 2 2" xfId="8230"/>
    <cellStyle name="Normal 2 2 2 3 2 2 4 4 2 2 2" xfId="8231"/>
    <cellStyle name="Normal 2 2 2 3 2 2 4 4 2 3" xfId="8232"/>
    <cellStyle name="Normal 2 2 2 3 2 2 4 4 3" xfId="8233"/>
    <cellStyle name="Normal 2 2 2 3 2 2 4 4 3 2" xfId="8234"/>
    <cellStyle name="Normal 2 2 2 3 2 2 4 4 4" xfId="8235"/>
    <cellStyle name="Normal 2 2 2 3 2 2 4 5" xfId="8236"/>
    <cellStyle name="Normal 2 2 2 3 2 2 4 5 2" xfId="8237"/>
    <cellStyle name="Normal 2 2 2 3 2 2 4 5 2 2" xfId="8238"/>
    <cellStyle name="Normal 2 2 2 3 2 2 4 5 3" xfId="8239"/>
    <cellStyle name="Normal 2 2 2 3 2 2 4 6" xfId="8240"/>
    <cellStyle name="Normal 2 2 2 3 2 2 4 6 2" xfId="8241"/>
    <cellStyle name="Normal 2 2 2 3 2 2 4 7" xfId="8242"/>
    <cellStyle name="Normal 2 2 2 3 2 2 5" xfId="823"/>
    <cellStyle name="Normal 2 2 2 3 2 2 5 2" xfId="2183"/>
    <cellStyle name="Normal 2 2 2 3 2 2 5 2 2" xfId="4903"/>
    <cellStyle name="Normal 2 2 2 3 2 2 5 2 2 2" xfId="8243"/>
    <cellStyle name="Normal 2 2 2 3 2 2 5 2 2 2 2" xfId="8244"/>
    <cellStyle name="Normal 2 2 2 3 2 2 5 2 2 2 2 2" xfId="8245"/>
    <cellStyle name="Normal 2 2 2 3 2 2 5 2 2 2 3" xfId="8246"/>
    <cellStyle name="Normal 2 2 2 3 2 2 5 2 2 3" xfId="8247"/>
    <cellStyle name="Normal 2 2 2 3 2 2 5 2 2 3 2" xfId="8248"/>
    <cellStyle name="Normal 2 2 2 3 2 2 5 2 2 4" xfId="8249"/>
    <cellStyle name="Normal 2 2 2 3 2 2 5 2 3" xfId="8250"/>
    <cellStyle name="Normal 2 2 2 3 2 2 5 2 3 2" xfId="8251"/>
    <cellStyle name="Normal 2 2 2 3 2 2 5 2 3 2 2" xfId="8252"/>
    <cellStyle name="Normal 2 2 2 3 2 2 5 2 3 3" xfId="8253"/>
    <cellStyle name="Normal 2 2 2 3 2 2 5 2 4" xfId="8254"/>
    <cellStyle name="Normal 2 2 2 3 2 2 5 2 4 2" xfId="8255"/>
    <cellStyle name="Normal 2 2 2 3 2 2 5 2 5" xfId="8256"/>
    <cellStyle name="Normal 2 2 2 3 2 2 5 3" xfId="3543"/>
    <cellStyle name="Normal 2 2 2 3 2 2 5 3 2" xfId="8257"/>
    <cellStyle name="Normal 2 2 2 3 2 2 5 3 2 2" xfId="8258"/>
    <cellStyle name="Normal 2 2 2 3 2 2 5 3 2 2 2" xfId="8259"/>
    <cellStyle name="Normal 2 2 2 3 2 2 5 3 2 3" xfId="8260"/>
    <cellStyle name="Normal 2 2 2 3 2 2 5 3 3" xfId="8261"/>
    <cellStyle name="Normal 2 2 2 3 2 2 5 3 3 2" xfId="8262"/>
    <cellStyle name="Normal 2 2 2 3 2 2 5 3 4" xfId="8263"/>
    <cellStyle name="Normal 2 2 2 3 2 2 5 4" xfId="8264"/>
    <cellStyle name="Normal 2 2 2 3 2 2 5 4 2" xfId="8265"/>
    <cellStyle name="Normal 2 2 2 3 2 2 5 4 2 2" xfId="8266"/>
    <cellStyle name="Normal 2 2 2 3 2 2 5 4 3" xfId="8267"/>
    <cellStyle name="Normal 2 2 2 3 2 2 5 5" xfId="8268"/>
    <cellStyle name="Normal 2 2 2 3 2 2 5 5 2" xfId="8269"/>
    <cellStyle name="Normal 2 2 2 3 2 2 5 6" xfId="8270"/>
    <cellStyle name="Normal 2 2 2 3 2 2 6" xfId="1503"/>
    <cellStyle name="Normal 2 2 2 3 2 2 6 2" xfId="4223"/>
    <cellStyle name="Normal 2 2 2 3 2 2 6 2 2" xfId="8271"/>
    <cellStyle name="Normal 2 2 2 3 2 2 6 2 2 2" xfId="8272"/>
    <cellStyle name="Normal 2 2 2 3 2 2 6 2 2 2 2" xfId="8273"/>
    <cellStyle name="Normal 2 2 2 3 2 2 6 2 2 3" xfId="8274"/>
    <cellStyle name="Normal 2 2 2 3 2 2 6 2 3" xfId="8275"/>
    <cellStyle name="Normal 2 2 2 3 2 2 6 2 3 2" xfId="8276"/>
    <cellStyle name="Normal 2 2 2 3 2 2 6 2 4" xfId="8277"/>
    <cellStyle name="Normal 2 2 2 3 2 2 6 3" xfId="8278"/>
    <cellStyle name="Normal 2 2 2 3 2 2 6 3 2" xfId="8279"/>
    <cellStyle name="Normal 2 2 2 3 2 2 6 3 2 2" xfId="8280"/>
    <cellStyle name="Normal 2 2 2 3 2 2 6 3 3" xfId="8281"/>
    <cellStyle name="Normal 2 2 2 3 2 2 6 4" xfId="8282"/>
    <cellStyle name="Normal 2 2 2 3 2 2 6 4 2" xfId="8283"/>
    <cellStyle name="Normal 2 2 2 3 2 2 6 5" xfId="8284"/>
    <cellStyle name="Normal 2 2 2 3 2 2 7" xfId="2863"/>
    <cellStyle name="Normal 2 2 2 3 2 2 7 2" xfId="8285"/>
    <cellStyle name="Normal 2 2 2 3 2 2 7 2 2" xfId="8286"/>
    <cellStyle name="Normal 2 2 2 3 2 2 7 2 2 2" xfId="8287"/>
    <cellStyle name="Normal 2 2 2 3 2 2 7 2 3" xfId="8288"/>
    <cellStyle name="Normal 2 2 2 3 2 2 7 3" xfId="8289"/>
    <cellStyle name="Normal 2 2 2 3 2 2 7 3 2" xfId="8290"/>
    <cellStyle name="Normal 2 2 2 3 2 2 7 4" xfId="8291"/>
    <cellStyle name="Normal 2 2 2 3 2 2 8" xfId="8292"/>
    <cellStyle name="Normal 2 2 2 3 2 2 8 2" xfId="8293"/>
    <cellStyle name="Normal 2 2 2 3 2 2 8 2 2" xfId="8294"/>
    <cellStyle name="Normal 2 2 2 3 2 2 8 3" xfId="8295"/>
    <cellStyle name="Normal 2 2 2 3 2 2 9" xfId="8296"/>
    <cellStyle name="Normal 2 2 2 3 2 2 9 2" xfId="8297"/>
    <cellStyle name="Normal 2 2 2 3 2 3" xfId="211"/>
    <cellStyle name="Normal 2 2 2 3 2 3 2" xfId="483"/>
    <cellStyle name="Normal 2 2 2 3 2 3 2 2" xfId="1163"/>
    <cellStyle name="Normal 2 2 2 3 2 3 2 2 2" xfId="2523"/>
    <cellStyle name="Normal 2 2 2 3 2 3 2 2 2 2" xfId="5243"/>
    <cellStyle name="Normal 2 2 2 3 2 3 2 2 2 2 2" xfId="8298"/>
    <cellStyle name="Normal 2 2 2 3 2 3 2 2 2 2 2 2" xfId="8299"/>
    <cellStyle name="Normal 2 2 2 3 2 3 2 2 2 2 2 2 2" xfId="8300"/>
    <cellStyle name="Normal 2 2 2 3 2 3 2 2 2 2 2 3" xfId="8301"/>
    <cellStyle name="Normal 2 2 2 3 2 3 2 2 2 2 3" xfId="8302"/>
    <cellStyle name="Normal 2 2 2 3 2 3 2 2 2 2 3 2" xfId="8303"/>
    <cellStyle name="Normal 2 2 2 3 2 3 2 2 2 2 4" xfId="8304"/>
    <cellStyle name="Normal 2 2 2 3 2 3 2 2 2 3" xfId="8305"/>
    <cellStyle name="Normal 2 2 2 3 2 3 2 2 2 3 2" xfId="8306"/>
    <cellStyle name="Normal 2 2 2 3 2 3 2 2 2 3 2 2" xfId="8307"/>
    <cellStyle name="Normal 2 2 2 3 2 3 2 2 2 3 3" xfId="8308"/>
    <cellStyle name="Normal 2 2 2 3 2 3 2 2 2 4" xfId="8309"/>
    <cellStyle name="Normal 2 2 2 3 2 3 2 2 2 4 2" xfId="8310"/>
    <cellStyle name="Normal 2 2 2 3 2 3 2 2 2 5" xfId="8311"/>
    <cellStyle name="Normal 2 2 2 3 2 3 2 2 3" xfId="3883"/>
    <cellStyle name="Normal 2 2 2 3 2 3 2 2 3 2" xfId="8312"/>
    <cellStyle name="Normal 2 2 2 3 2 3 2 2 3 2 2" xfId="8313"/>
    <cellStyle name="Normal 2 2 2 3 2 3 2 2 3 2 2 2" xfId="8314"/>
    <cellStyle name="Normal 2 2 2 3 2 3 2 2 3 2 3" xfId="8315"/>
    <cellStyle name="Normal 2 2 2 3 2 3 2 2 3 3" xfId="8316"/>
    <cellStyle name="Normal 2 2 2 3 2 3 2 2 3 3 2" xfId="8317"/>
    <cellStyle name="Normal 2 2 2 3 2 3 2 2 3 4" xfId="8318"/>
    <cellStyle name="Normal 2 2 2 3 2 3 2 2 4" xfId="8319"/>
    <cellStyle name="Normal 2 2 2 3 2 3 2 2 4 2" xfId="8320"/>
    <cellStyle name="Normal 2 2 2 3 2 3 2 2 4 2 2" xfId="8321"/>
    <cellStyle name="Normal 2 2 2 3 2 3 2 2 4 3" xfId="8322"/>
    <cellStyle name="Normal 2 2 2 3 2 3 2 2 5" xfId="8323"/>
    <cellStyle name="Normal 2 2 2 3 2 3 2 2 5 2" xfId="8324"/>
    <cellStyle name="Normal 2 2 2 3 2 3 2 2 6" xfId="8325"/>
    <cellStyle name="Normal 2 2 2 3 2 3 2 3" xfId="1843"/>
    <cellStyle name="Normal 2 2 2 3 2 3 2 3 2" xfId="4563"/>
    <cellStyle name="Normal 2 2 2 3 2 3 2 3 2 2" xfId="8326"/>
    <cellStyle name="Normal 2 2 2 3 2 3 2 3 2 2 2" xfId="8327"/>
    <cellStyle name="Normal 2 2 2 3 2 3 2 3 2 2 2 2" xfId="8328"/>
    <cellStyle name="Normal 2 2 2 3 2 3 2 3 2 2 3" xfId="8329"/>
    <cellStyle name="Normal 2 2 2 3 2 3 2 3 2 3" xfId="8330"/>
    <cellStyle name="Normal 2 2 2 3 2 3 2 3 2 3 2" xfId="8331"/>
    <cellStyle name="Normal 2 2 2 3 2 3 2 3 2 4" xfId="8332"/>
    <cellStyle name="Normal 2 2 2 3 2 3 2 3 3" xfId="8333"/>
    <cellStyle name="Normal 2 2 2 3 2 3 2 3 3 2" xfId="8334"/>
    <cellStyle name="Normal 2 2 2 3 2 3 2 3 3 2 2" xfId="8335"/>
    <cellStyle name="Normal 2 2 2 3 2 3 2 3 3 3" xfId="8336"/>
    <cellStyle name="Normal 2 2 2 3 2 3 2 3 4" xfId="8337"/>
    <cellStyle name="Normal 2 2 2 3 2 3 2 3 4 2" xfId="8338"/>
    <cellStyle name="Normal 2 2 2 3 2 3 2 3 5" xfId="8339"/>
    <cellStyle name="Normal 2 2 2 3 2 3 2 4" xfId="3203"/>
    <cellStyle name="Normal 2 2 2 3 2 3 2 4 2" xfId="8340"/>
    <cellStyle name="Normal 2 2 2 3 2 3 2 4 2 2" xfId="8341"/>
    <cellStyle name="Normal 2 2 2 3 2 3 2 4 2 2 2" xfId="8342"/>
    <cellStyle name="Normal 2 2 2 3 2 3 2 4 2 3" xfId="8343"/>
    <cellStyle name="Normal 2 2 2 3 2 3 2 4 3" xfId="8344"/>
    <cellStyle name="Normal 2 2 2 3 2 3 2 4 3 2" xfId="8345"/>
    <cellStyle name="Normal 2 2 2 3 2 3 2 4 4" xfId="8346"/>
    <cellStyle name="Normal 2 2 2 3 2 3 2 5" xfId="8347"/>
    <cellStyle name="Normal 2 2 2 3 2 3 2 5 2" xfId="8348"/>
    <cellStyle name="Normal 2 2 2 3 2 3 2 5 2 2" xfId="8349"/>
    <cellStyle name="Normal 2 2 2 3 2 3 2 5 3" xfId="8350"/>
    <cellStyle name="Normal 2 2 2 3 2 3 2 6" xfId="8351"/>
    <cellStyle name="Normal 2 2 2 3 2 3 2 6 2" xfId="8352"/>
    <cellStyle name="Normal 2 2 2 3 2 3 2 7" xfId="8353"/>
    <cellStyle name="Normal 2 2 2 3 2 3 3" xfId="891"/>
    <cellStyle name="Normal 2 2 2 3 2 3 3 2" xfId="2251"/>
    <cellStyle name="Normal 2 2 2 3 2 3 3 2 2" xfId="4971"/>
    <cellStyle name="Normal 2 2 2 3 2 3 3 2 2 2" xfId="8354"/>
    <cellStyle name="Normal 2 2 2 3 2 3 3 2 2 2 2" xfId="8355"/>
    <cellStyle name="Normal 2 2 2 3 2 3 3 2 2 2 2 2" xfId="8356"/>
    <cellStyle name="Normal 2 2 2 3 2 3 3 2 2 2 3" xfId="8357"/>
    <cellStyle name="Normal 2 2 2 3 2 3 3 2 2 3" xfId="8358"/>
    <cellStyle name="Normal 2 2 2 3 2 3 3 2 2 3 2" xfId="8359"/>
    <cellStyle name="Normal 2 2 2 3 2 3 3 2 2 4" xfId="8360"/>
    <cellStyle name="Normal 2 2 2 3 2 3 3 2 3" xfId="8361"/>
    <cellStyle name="Normal 2 2 2 3 2 3 3 2 3 2" xfId="8362"/>
    <cellStyle name="Normal 2 2 2 3 2 3 3 2 3 2 2" xfId="8363"/>
    <cellStyle name="Normal 2 2 2 3 2 3 3 2 3 3" xfId="8364"/>
    <cellStyle name="Normal 2 2 2 3 2 3 3 2 4" xfId="8365"/>
    <cellStyle name="Normal 2 2 2 3 2 3 3 2 4 2" xfId="8366"/>
    <cellStyle name="Normal 2 2 2 3 2 3 3 2 5" xfId="8367"/>
    <cellStyle name="Normal 2 2 2 3 2 3 3 3" xfId="3611"/>
    <cellStyle name="Normal 2 2 2 3 2 3 3 3 2" xfId="8368"/>
    <cellStyle name="Normal 2 2 2 3 2 3 3 3 2 2" xfId="8369"/>
    <cellStyle name="Normal 2 2 2 3 2 3 3 3 2 2 2" xfId="8370"/>
    <cellStyle name="Normal 2 2 2 3 2 3 3 3 2 3" xfId="8371"/>
    <cellStyle name="Normal 2 2 2 3 2 3 3 3 3" xfId="8372"/>
    <cellStyle name="Normal 2 2 2 3 2 3 3 3 3 2" xfId="8373"/>
    <cellStyle name="Normal 2 2 2 3 2 3 3 3 4" xfId="8374"/>
    <cellStyle name="Normal 2 2 2 3 2 3 3 4" xfId="8375"/>
    <cellStyle name="Normal 2 2 2 3 2 3 3 4 2" xfId="8376"/>
    <cellStyle name="Normal 2 2 2 3 2 3 3 4 2 2" xfId="8377"/>
    <cellStyle name="Normal 2 2 2 3 2 3 3 4 3" xfId="8378"/>
    <cellStyle name="Normal 2 2 2 3 2 3 3 5" xfId="8379"/>
    <cellStyle name="Normal 2 2 2 3 2 3 3 5 2" xfId="8380"/>
    <cellStyle name="Normal 2 2 2 3 2 3 3 6" xfId="8381"/>
    <cellStyle name="Normal 2 2 2 3 2 3 4" xfId="1571"/>
    <cellStyle name="Normal 2 2 2 3 2 3 4 2" xfId="4291"/>
    <cellStyle name="Normal 2 2 2 3 2 3 4 2 2" xfId="8382"/>
    <cellStyle name="Normal 2 2 2 3 2 3 4 2 2 2" xfId="8383"/>
    <cellStyle name="Normal 2 2 2 3 2 3 4 2 2 2 2" xfId="8384"/>
    <cellStyle name="Normal 2 2 2 3 2 3 4 2 2 3" xfId="8385"/>
    <cellStyle name="Normal 2 2 2 3 2 3 4 2 3" xfId="8386"/>
    <cellStyle name="Normal 2 2 2 3 2 3 4 2 3 2" xfId="8387"/>
    <cellStyle name="Normal 2 2 2 3 2 3 4 2 4" xfId="8388"/>
    <cellStyle name="Normal 2 2 2 3 2 3 4 3" xfId="8389"/>
    <cellStyle name="Normal 2 2 2 3 2 3 4 3 2" xfId="8390"/>
    <cellStyle name="Normal 2 2 2 3 2 3 4 3 2 2" xfId="8391"/>
    <cellStyle name="Normal 2 2 2 3 2 3 4 3 3" xfId="8392"/>
    <cellStyle name="Normal 2 2 2 3 2 3 4 4" xfId="8393"/>
    <cellStyle name="Normal 2 2 2 3 2 3 4 4 2" xfId="8394"/>
    <cellStyle name="Normal 2 2 2 3 2 3 4 5" xfId="8395"/>
    <cellStyle name="Normal 2 2 2 3 2 3 5" xfId="2931"/>
    <cellStyle name="Normal 2 2 2 3 2 3 5 2" xfId="8396"/>
    <cellStyle name="Normal 2 2 2 3 2 3 5 2 2" xfId="8397"/>
    <cellStyle name="Normal 2 2 2 3 2 3 5 2 2 2" xfId="8398"/>
    <cellStyle name="Normal 2 2 2 3 2 3 5 2 3" xfId="8399"/>
    <cellStyle name="Normal 2 2 2 3 2 3 5 3" xfId="8400"/>
    <cellStyle name="Normal 2 2 2 3 2 3 5 3 2" xfId="8401"/>
    <cellStyle name="Normal 2 2 2 3 2 3 5 4" xfId="8402"/>
    <cellStyle name="Normal 2 2 2 3 2 3 6" xfId="8403"/>
    <cellStyle name="Normal 2 2 2 3 2 3 6 2" xfId="8404"/>
    <cellStyle name="Normal 2 2 2 3 2 3 6 2 2" xfId="8405"/>
    <cellStyle name="Normal 2 2 2 3 2 3 6 3" xfId="8406"/>
    <cellStyle name="Normal 2 2 2 3 2 3 7" xfId="8407"/>
    <cellStyle name="Normal 2 2 2 3 2 3 7 2" xfId="8408"/>
    <cellStyle name="Normal 2 2 2 3 2 3 8" xfId="8409"/>
    <cellStyle name="Normal 2 2 2 3 2 4" xfId="347"/>
    <cellStyle name="Normal 2 2 2 3 2 4 2" xfId="1027"/>
    <cellStyle name="Normal 2 2 2 3 2 4 2 2" xfId="2387"/>
    <cellStyle name="Normal 2 2 2 3 2 4 2 2 2" xfId="5107"/>
    <cellStyle name="Normal 2 2 2 3 2 4 2 2 2 2" xfId="8410"/>
    <cellStyle name="Normal 2 2 2 3 2 4 2 2 2 2 2" xfId="8411"/>
    <cellStyle name="Normal 2 2 2 3 2 4 2 2 2 2 2 2" xfId="8412"/>
    <cellStyle name="Normal 2 2 2 3 2 4 2 2 2 2 3" xfId="8413"/>
    <cellStyle name="Normal 2 2 2 3 2 4 2 2 2 3" xfId="8414"/>
    <cellStyle name="Normal 2 2 2 3 2 4 2 2 2 3 2" xfId="8415"/>
    <cellStyle name="Normal 2 2 2 3 2 4 2 2 2 4" xfId="8416"/>
    <cellStyle name="Normal 2 2 2 3 2 4 2 2 3" xfId="8417"/>
    <cellStyle name="Normal 2 2 2 3 2 4 2 2 3 2" xfId="8418"/>
    <cellStyle name="Normal 2 2 2 3 2 4 2 2 3 2 2" xfId="8419"/>
    <cellStyle name="Normal 2 2 2 3 2 4 2 2 3 3" xfId="8420"/>
    <cellStyle name="Normal 2 2 2 3 2 4 2 2 4" xfId="8421"/>
    <cellStyle name="Normal 2 2 2 3 2 4 2 2 4 2" xfId="8422"/>
    <cellStyle name="Normal 2 2 2 3 2 4 2 2 5" xfId="8423"/>
    <cellStyle name="Normal 2 2 2 3 2 4 2 3" xfId="3747"/>
    <cellStyle name="Normal 2 2 2 3 2 4 2 3 2" xfId="8424"/>
    <cellStyle name="Normal 2 2 2 3 2 4 2 3 2 2" xfId="8425"/>
    <cellStyle name="Normal 2 2 2 3 2 4 2 3 2 2 2" xfId="8426"/>
    <cellStyle name="Normal 2 2 2 3 2 4 2 3 2 3" xfId="8427"/>
    <cellStyle name="Normal 2 2 2 3 2 4 2 3 3" xfId="8428"/>
    <cellStyle name="Normal 2 2 2 3 2 4 2 3 3 2" xfId="8429"/>
    <cellStyle name="Normal 2 2 2 3 2 4 2 3 4" xfId="8430"/>
    <cellStyle name="Normal 2 2 2 3 2 4 2 4" xfId="8431"/>
    <cellStyle name="Normal 2 2 2 3 2 4 2 4 2" xfId="8432"/>
    <cellStyle name="Normal 2 2 2 3 2 4 2 4 2 2" xfId="8433"/>
    <cellStyle name="Normal 2 2 2 3 2 4 2 4 3" xfId="8434"/>
    <cellStyle name="Normal 2 2 2 3 2 4 2 5" xfId="8435"/>
    <cellStyle name="Normal 2 2 2 3 2 4 2 5 2" xfId="8436"/>
    <cellStyle name="Normal 2 2 2 3 2 4 2 6" xfId="8437"/>
    <cellStyle name="Normal 2 2 2 3 2 4 3" xfId="1707"/>
    <cellStyle name="Normal 2 2 2 3 2 4 3 2" xfId="4427"/>
    <cellStyle name="Normal 2 2 2 3 2 4 3 2 2" xfId="8438"/>
    <cellStyle name="Normal 2 2 2 3 2 4 3 2 2 2" xfId="8439"/>
    <cellStyle name="Normal 2 2 2 3 2 4 3 2 2 2 2" xfId="8440"/>
    <cellStyle name="Normal 2 2 2 3 2 4 3 2 2 3" xfId="8441"/>
    <cellStyle name="Normal 2 2 2 3 2 4 3 2 3" xfId="8442"/>
    <cellStyle name="Normal 2 2 2 3 2 4 3 2 3 2" xfId="8443"/>
    <cellStyle name="Normal 2 2 2 3 2 4 3 2 4" xfId="8444"/>
    <cellStyle name="Normal 2 2 2 3 2 4 3 3" xfId="8445"/>
    <cellStyle name="Normal 2 2 2 3 2 4 3 3 2" xfId="8446"/>
    <cellStyle name="Normal 2 2 2 3 2 4 3 3 2 2" xfId="8447"/>
    <cellStyle name="Normal 2 2 2 3 2 4 3 3 3" xfId="8448"/>
    <cellStyle name="Normal 2 2 2 3 2 4 3 4" xfId="8449"/>
    <cellStyle name="Normal 2 2 2 3 2 4 3 4 2" xfId="8450"/>
    <cellStyle name="Normal 2 2 2 3 2 4 3 5" xfId="8451"/>
    <cellStyle name="Normal 2 2 2 3 2 4 4" xfId="3067"/>
    <cellStyle name="Normal 2 2 2 3 2 4 4 2" xfId="8452"/>
    <cellStyle name="Normal 2 2 2 3 2 4 4 2 2" xfId="8453"/>
    <cellStyle name="Normal 2 2 2 3 2 4 4 2 2 2" xfId="8454"/>
    <cellStyle name="Normal 2 2 2 3 2 4 4 2 3" xfId="8455"/>
    <cellStyle name="Normal 2 2 2 3 2 4 4 3" xfId="8456"/>
    <cellStyle name="Normal 2 2 2 3 2 4 4 3 2" xfId="8457"/>
    <cellStyle name="Normal 2 2 2 3 2 4 4 4" xfId="8458"/>
    <cellStyle name="Normal 2 2 2 3 2 4 5" xfId="8459"/>
    <cellStyle name="Normal 2 2 2 3 2 4 5 2" xfId="8460"/>
    <cellStyle name="Normal 2 2 2 3 2 4 5 2 2" xfId="8461"/>
    <cellStyle name="Normal 2 2 2 3 2 4 5 3" xfId="8462"/>
    <cellStyle name="Normal 2 2 2 3 2 4 6" xfId="8463"/>
    <cellStyle name="Normal 2 2 2 3 2 4 6 2" xfId="8464"/>
    <cellStyle name="Normal 2 2 2 3 2 4 7" xfId="8465"/>
    <cellStyle name="Normal 2 2 2 3 2 5" xfId="619"/>
    <cellStyle name="Normal 2 2 2 3 2 5 2" xfId="1299"/>
    <cellStyle name="Normal 2 2 2 3 2 5 2 2" xfId="2659"/>
    <cellStyle name="Normal 2 2 2 3 2 5 2 2 2" xfId="5379"/>
    <cellStyle name="Normal 2 2 2 3 2 5 2 2 2 2" xfId="8466"/>
    <cellStyle name="Normal 2 2 2 3 2 5 2 2 2 2 2" xfId="8467"/>
    <cellStyle name="Normal 2 2 2 3 2 5 2 2 2 2 2 2" xfId="8468"/>
    <cellStyle name="Normal 2 2 2 3 2 5 2 2 2 2 3" xfId="8469"/>
    <cellStyle name="Normal 2 2 2 3 2 5 2 2 2 3" xfId="8470"/>
    <cellStyle name="Normal 2 2 2 3 2 5 2 2 2 3 2" xfId="8471"/>
    <cellStyle name="Normal 2 2 2 3 2 5 2 2 2 4" xfId="8472"/>
    <cellStyle name="Normal 2 2 2 3 2 5 2 2 3" xfId="8473"/>
    <cellStyle name="Normal 2 2 2 3 2 5 2 2 3 2" xfId="8474"/>
    <cellStyle name="Normal 2 2 2 3 2 5 2 2 3 2 2" xfId="8475"/>
    <cellStyle name="Normal 2 2 2 3 2 5 2 2 3 3" xfId="8476"/>
    <cellStyle name="Normal 2 2 2 3 2 5 2 2 4" xfId="8477"/>
    <cellStyle name="Normal 2 2 2 3 2 5 2 2 4 2" xfId="8478"/>
    <cellStyle name="Normal 2 2 2 3 2 5 2 2 5" xfId="8479"/>
    <cellStyle name="Normal 2 2 2 3 2 5 2 3" xfId="4019"/>
    <cellStyle name="Normal 2 2 2 3 2 5 2 3 2" xfId="8480"/>
    <cellStyle name="Normal 2 2 2 3 2 5 2 3 2 2" xfId="8481"/>
    <cellStyle name="Normal 2 2 2 3 2 5 2 3 2 2 2" xfId="8482"/>
    <cellStyle name="Normal 2 2 2 3 2 5 2 3 2 3" xfId="8483"/>
    <cellStyle name="Normal 2 2 2 3 2 5 2 3 3" xfId="8484"/>
    <cellStyle name="Normal 2 2 2 3 2 5 2 3 3 2" xfId="8485"/>
    <cellStyle name="Normal 2 2 2 3 2 5 2 3 4" xfId="8486"/>
    <cellStyle name="Normal 2 2 2 3 2 5 2 4" xfId="8487"/>
    <cellStyle name="Normal 2 2 2 3 2 5 2 4 2" xfId="8488"/>
    <cellStyle name="Normal 2 2 2 3 2 5 2 4 2 2" xfId="8489"/>
    <cellStyle name="Normal 2 2 2 3 2 5 2 4 3" xfId="8490"/>
    <cellStyle name="Normal 2 2 2 3 2 5 2 5" xfId="8491"/>
    <cellStyle name="Normal 2 2 2 3 2 5 2 5 2" xfId="8492"/>
    <cellStyle name="Normal 2 2 2 3 2 5 2 6" xfId="8493"/>
    <cellStyle name="Normal 2 2 2 3 2 5 3" xfId="1979"/>
    <cellStyle name="Normal 2 2 2 3 2 5 3 2" xfId="4699"/>
    <cellStyle name="Normal 2 2 2 3 2 5 3 2 2" xfId="8494"/>
    <cellStyle name="Normal 2 2 2 3 2 5 3 2 2 2" xfId="8495"/>
    <cellStyle name="Normal 2 2 2 3 2 5 3 2 2 2 2" xfId="8496"/>
    <cellStyle name="Normal 2 2 2 3 2 5 3 2 2 3" xfId="8497"/>
    <cellStyle name="Normal 2 2 2 3 2 5 3 2 3" xfId="8498"/>
    <cellStyle name="Normal 2 2 2 3 2 5 3 2 3 2" xfId="8499"/>
    <cellStyle name="Normal 2 2 2 3 2 5 3 2 4" xfId="8500"/>
    <cellStyle name="Normal 2 2 2 3 2 5 3 3" xfId="8501"/>
    <cellStyle name="Normal 2 2 2 3 2 5 3 3 2" xfId="8502"/>
    <cellStyle name="Normal 2 2 2 3 2 5 3 3 2 2" xfId="8503"/>
    <cellStyle name="Normal 2 2 2 3 2 5 3 3 3" xfId="8504"/>
    <cellStyle name="Normal 2 2 2 3 2 5 3 4" xfId="8505"/>
    <cellStyle name="Normal 2 2 2 3 2 5 3 4 2" xfId="8506"/>
    <cellStyle name="Normal 2 2 2 3 2 5 3 5" xfId="8507"/>
    <cellStyle name="Normal 2 2 2 3 2 5 4" xfId="3339"/>
    <cellStyle name="Normal 2 2 2 3 2 5 4 2" xfId="8508"/>
    <cellStyle name="Normal 2 2 2 3 2 5 4 2 2" xfId="8509"/>
    <cellStyle name="Normal 2 2 2 3 2 5 4 2 2 2" xfId="8510"/>
    <cellStyle name="Normal 2 2 2 3 2 5 4 2 3" xfId="8511"/>
    <cellStyle name="Normal 2 2 2 3 2 5 4 3" xfId="8512"/>
    <cellStyle name="Normal 2 2 2 3 2 5 4 3 2" xfId="8513"/>
    <cellStyle name="Normal 2 2 2 3 2 5 4 4" xfId="8514"/>
    <cellStyle name="Normal 2 2 2 3 2 5 5" xfId="8515"/>
    <cellStyle name="Normal 2 2 2 3 2 5 5 2" xfId="8516"/>
    <cellStyle name="Normal 2 2 2 3 2 5 5 2 2" xfId="8517"/>
    <cellStyle name="Normal 2 2 2 3 2 5 5 3" xfId="8518"/>
    <cellStyle name="Normal 2 2 2 3 2 5 6" xfId="8519"/>
    <cellStyle name="Normal 2 2 2 3 2 5 6 2" xfId="8520"/>
    <cellStyle name="Normal 2 2 2 3 2 5 7" xfId="8521"/>
    <cellStyle name="Normal 2 2 2 3 2 6" xfId="755"/>
    <cellStyle name="Normal 2 2 2 3 2 6 2" xfId="2115"/>
    <cellStyle name="Normal 2 2 2 3 2 6 2 2" xfId="4835"/>
    <cellStyle name="Normal 2 2 2 3 2 6 2 2 2" xfId="8522"/>
    <cellStyle name="Normal 2 2 2 3 2 6 2 2 2 2" xfId="8523"/>
    <cellStyle name="Normal 2 2 2 3 2 6 2 2 2 2 2" xfId="8524"/>
    <cellStyle name="Normal 2 2 2 3 2 6 2 2 2 3" xfId="8525"/>
    <cellStyle name="Normal 2 2 2 3 2 6 2 2 3" xfId="8526"/>
    <cellStyle name="Normal 2 2 2 3 2 6 2 2 3 2" xfId="8527"/>
    <cellStyle name="Normal 2 2 2 3 2 6 2 2 4" xfId="8528"/>
    <cellStyle name="Normal 2 2 2 3 2 6 2 3" xfId="8529"/>
    <cellStyle name="Normal 2 2 2 3 2 6 2 3 2" xfId="8530"/>
    <cellStyle name="Normal 2 2 2 3 2 6 2 3 2 2" xfId="8531"/>
    <cellStyle name="Normal 2 2 2 3 2 6 2 3 3" xfId="8532"/>
    <cellStyle name="Normal 2 2 2 3 2 6 2 4" xfId="8533"/>
    <cellStyle name="Normal 2 2 2 3 2 6 2 4 2" xfId="8534"/>
    <cellStyle name="Normal 2 2 2 3 2 6 2 5" xfId="8535"/>
    <cellStyle name="Normal 2 2 2 3 2 6 3" xfId="3475"/>
    <cellStyle name="Normal 2 2 2 3 2 6 3 2" xfId="8536"/>
    <cellStyle name="Normal 2 2 2 3 2 6 3 2 2" xfId="8537"/>
    <cellStyle name="Normal 2 2 2 3 2 6 3 2 2 2" xfId="8538"/>
    <cellStyle name="Normal 2 2 2 3 2 6 3 2 3" xfId="8539"/>
    <cellStyle name="Normal 2 2 2 3 2 6 3 3" xfId="8540"/>
    <cellStyle name="Normal 2 2 2 3 2 6 3 3 2" xfId="8541"/>
    <cellStyle name="Normal 2 2 2 3 2 6 3 4" xfId="8542"/>
    <cellStyle name="Normal 2 2 2 3 2 6 4" xfId="8543"/>
    <cellStyle name="Normal 2 2 2 3 2 6 4 2" xfId="8544"/>
    <cellStyle name="Normal 2 2 2 3 2 6 4 2 2" xfId="8545"/>
    <cellStyle name="Normal 2 2 2 3 2 6 4 3" xfId="8546"/>
    <cellStyle name="Normal 2 2 2 3 2 6 5" xfId="8547"/>
    <cellStyle name="Normal 2 2 2 3 2 6 5 2" xfId="8548"/>
    <cellStyle name="Normal 2 2 2 3 2 6 6" xfId="8549"/>
    <cellStyle name="Normal 2 2 2 3 2 7" xfId="1435"/>
    <cellStyle name="Normal 2 2 2 3 2 7 2" xfId="4155"/>
    <cellStyle name="Normal 2 2 2 3 2 7 2 2" xfId="8550"/>
    <cellStyle name="Normal 2 2 2 3 2 7 2 2 2" xfId="8551"/>
    <cellStyle name="Normal 2 2 2 3 2 7 2 2 2 2" xfId="8552"/>
    <cellStyle name="Normal 2 2 2 3 2 7 2 2 3" xfId="8553"/>
    <cellStyle name="Normal 2 2 2 3 2 7 2 3" xfId="8554"/>
    <cellStyle name="Normal 2 2 2 3 2 7 2 3 2" xfId="8555"/>
    <cellStyle name="Normal 2 2 2 3 2 7 2 4" xfId="8556"/>
    <cellStyle name="Normal 2 2 2 3 2 7 3" xfId="8557"/>
    <cellStyle name="Normal 2 2 2 3 2 7 3 2" xfId="8558"/>
    <cellStyle name="Normal 2 2 2 3 2 7 3 2 2" xfId="8559"/>
    <cellStyle name="Normal 2 2 2 3 2 7 3 3" xfId="8560"/>
    <cellStyle name="Normal 2 2 2 3 2 7 4" xfId="8561"/>
    <cellStyle name="Normal 2 2 2 3 2 7 4 2" xfId="8562"/>
    <cellStyle name="Normal 2 2 2 3 2 7 5" xfId="8563"/>
    <cellStyle name="Normal 2 2 2 3 2 8" xfId="2795"/>
    <cellStyle name="Normal 2 2 2 3 2 8 2" xfId="8564"/>
    <cellStyle name="Normal 2 2 2 3 2 8 2 2" xfId="8565"/>
    <cellStyle name="Normal 2 2 2 3 2 8 2 2 2" xfId="8566"/>
    <cellStyle name="Normal 2 2 2 3 2 8 2 3" xfId="8567"/>
    <cellStyle name="Normal 2 2 2 3 2 8 3" xfId="8568"/>
    <cellStyle name="Normal 2 2 2 3 2 8 3 2" xfId="8569"/>
    <cellStyle name="Normal 2 2 2 3 2 8 4" xfId="8570"/>
    <cellStyle name="Normal 2 2 2 3 2 9" xfId="8571"/>
    <cellStyle name="Normal 2 2 2 3 2 9 2" xfId="8572"/>
    <cellStyle name="Normal 2 2 2 3 2 9 2 2" xfId="8573"/>
    <cellStyle name="Normal 2 2 2 3 2 9 3" xfId="8574"/>
    <cellStyle name="Normal 2 2 2 3 3" xfId="108"/>
    <cellStyle name="Normal 2 2 2 3 3 10" xfId="8575"/>
    <cellStyle name="Normal 2 2 2 3 3 2" xfId="245"/>
    <cellStyle name="Normal 2 2 2 3 3 2 2" xfId="517"/>
    <cellStyle name="Normal 2 2 2 3 3 2 2 2" xfId="1197"/>
    <cellStyle name="Normal 2 2 2 3 3 2 2 2 2" xfId="2557"/>
    <cellStyle name="Normal 2 2 2 3 3 2 2 2 2 2" xfId="5277"/>
    <cellStyle name="Normal 2 2 2 3 3 2 2 2 2 2 2" xfId="8576"/>
    <cellStyle name="Normal 2 2 2 3 3 2 2 2 2 2 2 2" xfId="8577"/>
    <cellStyle name="Normal 2 2 2 3 3 2 2 2 2 2 2 2 2" xfId="8578"/>
    <cellStyle name="Normal 2 2 2 3 3 2 2 2 2 2 2 3" xfId="8579"/>
    <cellStyle name="Normal 2 2 2 3 3 2 2 2 2 2 3" xfId="8580"/>
    <cellStyle name="Normal 2 2 2 3 3 2 2 2 2 2 3 2" xfId="8581"/>
    <cellStyle name="Normal 2 2 2 3 3 2 2 2 2 2 4" xfId="8582"/>
    <cellStyle name="Normal 2 2 2 3 3 2 2 2 2 3" xfId="8583"/>
    <cellStyle name="Normal 2 2 2 3 3 2 2 2 2 3 2" xfId="8584"/>
    <cellStyle name="Normal 2 2 2 3 3 2 2 2 2 3 2 2" xfId="8585"/>
    <cellStyle name="Normal 2 2 2 3 3 2 2 2 2 3 3" xfId="8586"/>
    <cellStyle name="Normal 2 2 2 3 3 2 2 2 2 4" xfId="8587"/>
    <cellStyle name="Normal 2 2 2 3 3 2 2 2 2 4 2" xfId="8588"/>
    <cellStyle name="Normal 2 2 2 3 3 2 2 2 2 5" xfId="8589"/>
    <cellStyle name="Normal 2 2 2 3 3 2 2 2 3" xfId="3917"/>
    <cellStyle name="Normal 2 2 2 3 3 2 2 2 3 2" xfId="8590"/>
    <cellStyle name="Normal 2 2 2 3 3 2 2 2 3 2 2" xfId="8591"/>
    <cellStyle name="Normal 2 2 2 3 3 2 2 2 3 2 2 2" xfId="8592"/>
    <cellStyle name="Normal 2 2 2 3 3 2 2 2 3 2 3" xfId="8593"/>
    <cellStyle name="Normal 2 2 2 3 3 2 2 2 3 3" xfId="8594"/>
    <cellStyle name="Normal 2 2 2 3 3 2 2 2 3 3 2" xfId="8595"/>
    <cellStyle name="Normal 2 2 2 3 3 2 2 2 3 4" xfId="8596"/>
    <cellStyle name="Normal 2 2 2 3 3 2 2 2 4" xfId="8597"/>
    <cellStyle name="Normal 2 2 2 3 3 2 2 2 4 2" xfId="8598"/>
    <cellStyle name="Normal 2 2 2 3 3 2 2 2 4 2 2" xfId="8599"/>
    <cellStyle name="Normal 2 2 2 3 3 2 2 2 4 3" xfId="8600"/>
    <cellStyle name="Normal 2 2 2 3 3 2 2 2 5" xfId="8601"/>
    <cellStyle name="Normal 2 2 2 3 3 2 2 2 5 2" xfId="8602"/>
    <cellStyle name="Normal 2 2 2 3 3 2 2 2 6" xfId="8603"/>
    <cellStyle name="Normal 2 2 2 3 3 2 2 3" xfId="1877"/>
    <cellStyle name="Normal 2 2 2 3 3 2 2 3 2" xfId="4597"/>
    <cellStyle name="Normal 2 2 2 3 3 2 2 3 2 2" xfId="8604"/>
    <cellStyle name="Normal 2 2 2 3 3 2 2 3 2 2 2" xfId="8605"/>
    <cellStyle name="Normal 2 2 2 3 3 2 2 3 2 2 2 2" xfId="8606"/>
    <cellStyle name="Normal 2 2 2 3 3 2 2 3 2 2 3" xfId="8607"/>
    <cellStyle name="Normal 2 2 2 3 3 2 2 3 2 3" xfId="8608"/>
    <cellStyle name="Normal 2 2 2 3 3 2 2 3 2 3 2" xfId="8609"/>
    <cellStyle name="Normal 2 2 2 3 3 2 2 3 2 4" xfId="8610"/>
    <cellStyle name="Normal 2 2 2 3 3 2 2 3 3" xfId="8611"/>
    <cellStyle name="Normal 2 2 2 3 3 2 2 3 3 2" xfId="8612"/>
    <cellStyle name="Normal 2 2 2 3 3 2 2 3 3 2 2" xfId="8613"/>
    <cellStyle name="Normal 2 2 2 3 3 2 2 3 3 3" xfId="8614"/>
    <cellStyle name="Normal 2 2 2 3 3 2 2 3 4" xfId="8615"/>
    <cellStyle name="Normal 2 2 2 3 3 2 2 3 4 2" xfId="8616"/>
    <cellStyle name="Normal 2 2 2 3 3 2 2 3 5" xfId="8617"/>
    <cellStyle name="Normal 2 2 2 3 3 2 2 4" xfId="3237"/>
    <cellStyle name="Normal 2 2 2 3 3 2 2 4 2" xfId="8618"/>
    <cellStyle name="Normal 2 2 2 3 3 2 2 4 2 2" xfId="8619"/>
    <cellStyle name="Normal 2 2 2 3 3 2 2 4 2 2 2" xfId="8620"/>
    <cellStyle name="Normal 2 2 2 3 3 2 2 4 2 3" xfId="8621"/>
    <cellStyle name="Normal 2 2 2 3 3 2 2 4 3" xfId="8622"/>
    <cellStyle name="Normal 2 2 2 3 3 2 2 4 3 2" xfId="8623"/>
    <cellStyle name="Normal 2 2 2 3 3 2 2 4 4" xfId="8624"/>
    <cellStyle name="Normal 2 2 2 3 3 2 2 5" xfId="8625"/>
    <cellStyle name="Normal 2 2 2 3 3 2 2 5 2" xfId="8626"/>
    <cellStyle name="Normal 2 2 2 3 3 2 2 5 2 2" xfId="8627"/>
    <cellStyle name="Normal 2 2 2 3 3 2 2 5 3" xfId="8628"/>
    <cellStyle name="Normal 2 2 2 3 3 2 2 6" xfId="8629"/>
    <cellStyle name="Normal 2 2 2 3 3 2 2 6 2" xfId="8630"/>
    <cellStyle name="Normal 2 2 2 3 3 2 2 7" xfId="8631"/>
    <cellStyle name="Normal 2 2 2 3 3 2 3" xfId="925"/>
    <cellStyle name="Normal 2 2 2 3 3 2 3 2" xfId="2285"/>
    <cellStyle name="Normal 2 2 2 3 3 2 3 2 2" xfId="5005"/>
    <cellStyle name="Normal 2 2 2 3 3 2 3 2 2 2" xfId="8632"/>
    <cellStyle name="Normal 2 2 2 3 3 2 3 2 2 2 2" xfId="8633"/>
    <cellStyle name="Normal 2 2 2 3 3 2 3 2 2 2 2 2" xfId="8634"/>
    <cellStyle name="Normal 2 2 2 3 3 2 3 2 2 2 3" xfId="8635"/>
    <cellStyle name="Normal 2 2 2 3 3 2 3 2 2 3" xfId="8636"/>
    <cellStyle name="Normal 2 2 2 3 3 2 3 2 2 3 2" xfId="8637"/>
    <cellStyle name="Normal 2 2 2 3 3 2 3 2 2 4" xfId="8638"/>
    <cellStyle name="Normal 2 2 2 3 3 2 3 2 3" xfId="8639"/>
    <cellStyle name="Normal 2 2 2 3 3 2 3 2 3 2" xfId="8640"/>
    <cellStyle name="Normal 2 2 2 3 3 2 3 2 3 2 2" xfId="8641"/>
    <cellStyle name="Normal 2 2 2 3 3 2 3 2 3 3" xfId="8642"/>
    <cellStyle name="Normal 2 2 2 3 3 2 3 2 4" xfId="8643"/>
    <cellStyle name="Normal 2 2 2 3 3 2 3 2 4 2" xfId="8644"/>
    <cellStyle name="Normal 2 2 2 3 3 2 3 2 5" xfId="8645"/>
    <cellStyle name="Normal 2 2 2 3 3 2 3 3" xfId="3645"/>
    <cellStyle name="Normal 2 2 2 3 3 2 3 3 2" xfId="8646"/>
    <cellStyle name="Normal 2 2 2 3 3 2 3 3 2 2" xfId="8647"/>
    <cellStyle name="Normal 2 2 2 3 3 2 3 3 2 2 2" xfId="8648"/>
    <cellStyle name="Normal 2 2 2 3 3 2 3 3 2 3" xfId="8649"/>
    <cellStyle name="Normal 2 2 2 3 3 2 3 3 3" xfId="8650"/>
    <cellStyle name="Normal 2 2 2 3 3 2 3 3 3 2" xfId="8651"/>
    <cellStyle name="Normal 2 2 2 3 3 2 3 3 4" xfId="8652"/>
    <cellStyle name="Normal 2 2 2 3 3 2 3 4" xfId="8653"/>
    <cellStyle name="Normal 2 2 2 3 3 2 3 4 2" xfId="8654"/>
    <cellStyle name="Normal 2 2 2 3 3 2 3 4 2 2" xfId="8655"/>
    <cellStyle name="Normal 2 2 2 3 3 2 3 4 3" xfId="8656"/>
    <cellStyle name="Normal 2 2 2 3 3 2 3 5" xfId="8657"/>
    <cellStyle name="Normal 2 2 2 3 3 2 3 5 2" xfId="8658"/>
    <cellStyle name="Normal 2 2 2 3 3 2 3 6" xfId="8659"/>
    <cellStyle name="Normal 2 2 2 3 3 2 4" xfId="1605"/>
    <cellStyle name="Normal 2 2 2 3 3 2 4 2" xfId="4325"/>
    <cellStyle name="Normal 2 2 2 3 3 2 4 2 2" xfId="8660"/>
    <cellStyle name="Normal 2 2 2 3 3 2 4 2 2 2" xfId="8661"/>
    <cellStyle name="Normal 2 2 2 3 3 2 4 2 2 2 2" xfId="8662"/>
    <cellStyle name="Normal 2 2 2 3 3 2 4 2 2 3" xfId="8663"/>
    <cellStyle name="Normal 2 2 2 3 3 2 4 2 3" xfId="8664"/>
    <cellStyle name="Normal 2 2 2 3 3 2 4 2 3 2" xfId="8665"/>
    <cellStyle name="Normal 2 2 2 3 3 2 4 2 4" xfId="8666"/>
    <cellStyle name="Normal 2 2 2 3 3 2 4 3" xfId="8667"/>
    <cellStyle name="Normal 2 2 2 3 3 2 4 3 2" xfId="8668"/>
    <cellStyle name="Normal 2 2 2 3 3 2 4 3 2 2" xfId="8669"/>
    <cellStyle name="Normal 2 2 2 3 3 2 4 3 3" xfId="8670"/>
    <cellStyle name="Normal 2 2 2 3 3 2 4 4" xfId="8671"/>
    <cellStyle name="Normal 2 2 2 3 3 2 4 4 2" xfId="8672"/>
    <cellStyle name="Normal 2 2 2 3 3 2 4 5" xfId="8673"/>
    <cellStyle name="Normal 2 2 2 3 3 2 5" xfId="2965"/>
    <cellStyle name="Normal 2 2 2 3 3 2 5 2" xfId="8674"/>
    <cellStyle name="Normal 2 2 2 3 3 2 5 2 2" xfId="8675"/>
    <cellStyle name="Normal 2 2 2 3 3 2 5 2 2 2" xfId="8676"/>
    <cellStyle name="Normal 2 2 2 3 3 2 5 2 3" xfId="8677"/>
    <cellStyle name="Normal 2 2 2 3 3 2 5 3" xfId="8678"/>
    <cellStyle name="Normal 2 2 2 3 3 2 5 3 2" xfId="8679"/>
    <cellStyle name="Normal 2 2 2 3 3 2 5 4" xfId="8680"/>
    <cellStyle name="Normal 2 2 2 3 3 2 6" xfId="8681"/>
    <cellStyle name="Normal 2 2 2 3 3 2 6 2" xfId="8682"/>
    <cellStyle name="Normal 2 2 2 3 3 2 6 2 2" xfId="8683"/>
    <cellStyle name="Normal 2 2 2 3 3 2 6 3" xfId="8684"/>
    <cellStyle name="Normal 2 2 2 3 3 2 7" xfId="8685"/>
    <cellStyle name="Normal 2 2 2 3 3 2 7 2" xfId="8686"/>
    <cellStyle name="Normal 2 2 2 3 3 2 8" xfId="8687"/>
    <cellStyle name="Normal 2 2 2 3 3 3" xfId="381"/>
    <cellStyle name="Normal 2 2 2 3 3 3 2" xfId="1061"/>
    <cellStyle name="Normal 2 2 2 3 3 3 2 2" xfId="2421"/>
    <cellStyle name="Normal 2 2 2 3 3 3 2 2 2" xfId="5141"/>
    <cellStyle name="Normal 2 2 2 3 3 3 2 2 2 2" xfId="8688"/>
    <cellStyle name="Normal 2 2 2 3 3 3 2 2 2 2 2" xfId="8689"/>
    <cellStyle name="Normal 2 2 2 3 3 3 2 2 2 2 2 2" xfId="8690"/>
    <cellStyle name="Normal 2 2 2 3 3 3 2 2 2 2 3" xfId="8691"/>
    <cellStyle name="Normal 2 2 2 3 3 3 2 2 2 3" xfId="8692"/>
    <cellStyle name="Normal 2 2 2 3 3 3 2 2 2 3 2" xfId="8693"/>
    <cellStyle name="Normal 2 2 2 3 3 3 2 2 2 4" xfId="8694"/>
    <cellStyle name="Normal 2 2 2 3 3 3 2 2 3" xfId="8695"/>
    <cellStyle name="Normal 2 2 2 3 3 3 2 2 3 2" xfId="8696"/>
    <cellStyle name="Normal 2 2 2 3 3 3 2 2 3 2 2" xfId="8697"/>
    <cellStyle name="Normal 2 2 2 3 3 3 2 2 3 3" xfId="8698"/>
    <cellStyle name="Normal 2 2 2 3 3 3 2 2 4" xfId="8699"/>
    <cellStyle name="Normal 2 2 2 3 3 3 2 2 4 2" xfId="8700"/>
    <cellStyle name="Normal 2 2 2 3 3 3 2 2 5" xfId="8701"/>
    <cellStyle name="Normal 2 2 2 3 3 3 2 3" xfId="3781"/>
    <cellStyle name="Normal 2 2 2 3 3 3 2 3 2" xfId="8702"/>
    <cellStyle name="Normal 2 2 2 3 3 3 2 3 2 2" xfId="8703"/>
    <cellStyle name="Normal 2 2 2 3 3 3 2 3 2 2 2" xfId="8704"/>
    <cellStyle name="Normal 2 2 2 3 3 3 2 3 2 3" xfId="8705"/>
    <cellStyle name="Normal 2 2 2 3 3 3 2 3 3" xfId="8706"/>
    <cellStyle name="Normal 2 2 2 3 3 3 2 3 3 2" xfId="8707"/>
    <cellStyle name="Normal 2 2 2 3 3 3 2 3 4" xfId="8708"/>
    <cellStyle name="Normal 2 2 2 3 3 3 2 4" xfId="8709"/>
    <cellStyle name="Normal 2 2 2 3 3 3 2 4 2" xfId="8710"/>
    <cellStyle name="Normal 2 2 2 3 3 3 2 4 2 2" xfId="8711"/>
    <cellStyle name="Normal 2 2 2 3 3 3 2 4 3" xfId="8712"/>
    <cellStyle name="Normal 2 2 2 3 3 3 2 5" xfId="8713"/>
    <cellStyle name="Normal 2 2 2 3 3 3 2 5 2" xfId="8714"/>
    <cellStyle name="Normal 2 2 2 3 3 3 2 6" xfId="8715"/>
    <cellStyle name="Normal 2 2 2 3 3 3 3" xfId="1741"/>
    <cellStyle name="Normal 2 2 2 3 3 3 3 2" xfId="4461"/>
    <cellStyle name="Normal 2 2 2 3 3 3 3 2 2" xfId="8716"/>
    <cellStyle name="Normal 2 2 2 3 3 3 3 2 2 2" xfId="8717"/>
    <cellStyle name="Normal 2 2 2 3 3 3 3 2 2 2 2" xfId="8718"/>
    <cellStyle name="Normal 2 2 2 3 3 3 3 2 2 3" xfId="8719"/>
    <cellStyle name="Normal 2 2 2 3 3 3 3 2 3" xfId="8720"/>
    <cellStyle name="Normal 2 2 2 3 3 3 3 2 3 2" xfId="8721"/>
    <cellStyle name="Normal 2 2 2 3 3 3 3 2 4" xfId="8722"/>
    <cellStyle name="Normal 2 2 2 3 3 3 3 3" xfId="8723"/>
    <cellStyle name="Normal 2 2 2 3 3 3 3 3 2" xfId="8724"/>
    <cellStyle name="Normal 2 2 2 3 3 3 3 3 2 2" xfId="8725"/>
    <cellStyle name="Normal 2 2 2 3 3 3 3 3 3" xfId="8726"/>
    <cellStyle name="Normal 2 2 2 3 3 3 3 4" xfId="8727"/>
    <cellStyle name="Normal 2 2 2 3 3 3 3 4 2" xfId="8728"/>
    <cellStyle name="Normal 2 2 2 3 3 3 3 5" xfId="8729"/>
    <cellStyle name="Normal 2 2 2 3 3 3 4" xfId="3101"/>
    <cellStyle name="Normal 2 2 2 3 3 3 4 2" xfId="8730"/>
    <cellStyle name="Normal 2 2 2 3 3 3 4 2 2" xfId="8731"/>
    <cellStyle name="Normal 2 2 2 3 3 3 4 2 2 2" xfId="8732"/>
    <cellStyle name="Normal 2 2 2 3 3 3 4 2 3" xfId="8733"/>
    <cellStyle name="Normal 2 2 2 3 3 3 4 3" xfId="8734"/>
    <cellStyle name="Normal 2 2 2 3 3 3 4 3 2" xfId="8735"/>
    <cellStyle name="Normal 2 2 2 3 3 3 4 4" xfId="8736"/>
    <cellStyle name="Normal 2 2 2 3 3 3 5" xfId="8737"/>
    <cellStyle name="Normal 2 2 2 3 3 3 5 2" xfId="8738"/>
    <cellStyle name="Normal 2 2 2 3 3 3 5 2 2" xfId="8739"/>
    <cellStyle name="Normal 2 2 2 3 3 3 5 3" xfId="8740"/>
    <cellStyle name="Normal 2 2 2 3 3 3 6" xfId="8741"/>
    <cellStyle name="Normal 2 2 2 3 3 3 6 2" xfId="8742"/>
    <cellStyle name="Normal 2 2 2 3 3 3 7" xfId="8743"/>
    <cellStyle name="Normal 2 2 2 3 3 4" xfId="653"/>
    <cellStyle name="Normal 2 2 2 3 3 4 2" xfId="1333"/>
    <cellStyle name="Normal 2 2 2 3 3 4 2 2" xfId="2693"/>
    <cellStyle name="Normal 2 2 2 3 3 4 2 2 2" xfId="5413"/>
    <cellStyle name="Normal 2 2 2 3 3 4 2 2 2 2" xfId="8744"/>
    <cellStyle name="Normal 2 2 2 3 3 4 2 2 2 2 2" xfId="8745"/>
    <cellStyle name="Normal 2 2 2 3 3 4 2 2 2 2 2 2" xfId="8746"/>
    <cellStyle name="Normal 2 2 2 3 3 4 2 2 2 2 3" xfId="8747"/>
    <cellStyle name="Normal 2 2 2 3 3 4 2 2 2 3" xfId="8748"/>
    <cellStyle name="Normal 2 2 2 3 3 4 2 2 2 3 2" xfId="8749"/>
    <cellStyle name="Normal 2 2 2 3 3 4 2 2 2 4" xfId="8750"/>
    <cellStyle name="Normal 2 2 2 3 3 4 2 2 3" xfId="8751"/>
    <cellStyle name="Normal 2 2 2 3 3 4 2 2 3 2" xfId="8752"/>
    <cellStyle name="Normal 2 2 2 3 3 4 2 2 3 2 2" xfId="8753"/>
    <cellStyle name="Normal 2 2 2 3 3 4 2 2 3 3" xfId="8754"/>
    <cellStyle name="Normal 2 2 2 3 3 4 2 2 4" xfId="8755"/>
    <cellStyle name="Normal 2 2 2 3 3 4 2 2 4 2" xfId="8756"/>
    <cellStyle name="Normal 2 2 2 3 3 4 2 2 5" xfId="8757"/>
    <cellStyle name="Normal 2 2 2 3 3 4 2 3" xfId="4053"/>
    <cellStyle name="Normal 2 2 2 3 3 4 2 3 2" xfId="8758"/>
    <cellStyle name="Normal 2 2 2 3 3 4 2 3 2 2" xfId="8759"/>
    <cellStyle name="Normal 2 2 2 3 3 4 2 3 2 2 2" xfId="8760"/>
    <cellStyle name="Normal 2 2 2 3 3 4 2 3 2 3" xfId="8761"/>
    <cellStyle name="Normal 2 2 2 3 3 4 2 3 3" xfId="8762"/>
    <cellStyle name="Normal 2 2 2 3 3 4 2 3 3 2" xfId="8763"/>
    <cellStyle name="Normal 2 2 2 3 3 4 2 3 4" xfId="8764"/>
    <cellStyle name="Normal 2 2 2 3 3 4 2 4" xfId="8765"/>
    <cellStyle name="Normal 2 2 2 3 3 4 2 4 2" xfId="8766"/>
    <cellStyle name="Normal 2 2 2 3 3 4 2 4 2 2" xfId="8767"/>
    <cellStyle name="Normal 2 2 2 3 3 4 2 4 3" xfId="8768"/>
    <cellStyle name="Normal 2 2 2 3 3 4 2 5" xfId="8769"/>
    <cellStyle name="Normal 2 2 2 3 3 4 2 5 2" xfId="8770"/>
    <cellStyle name="Normal 2 2 2 3 3 4 2 6" xfId="8771"/>
    <cellStyle name="Normal 2 2 2 3 3 4 3" xfId="2013"/>
    <cellStyle name="Normal 2 2 2 3 3 4 3 2" xfId="4733"/>
    <cellStyle name="Normal 2 2 2 3 3 4 3 2 2" xfId="8772"/>
    <cellStyle name="Normal 2 2 2 3 3 4 3 2 2 2" xfId="8773"/>
    <cellStyle name="Normal 2 2 2 3 3 4 3 2 2 2 2" xfId="8774"/>
    <cellStyle name="Normal 2 2 2 3 3 4 3 2 2 3" xfId="8775"/>
    <cellStyle name="Normal 2 2 2 3 3 4 3 2 3" xfId="8776"/>
    <cellStyle name="Normal 2 2 2 3 3 4 3 2 3 2" xfId="8777"/>
    <cellStyle name="Normal 2 2 2 3 3 4 3 2 4" xfId="8778"/>
    <cellStyle name="Normal 2 2 2 3 3 4 3 3" xfId="8779"/>
    <cellStyle name="Normal 2 2 2 3 3 4 3 3 2" xfId="8780"/>
    <cellStyle name="Normal 2 2 2 3 3 4 3 3 2 2" xfId="8781"/>
    <cellStyle name="Normal 2 2 2 3 3 4 3 3 3" xfId="8782"/>
    <cellStyle name="Normal 2 2 2 3 3 4 3 4" xfId="8783"/>
    <cellStyle name="Normal 2 2 2 3 3 4 3 4 2" xfId="8784"/>
    <cellStyle name="Normal 2 2 2 3 3 4 3 5" xfId="8785"/>
    <cellStyle name="Normal 2 2 2 3 3 4 4" xfId="3373"/>
    <cellStyle name="Normal 2 2 2 3 3 4 4 2" xfId="8786"/>
    <cellStyle name="Normal 2 2 2 3 3 4 4 2 2" xfId="8787"/>
    <cellStyle name="Normal 2 2 2 3 3 4 4 2 2 2" xfId="8788"/>
    <cellStyle name="Normal 2 2 2 3 3 4 4 2 3" xfId="8789"/>
    <cellStyle name="Normal 2 2 2 3 3 4 4 3" xfId="8790"/>
    <cellStyle name="Normal 2 2 2 3 3 4 4 3 2" xfId="8791"/>
    <cellStyle name="Normal 2 2 2 3 3 4 4 4" xfId="8792"/>
    <cellStyle name="Normal 2 2 2 3 3 4 5" xfId="8793"/>
    <cellStyle name="Normal 2 2 2 3 3 4 5 2" xfId="8794"/>
    <cellStyle name="Normal 2 2 2 3 3 4 5 2 2" xfId="8795"/>
    <cellStyle name="Normal 2 2 2 3 3 4 5 3" xfId="8796"/>
    <cellStyle name="Normal 2 2 2 3 3 4 6" xfId="8797"/>
    <cellStyle name="Normal 2 2 2 3 3 4 6 2" xfId="8798"/>
    <cellStyle name="Normal 2 2 2 3 3 4 7" xfId="8799"/>
    <cellStyle name="Normal 2 2 2 3 3 5" xfId="789"/>
    <cellStyle name="Normal 2 2 2 3 3 5 2" xfId="2149"/>
    <cellStyle name="Normal 2 2 2 3 3 5 2 2" xfId="4869"/>
    <cellStyle name="Normal 2 2 2 3 3 5 2 2 2" xfId="8800"/>
    <cellStyle name="Normal 2 2 2 3 3 5 2 2 2 2" xfId="8801"/>
    <cellStyle name="Normal 2 2 2 3 3 5 2 2 2 2 2" xfId="8802"/>
    <cellStyle name="Normal 2 2 2 3 3 5 2 2 2 3" xfId="8803"/>
    <cellStyle name="Normal 2 2 2 3 3 5 2 2 3" xfId="8804"/>
    <cellStyle name="Normal 2 2 2 3 3 5 2 2 3 2" xfId="8805"/>
    <cellStyle name="Normal 2 2 2 3 3 5 2 2 4" xfId="8806"/>
    <cellStyle name="Normal 2 2 2 3 3 5 2 3" xfId="8807"/>
    <cellStyle name="Normal 2 2 2 3 3 5 2 3 2" xfId="8808"/>
    <cellStyle name="Normal 2 2 2 3 3 5 2 3 2 2" xfId="8809"/>
    <cellStyle name="Normal 2 2 2 3 3 5 2 3 3" xfId="8810"/>
    <cellStyle name="Normal 2 2 2 3 3 5 2 4" xfId="8811"/>
    <cellStyle name="Normal 2 2 2 3 3 5 2 4 2" xfId="8812"/>
    <cellStyle name="Normal 2 2 2 3 3 5 2 5" xfId="8813"/>
    <cellStyle name="Normal 2 2 2 3 3 5 3" xfId="3509"/>
    <cellStyle name="Normal 2 2 2 3 3 5 3 2" xfId="8814"/>
    <cellStyle name="Normal 2 2 2 3 3 5 3 2 2" xfId="8815"/>
    <cellStyle name="Normal 2 2 2 3 3 5 3 2 2 2" xfId="8816"/>
    <cellStyle name="Normal 2 2 2 3 3 5 3 2 3" xfId="8817"/>
    <cellStyle name="Normal 2 2 2 3 3 5 3 3" xfId="8818"/>
    <cellStyle name="Normal 2 2 2 3 3 5 3 3 2" xfId="8819"/>
    <cellStyle name="Normal 2 2 2 3 3 5 3 4" xfId="8820"/>
    <cellStyle name="Normal 2 2 2 3 3 5 4" xfId="8821"/>
    <cellStyle name="Normal 2 2 2 3 3 5 4 2" xfId="8822"/>
    <cellStyle name="Normal 2 2 2 3 3 5 4 2 2" xfId="8823"/>
    <cellStyle name="Normal 2 2 2 3 3 5 4 3" xfId="8824"/>
    <cellStyle name="Normal 2 2 2 3 3 5 5" xfId="8825"/>
    <cellStyle name="Normal 2 2 2 3 3 5 5 2" xfId="8826"/>
    <cellStyle name="Normal 2 2 2 3 3 5 6" xfId="8827"/>
    <cellStyle name="Normal 2 2 2 3 3 6" xfId="1469"/>
    <cellStyle name="Normal 2 2 2 3 3 6 2" xfId="4189"/>
    <cellStyle name="Normal 2 2 2 3 3 6 2 2" xfId="8828"/>
    <cellStyle name="Normal 2 2 2 3 3 6 2 2 2" xfId="8829"/>
    <cellStyle name="Normal 2 2 2 3 3 6 2 2 2 2" xfId="8830"/>
    <cellStyle name="Normal 2 2 2 3 3 6 2 2 3" xfId="8831"/>
    <cellStyle name="Normal 2 2 2 3 3 6 2 3" xfId="8832"/>
    <cellStyle name="Normal 2 2 2 3 3 6 2 3 2" xfId="8833"/>
    <cellStyle name="Normal 2 2 2 3 3 6 2 4" xfId="8834"/>
    <cellStyle name="Normal 2 2 2 3 3 6 3" xfId="8835"/>
    <cellStyle name="Normal 2 2 2 3 3 6 3 2" xfId="8836"/>
    <cellStyle name="Normal 2 2 2 3 3 6 3 2 2" xfId="8837"/>
    <cellStyle name="Normal 2 2 2 3 3 6 3 3" xfId="8838"/>
    <cellStyle name="Normal 2 2 2 3 3 6 4" xfId="8839"/>
    <cellStyle name="Normal 2 2 2 3 3 6 4 2" xfId="8840"/>
    <cellStyle name="Normal 2 2 2 3 3 6 5" xfId="8841"/>
    <cellStyle name="Normal 2 2 2 3 3 7" xfId="2829"/>
    <cellStyle name="Normal 2 2 2 3 3 7 2" xfId="8842"/>
    <cellStyle name="Normal 2 2 2 3 3 7 2 2" xfId="8843"/>
    <cellStyle name="Normal 2 2 2 3 3 7 2 2 2" xfId="8844"/>
    <cellStyle name="Normal 2 2 2 3 3 7 2 3" xfId="8845"/>
    <cellStyle name="Normal 2 2 2 3 3 7 3" xfId="8846"/>
    <cellStyle name="Normal 2 2 2 3 3 7 3 2" xfId="8847"/>
    <cellStyle name="Normal 2 2 2 3 3 7 4" xfId="8848"/>
    <cellStyle name="Normal 2 2 2 3 3 8" xfId="8849"/>
    <cellStyle name="Normal 2 2 2 3 3 8 2" xfId="8850"/>
    <cellStyle name="Normal 2 2 2 3 3 8 2 2" xfId="8851"/>
    <cellStyle name="Normal 2 2 2 3 3 8 3" xfId="8852"/>
    <cellStyle name="Normal 2 2 2 3 3 9" xfId="8853"/>
    <cellStyle name="Normal 2 2 2 3 3 9 2" xfId="8854"/>
    <cellStyle name="Normal 2 2 2 3 4" xfId="177"/>
    <cellStyle name="Normal 2 2 2 3 4 2" xfId="449"/>
    <cellStyle name="Normal 2 2 2 3 4 2 2" xfId="1129"/>
    <cellStyle name="Normal 2 2 2 3 4 2 2 2" xfId="2489"/>
    <cellStyle name="Normal 2 2 2 3 4 2 2 2 2" xfId="5209"/>
    <cellStyle name="Normal 2 2 2 3 4 2 2 2 2 2" xfId="8855"/>
    <cellStyle name="Normal 2 2 2 3 4 2 2 2 2 2 2" xfId="8856"/>
    <cellStyle name="Normal 2 2 2 3 4 2 2 2 2 2 2 2" xfId="8857"/>
    <cellStyle name="Normal 2 2 2 3 4 2 2 2 2 2 3" xfId="8858"/>
    <cellStyle name="Normal 2 2 2 3 4 2 2 2 2 3" xfId="8859"/>
    <cellStyle name="Normal 2 2 2 3 4 2 2 2 2 3 2" xfId="8860"/>
    <cellStyle name="Normal 2 2 2 3 4 2 2 2 2 4" xfId="8861"/>
    <cellStyle name="Normal 2 2 2 3 4 2 2 2 3" xfId="8862"/>
    <cellStyle name="Normal 2 2 2 3 4 2 2 2 3 2" xfId="8863"/>
    <cellStyle name="Normal 2 2 2 3 4 2 2 2 3 2 2" xfId="8864"/>
    <cellStyle name="Normal 2 2 2 3 4 2 2 2 3 3" xfId="8865"/>
    <cellStyle name="Normal 2 2 2 3 4 2 2 2 4" xfId="8866"/>
    <cellStyle name="Normal 2 2 2 3 4 2 2 2 4 2" xfId="8867"/>
    <cellStyle name="Normal 2 2 2 3 4 2 2 2 5" xfId="8868"/>
    <cellStyle name="Normal 2 2 2 3 4 2 2 3" xfId="3849"/>
    <cellStyle name="Normal 2 2 2 3 4 2 2 3 2" xfId="8869"/>
    <cellStyle name="Normal 2 2 2 3 4 2 2 3 2 2" xfId="8870"/>
    <cellStyle name="Normal 2 2 2 3 4 2 2 3 2 2 2" xfId="8871"/>
    <cellStyle name="Normal 2 2 2 3 4 2 2 3 2 3" xfId="8872"/>
    <cellStyle name="Normal 2 2 2 3 4 2 2 3 3" xfId="8873"/>
    <cellStyle name="Normal 2 2 2 3 4 2 2 3 3 2" xfId="8874"/>
    <cellStyle name="Normal 2 2 2 3 4 2 2 3 4" xfId="8875"/>
    <cellStyle name="Normal 2 2 2 3 4 2 2 4" xfId="8876"/>
    <cellStyle name="Normal 2 2 2 3 4 2 2 4 2" xfId="8877"/>
    <cellStyle name="Normal 2 2 2 3 4 2 2 4 2 2" xfId="8878"/>
    <cellStyle name="Normal 2 2 2 3 4 2 2 4 3" xfId="8879"/>
    <cellStyle name="Normal 2 2 2 3 4 2 2 5" xfId="8880"/>
    <cellStyle name="Normal 2 2 2 3 4 2 2 5 2" xfId="8881"/>
    <cellStyle name="Normal 2 2 2 3 4 2 2 6" xfId="8882"/>
    <cellStyle name="Normal 2 2 2 3 4 2 3" xfId="1809"/>
    <cellStyle name="Normal 2 2 2 3 4 2 3 2" xfId="4529"/>
    <cellStyle name="Normal 2 2 2 3 4 2 3 2 2" xfId="8883"/>
    <cellStyle name="Normal 2 2 2 3 4 2 3 2 2 2" xfId="8884"/>
    <cellStyle name="Normal 2 2 2 3 4 2 3 2 2 2 2" xfId="8885"/>
    <cellStyle name="Normal 2 2 2 3 4 2 3 2 2 3" xfId="8886"/>
    <cellStyle name="Normal 2 2 2 3 4 2 3 2 3" xfId="8887"/>
    <cellStyle name="Normal 2 2 2 3 4 2 3 2 3 2" xfId="8888"/>
    <cellStyle name="Normal 2 2 2 3 4 2 3 2 4" xfId="8889"/>
    <cellStyle name="Normal 2 2 2 3 4 2 3 3" xfId="8890"/>
    <cellStyle name="Normal 2 2 2 3 4 2 3 3 2" xfId="8891"/>
    <cellStyle name="Normal 2 2 2 3 4 2 3 3 2 2" xfId="8892"/>
    <cellStyle name="Normal 2 2 2 3 4 2 3 3 3" xfId="8893"/>
    <cellStyle name="Normal 2 2 2 3 4 2 3 4" xfId="8894"/>
    <cellStyle name="Normal 2 2 2 3 4 2 3 4 2" xfId="8895"/>
    <cellStyle name="Normal 2 2 2 3 4 2 3 5" xfId="8896"/>
    <cellStyle name="Normal 2 2 2 3 4 2 4" xfId="3169"/>
    <cellStyle name="Normal 2 2 2 3 4 2 4 2" xfId="8897"/>
    <cellStyle name="Normal 2 2 2 3 4 2 4 2 2" xfId="8898"/>
    <cellStyle name="Normal 2 2 2 3 4 2 4 2 2 2" xfId="8899"/>
    <cellStyle name="Normal 2 2 2 3 4 2 4 2 3" xfId="8900"/>
    <cellStyle name="Normal 2 2 2 3 4 2 4 3" xfId="8901"/>
    <cellStyle name="Normal 2 2 2 3 4 2 4 3 2" xfId="8902"/>
    <cellStyle name="Normal 2 2 2 3 4 2 4 4" xfId="8903"/>
    <cellStyle name="Normal 2 2 2 3 4 2 5" xfId="8904"/>
    <cellStyle name="Normal 2 2 2 3 4 2 5 2" xfId="8905"/>
    <cellStyle name="Normal 2 2 2 3 4 2 5 2 2" xfId="8906"/>
    <cellStyle name="Normal 2 2 2 3 4 2 5 3" xfId="8907"/>
    <cellStyle name="Normal 2 2 2 3 4 2 6" xfId="8908"/>
    <cellStyle name="Normal 2 2 2 3 4 2 6 2" xfId="8909"/>
    <cellStyle name="Normal 2 2 2 3 4 2 7" xfId="8910"/>
    <cellStyle name="Normal 2 2 2 3 4 3" xfId="857"/>
    <cellStyle name="Normal 2 2 2 3 4 3 2" xfId="2217"/>
    <cellStyle name="Normal 2 2 2 3 4 3 2 2" xfId="4937"/>
    <cellStyle name="Normal 2 2 2 3 4 3 2 2 2" xfId="8911"/>
    <cellStyle name="Normal 2 2 2 3 4 3 2 2 2 2" xfId="8912"/>
    <cellStyle name="Normal 2 2 2 3 4 3 2 2 2 2 2" xfId="8913"/>
    <cellStyle name="Normal 2 2 2 3 4 3 2 2 2 3" xfId="8914"/>
    <cellStyle name="Normal 2 2 2 3 4 3 2 2 3" xfId="8915"/>
    <cellStyle name="Normal 2 2 2 3 4 3 2 2 3 2" xfId="8916"/>
    <cellStyle name="Normal 2 2 2 3 4 3 2 2 4" xfId="8917"/>
    <cellStyle name="Normal 2 2 2 3 4 3 2 3" xfId="8918"/>
    <cellStyle name="Normal 2 2 2 3 4 3 2 3 2" xfId="8919"/>
    <cellStyle name="Normal 2 2 2 3 4 3 2 3 2 2" xfId="8920"/>
    <cellStyle name="Normal 2 2 2 3 4 3 2 3 3" xfId="8921"/>
    <cellStyle name="Normal 2 2 2 3 4 3 2 4" xfId="8922"/>
    <cellStyle name="Normal 2 2 2 3 4 3 2 4 2" xfId="8923"/>
    <cellStyle name="Normal 2 2 2 3 4 3 2 5" xfId="8924"/>
    <cellStyle name="Normal 2 2 2 3 4 3 3" xfId="3577"/>
    <cellStyle name="Normal 2 2 2 3 4 3 3 2" xfId="8925"/>
    <cellStyle name="Normal 2 2 2 3 4 3 3 2 2" xfId="8926"/>
    <cellStyle name="Normal 2 2 2 3 4 3 3 2 2 2" xfId="8927"/>
    <cellStyle name="Normal 2 2 2 3 4 3 3 2 3" xfId="8928"/>
    <cellStyle name="Normal 2 2 2 3 4 3 3 3" xfId="8929"/>
    <cellStyle name="Normal 2 2 2 3 4 3 3 3 2" xfId="8930"/>
    <cellStyle name="Normal 2 2 2 3 4 3 3 4" xfId="8931"/>
    <cellStyle name="Normal 2 2 2 3 4 3 4" xfId="8932"/>
    <cellStyle name="Normal 2 2 2 3 4 3 4 2" xfId="8933"/>
    <cellStyle name="Normal 2 2 2 3 4 3 4 2 2" xfId="8934"/>
    <cellStyle name="Normal 2 2 2 3 4 3 4 3" xfId="8935"/>
    <cellStyle name="Normal 2 2 2 3 4 3 5" xfId="8936"/>
    <cellStyle name="Normal 2 2 2 3 4 3 5 2" xfId="8937"/>
    <cellStyle name="Normal 2 2 2 3 4 3 6" xfId="8938"/>
    <cellStyle name="Normal 2 2 2 3 4 4" xfId="1537"/>
    <cellStyle name="Normal 2 2 2 3 4 4 2" xfId="4257"/>
    <cellStyle name="Normal 2 2 2 3 4 4 2 2" xfId="8939"/>
    <cellStyle name="Normal 2 2 2 3 4 4 2 2 2" xfId="8940"/>
    <cellStyle name="Normal 2 2 2 3 4 4 2 2 2 2" xfId="8941"/>
    <cellStyle name="Normal 2 2 2 3 4 4 2 2 3" xfId="8942"/>
    <cellStyle name="Normal 2 2 2 3 4 4 2 3" xfId="8943"/>
    <cellStyle name="Normal 2 2 2 3 4 4 2 3 2" xfId="8944"/>
    <cellStyle name="Normal 2 2 2 3 4 4 2 4" xfId="8945"/>
    <cellStyle name="Normal 2 2 2 3 4 4 3" xfId="8946"/>
    <cellStyle name="Normal 2 2 2 3 4 4 3 2" xfId="8947"/>
    <cellStyle name="Normal 2 2 2 3 4 4 3 2 2" xfId="8948"/>
    <cellStyle name="Normal 2 2 2 3 4 4 3 3" xfId="8949"/>
    <cellStyle name="Normal 2 2 2 3 4 4 4" xfId="8950"/>
    <cellStyle name="Normal 2 2 2 3 4 4 4 2" xfId="8951"/>
    <cellStyle name="Normal 2 2 2 3 4 4 5" xfId="8952"/>
    <cellStyle name="Normal 2 2 2 3 4 5" xfId="2897"/>
    <cellStyle name="Normal 2 2 2 3 4 5 2" xfId="8953"/>
    <cellStyle name="Normal 2 2 2 3 4 5 2 2" xfId="8954"/>
    <cellStyle name="Normal 2 2 2 3 4 5 2 2 2" xfId="8955"/>
    <cellStyle name="Normal 2 2 2 3 4 5 2 3" xfId="8956"/>
    <cellStyle name="Normal 2 2 2 3 4 5 3" xfId="8957"/>
    <cellStyle name="Normal 2 2 2 3 4 5 3 2" xfId="8958"/>
    <cellStyle name="Normal 2 2 2 3 4 5 4" xfId="8959"/>
    <cellStyle name="Normal 2 2 2 3 4 6" xfId="8960"/>
    <cellStyle name="Normal 2 2 2 3 4 6 2" xfId="8961"/>
    <cellStyle name="Normal 2 2 2 3 4 6 2 2" xfId="8962"/>
    <cellStyle name="Normal 2 2 2 3 4 6 3" xfId="8963"/>
    <cellStyle name="Normal 2 2 2 3 4 7" xfId="8964"/>
    <cellStyle name="Normal 2 2 2 3 4 7 2" xfId="8965"/>
    <cellStyle name="Normal 2 2 2 3 4 8" xfId="8966"/>
    <cellStyle name="Normal 2 2 2 3 5" xfId="313"/>
    <cellStyle name="Normal 2 2 2 3 5 2" xfId="993"/>
    <cellStyle name="Normal 2 2 2 3 5 2 2" xfId="2353"/>
    <cellStyle name="Normal 2 2 2 3 5 2 2 2" xfId="5073"/>
    <cellStyle name="Normal 2 2 2 3 5 2 2 2 2" xfId="8967"/>
    <cellStyle name="Normal 2 2 2 3 5 2 2 2 2 2" xfId="8968"/>
    <cellStyle name="Normal 2 2 2 3 5 2 2 2 2 2 2" xfId="8969"/>
    <cellStyle name="Normal 2 2 2 3 5 2 2 2 2 3" xfId="8970"/>
    <cellStyle name="Normal 2 2 2 3 5 2 2 2 3" xfId="8971"/>
    <cellStyle name="Normal 2 2 2 3 5 2 2 2 3 2" xfId="8972"/>
    <cellStyle name="Normal 2 2 2 3 5 2 2 2 4" xfId="8973"/>
    <cellStyle name="Normal 2 2 2 3 5 2 2 3" xfId="8974"/>
    <cellStyle name="Normal 2 2 2 3 5 2 2 3 2" xfId="8975"/>
    <cellStyle name="Normal 2 2 2 3 5 2 2 3 2 2" xfId="8976"/>
    <cellStyle name="Normal 2 2 2 3 5 2 2 3 3" xfId="8977"/>
    <cellStyle name="Normal 2 2 2 3 5 2 2 4" xfId="8978"/>
    <cellStyle name="Normal 2 2 2 3 5 2 2 4 2" xfId="8979"/>
    <cellStyle name="Normal 2 2 2 3 5 2 2 5" xfId="8980"/>
    <cellStyle name="Normal 2 2 2 3 5 2 3" xfId="3713"/>
    <cellStyle name="Normal 2 2 2 3 5 2 3 2" xfId="8981"/>
    <cellStyle name="Normal 2 2 2 3 5 2 3 2 2" xfId="8982"/>
    <cellStyle name="Normal 2 2 2 3 5 2 3 2 2 2" xfId="8983"/>
    <cellStyle name="Normal 2 2 2 3 5 2 3 2 3" xfId="8984"/>
    <cellStyle name="Normal 2 2 2 3 5 2 3 3" xfId="8985"/>
    <cellStyle name="Normal 2 2 2 3 5 2 3 3 2" xfId="8986"/>
    <cellStyle name="Normal 2 2 2 3 5 2 3 4" xfId="8987"/>
    <cellStyle name="Normal 2 2 2 3 5 2 4" xfId="8988"/>
    <cellStyle name="Normal 2 2 2 3 5 2 4 2" xfId="8989"/>
    <cellStyle name="Normal 2 2 2 3 5 2 4 2 2" xfId="8990"/>
    <cellStyle name="Normal 2 2 2 3 5 2 4 3" xfId="8991"/>
    <cellStyle name="Normal 2 2 2 3 5 2 5" xfId="8992"/>
    <cellStyle name="Normal 2 2 2 3 5 2 5 2" xfId="8993"/>
    <cellStyle name="Normal 2 2 2 3 5 2 6" xfId="8994"/>
    <cellStyle name="Normal 2 2 2 3 5 3" xfId="1673"/>
    <cellStyle name="Normal 2 2 2 3 5 3 2" xfId="4393"/>
    <cellStyle name="Normal 2 2 2 3 5 3 2 2" xfId="8995"/>
    <cellStyle name="Normal 2 2 2 3 5 3 2 2 2" xfId="8996"/>
    <cellStyle name="Normal 2 2 2 3 5 3 2 2 2 2" xfId="8997"/>
    <cellStyle name="Normal 2 2 2 3 5 3 2 2 3" xfId="8998"/>
    <cellStyle name="Normal 2 2 2 3 5 3 2 3" xfId="8999"/>
    <cellStyle name="Normal 2 2 2 3 5 3 2 3 2" xfId="9000"/>
    <cellStyle name="Normal 2 2 2 3 5 3 2 4" xfId="9001"/>
    <cellStyle name="Normal 2 2 2 3 5 3 3" xfId="9002"/>
    <cellStyle name="Normal 2 2 2 3 5 3 3 2" xfId="9003"/>
    <cellStyle name="Normal 2 2 2 3 5 3 3 2 2" xfId="9004"/>
    <cellStyle name="Normal 2 2 2 3 5 3 3 3" xfId="9005"/>
    <cellStyle name="Normal 2 2 2 3 5 3 4" xfId="9006"/>
    <cellStyle name="Normal 2 2 2 3 5 3 4 2" xfId="9007"/>
    <cellStyle name="Normal 2 2 2 3 5 3 5" xfId="9008"/>
    <cellStyle name="Normal 2 2 2 3 5 4" xfId="3033"/>
    <cellStyle name="Normal 2 2 2 3 5 4 2" xfId="9009"/>
    <cellStyle name="Normal 2 2 2 3 5 4 2 2" xfId="9010"/>
    <cellStyle name="Normal 2 2 2 3 5 4 2 2 2" xfId="9011"/>
    <cellStyle name="Normal 2 2 2 3 5 4 2 3" xfId="9012"/>
    <cellStyle name="Normal 2 2 2 3 5 4 3" xfId="9013"/>
    <cellStyle name="Normal 2 2 2 3 5 4 3 2" xfId="9014"/>
    <cellStyle name="Normal 2 2 2 3 5 4 4" xfId="9015"/>
    <cellStyle name="Normal 2 2 2 3 5 5" xfId="9016"/>
    <cellStyle name="Normal 2 2 2 3 5 5 2" xfId="9017"/>
    <cellStyle name="Normal 2 2 2 3 5 5 2 2" xfId="9018"/>
    <cellStyle name="Normal 2 2 2 3 5 5 3" xfId="9019"/>
    <cellStyle name="Normal 2 2 2 3 5 6" xfId="9020"/>
    <cellStyle name="Normal 2 2 2 3 5 6 2" xfId="9021"/>
    <cellStyle name="Normal 2 2 2 3 5 7" xfId="9022"/>
    <cellStyle name="Normal 2 2 2 3 6" xfId="585"/>
    <cellStyle name="Normal 2 2 2 3 6 2" xfId="1265"/>
    <cellStyle name="Normal 2 2 2 3 6 2 2" xfId="2625"/>
    <cellStyle name="Normal 2 2 2 3 6 2 2 2" xfId="5345"/>
    <cellStyle name="Normal 2 2 2 3 6 2 2 2 2" xfId="9023"/>
    <cellStyle name="Normal 2 2 2 3 6 2 2 2 2 2" xfId="9024"/>
    <cellStyle name="Normal 2 2 2 3 6 2 2 2 2 2 2" xfId="9025"/>
    <cellStyle name="Normal 2 2 2 3 6 2 2 2 2 3" xfId="9026"/>
    <cellStyle name="Normal 2 2 2 3 6 2 2 2 3" xfId="9027"/>
    <cellStyle name="Normal 2 2 2 3 6 2 2 2 3 2" xfId="9028"/>
    <cellStyle name="Normal 2 2 2 3 6 2 2 2 4" xfId="9029"/>
    <cellStyle name="Normal 2 2 2 3 6 2 2 3" xfId="9030"/>
    <cellStyle name="Normal 2 2 2 3 6 2 2 3 2" xfId="9031"/>
    <cellStyle name="Normal 2 2 2 3 6 2 2 3 2 2" xfId="9032"/>
    <cellStyle name="Normal 2 2 2 3 6 2 2 3 3" xfId="9033"/>
    <cellStyle name="Normal 2 2 2 3 6 2 2 4" xfId="9034"/>
    <cellStyle name="Normal 2 2 2 3 6 2 2 4 2" xfId="9035"/>
    <cellStyle name="Normal 2 2 2 3 6 2 2 5" xfId="9036"/>
    <cellStyle name="Normal 2 2 2 3 6 2 3" xfId="3985"/>
    <cellStyle name="Normal 2 2 2 3 6 2 3 2" xfId="9037"/>
    <cellStyle name="Normal 2 2 2 3 6 2 3 2 2" xfId="9038"/>
    <cellStyle name="Normal 2 2 2 3 6 2 3 2 2 2" xfId="9039"/>
    <cellStyle name="Normal 2 2 2 3 6 2 3 2 3" xfId="9040"/>
    <cellStyle name="Normal 2 2 2 3 6 2 3 3" xfId="9041"/>
    <cellStyle name="Normal 2 2 2 3 6 2 3 3 2" xfId="9042"/>
    <cellStyle name="Normal 2 2 2 3 6 2 3 4" xfId="9043"/>
    <cellStyle name="Normal 2 2 2 3 6 2 4" xfId="9044"/>
    <cellStyle name="Normal 2 2 2 3 6 2 4 2" xfId="9045"/>
    <cellStyle name="Normal 2 2 2 3 6 2 4 2 2" xfId="9046"/>
    <cellStyle name="Normal 2 2 2 3 6 2 4 3" xfId="9047"/>
    <cellStyle name="Normal 2 2 2 3 6 2 5" xfId="9048"/>
    <cellStyle name="Normal 2 2 2 3 6 2 5 2" xfId="9049"/>
    <cellStyle name="Normal 2 2 2 3 6 2 6" xfId="9050"/>
    <cellStyle name="Normal 2 2 2 3 6 3" xfId="1945"/>
    <cellStyle name="Normal 2 2 2 3 6 3 2" xfId="4665"/>
    <cellStyle name="Normal 2 2 2 3 6 3 2 2" xfId="9051"/>
    <cellStyle name="Normal 2 2 2 3 6 3 2 2 2" xfId="9052"/>
    <cellStyle name="Normal 2 2 2 3 6 3 2 2 2 2" xfId="9053"/>
    <cellStyle name="Normal 2 2 2 3 6 3 2 2 3" xfId="9054"/>
    <cellStyle name="Normal 2 2 2 3 6 3 2 3" xfId="9055"/>
    <cellStyle name="Normal 2 2 2 3 6 3 2 3 2" xfId="9056"/>
    <cellStyle name="Normal 2 2 2 3 6 3 2 4" xfId="9057"/>
    <cellStyle name="Normal 2 2 2 3 6 3 3" xfId="9058"/>
    <cellStyle name="Normal 2 2 2 3 6 3 3 2" xfId="9059"/>
    <cellStyle name="Normal 2 2 2 3 6 3 3 2 2" xfId="9060"/>
    <cellStyle name="Normal 2 2 2 3 6 3 3 3" xfId="9061"/>
    <cellStyle name="Normal 2 2 2 3 6 3 4" xfId="9062"/>
    <cellStyle name="Normal 2 2 2 3 6 3 4 2" xfId="9063"/>
    <cellStyle name="Normal 2 2 2 3 6 3 5" xfId="9064"/>
    <cellStyle name="Normal 2 2 2 3 6 4" xfId="3305"/>
    <cellStyle name="Normal 2 2 2 3 6 4 2" xfId="9065"/>
    <cellStyle name="Normal 2 2 2 3 6 4 2 2" xfId="9066"/>
    <cellStyle name="Normal 2 2 2 3 6 4 2 2 2" xfId="9067"/>
    <cellStyle name="Normal 2 2 2 3 6 4 2 3" xfId="9068"/>
    <cellStyle name="Normal 2 2 2 3 6 4 3" xfId="9069"/>
    <cellStyle name="Normal 2 2 2 3 6 4 3 2" xfId="9070"/>
    <cellStyle name="Normal 2 2 2 3 6 4 4" xfId="9071"/>
    <cellStyle name="Normal 2 2 2 3 6 5" xfId="9072"/>
    <cellStyle name="Normal 2 2 2 3 6 5 2" xfId="9073"/>
    <cellStyle name="Normal 2 2 2 3 6 5 2 2" xfId="9074"/>
    <cellStyle name="Normal 2 2 2 3 6 5 3" xfId="9075"/>
    <cellStyle name="Normal 2 2 2 3 6 6" xfId="9076"/>
    <cellStyle name="Normal 2 2 2 3 6 6 2" xfId="9077"/>
    <cellStyle name="Normal 2 2 2 3 6 7" xfId="9078"/>
    <cellStyle name="Normal 2 2 2 3 7" xfId="721"/>
    <cellStyle name="Normal 2 2 2 3 7 2" xfId="2081"/>
    <cellStyle name="Normal 2 2 2 3 7 2 2" xfId="4801"/>
    <cellStyle name="Normal 2 2 2 3 7 2 2 2" xfId="9079"/>
    <cellStyle name="Normal 2 2 2 3 7 2 2 2 2" xfId="9080"/>
    <cellStyle name="Normal 2 2 2 3 7 2 2 2 2 2" xfId="9081"/>
    <cellStyle name="Normal 2 2 2 3 7 2 2 2 3" xfId="9082"/>
    <cellStyle name="Normal 2 2 2 3 7 2 2 3" xfId="9083"/>
    <cellStyle name="Normal 2 2 2 3 7 2 2 3 2" xfId="9084"/>
    <cellStyle name="Normal 2 2 2 3 7 2 2 4" xfId="9085"/>
    <cellStyle name="Normal 2 2 2 3 7 2 3" xfId="9086"/>
    <cellStyle name="Normal 2 2 2 3 7 2 3 2" xfId="9087"/>
    <cellStyle name="Normal 2 2 2 3 7 2 3 2 2" xfId="9088"/>
    <cellStyle name="Normal 2 2 2 3 7 2 3 3" xfId="9089"/>
    <cellStyle name="Normal 2 2 2 3 7 2 4" xfId="9090"/>
    <cellStyle name="Normal 2 2 2 3 7 2 4 2" xfId="9091"/>
    <cellStyle name="Normal 2 2 2 3 7 2 5" xfId="9092"/>
    <cellStyle name="Normal 2 2 2 3 7 3" xfId="3441"/>
    <cellStyle name="Normal 2 2 2 3 7 3 2" xfId="9093"/>
    <cellStyle name="Normal 2 2 2 3 7 3 2 2" xfId="9094"/>
    <cellStyle name="Normal 2 2 2 3 7 3 2 2 2" xfId="9095"/>
    <cellStyle name="Normal 2 2 2 3 7 3 2 3" xfId="9096"/>
    <cellStyle name="Normal 2 2 2 3 7 3 3" xfId="9097"/>
    <cellStyle name="Normal 2 2 2 3 7 3 3 2" xfId="9098"/>
    <cellStyle name="Normal 2 2 2 3 7 3 4" xfId="9099"/>
    <cellStyle name="Normal 2 2 2 3 7 4" xfId="9100"/>
    <cellStyle name="Normal 2 2 2 3 7 4 2" xfId="9101"/>
    <cellStyle name="Normal 2 2 2 3 7 4 2 2" xfId="9102"/>
    <cellStyle name="Normal 2 2 2 3 7 4 3" xfId="9103"/>
    <cellStyle name="Normal 2 2 2 3 7 5" xfId="9104"/>
    <cellStyle name="Normal 2 2 2 3 7 5 2" xfId="9105"/>
    <cellStyle name="Normal 2 2 2 3 7 6" xfId="9106"/>
    <cellStyle name="Normal 2 2 2 3 8" xfId="1401"/>
    <cellStyle name="Normal 2 2 2 3 8 2" xfId="4121"/>
    <cellStyle name="Normal 2 2 2 3 8 2 2" xfId="9107"/>
    <cellStyle name="Normal 2 2 2 3 8 2 2 2" xfId="9108"/>
    <cellStyle name="Normal 2 2 2 3 8 2 2 2 2" xfId="9109"/>
    <cellStyle name="Normal 2 2 2 3 8 2 2 3" xfId="9110"/>
    <cellStyle name="Normal 2 2 2 3 8 2 3" xfId="9111"/>
    <cellStyle name="Normal 2 2 2 3 8 2 3 2" xfId="9112"/>
    <cellStyle name="Normal 2 2 2 3 8 2 4" xfId="9113"/>
    <cellStyle name="Normal 2 2 2 3 8 3" xfId="9114"/>
    <cellStyle name="Normal 2 2 2 3 8 3 2" xfId="9115"/>
    <cellStyle name="Normal 2 2 2 3 8 3 2 2" xfId="9116"/>
    <cellStyle name="Normal 2 2 2 3 8 3 3" xfId="9117"/>
    <cellStyle name="Normal 2 2 2 3 8 4" xfId="9118"/>
    <cellStyle name="Normal 2 2 2 3 8 4 2" xfId="9119"/>
    <cellStyle name="Normal 2 2 2 3 8 5" xfId="9120"/>
    <cellStyle name="Normal 2 2 2 3 9" xfId="2761"/>
    <cellStyle name="Normal 2 2 2 3 9 2" xfId="9121"/>
    <cellStyle name="Normal 2 2 2 3 9 2 2" xfId="9122"/>
    <cellStyle name="Normal 2 2 2 3 9 2 2 2" xfId="9123"/>
    <cellStyle name="Normal 2 2 2 3 9 2 3" xfId="9124"/>
    <cellStyle name="Normal 2 2 2 3 9 3" xfId="9125"/>
    <cellStyle name="Normal 2 2 2 3 9 3 2" xfId="9126"/>
    <cellStyle name="Normal 2 2 2 3 9 4" xfId="9127"/>
    <cellStyle name="Normal 2 2 2 4" xfId="57"/>
    <cellStyle name="Normal 2 2 2 4 10" xfId="9128"/>
    <cellStyle name="Normal 2 2 2 4 10 2" xfId="9129"/>
    <cellStyle name="Normal 2 2 2 4 11" xfId="9130"/>
    <cellStyle name="Normal 2 2 2 4 2" xfId="125"/>
    <cellStyle name="Normal 2 2 2 4 2 10" xfId="9131"/>
    <cellStyle name="Normal 2 2 2 4 2 2" xfId="262"/>
    <cellStyle name="Normal 2 2 2 4 2 2 2" xfId="534"/>
    <cellStyle name="Normal 2 2 2 4 2 2 2 2" xfId="1214"/>
    <cellStyle name="Normal 2 2 2 4 2 2 2 2 2" xfId="2574"/>
    <cellStyle name="Normal 2 2 2 4 2 2 2 2 2 2" xfId="5294"/>
    <cellStyle name="Normal 2 2 2 4 2 2 2 2 2 2 2" xfId="9132"/>
    <cellStyle name="Normal 2 2 2 4 2 2 2 2 2 2 2 2" xfId="9133"/>
    <cellStyle name="Normal 2 2 2 4 2 2 2 2 2 2 2 2 2" xfId="9134"/>
    <cellStyle name="Normal 2 2 2 4 2 2 2 2 2 2 2 3" xfId="9135"/>
    <cellStyle name="Normal 2 2 2 4 2 2 2 2 2 2 3" xfId="9136"/>
    <cellStyle name="Normal 2 2 2 4 2 2 2 2 2 2 3 2" xfId="9137"/>
    <cellStyle name="Normal 2 2 2 4 2 2 2 2 2 2 4" xfId="9138"/>
    <cellStyle name="Normal 2 2 2 4 2 2 2 2 2 3" xfId="9139"/>
    <cellStyle name="Normal 2 2 2 4 2 2 2 2 2 3 2" xfId="9140"/>
    <cellStyle name="Normal 2 2 2 4 2 2 2 2 2 3 2 2" xfId="9141"/>
    <cellStyle name="Normal 2 2 2 4 2 2 2 2 2 3 3" xfId="9142"/>
    <cellStyle name="Normal 2 2 2 4 2 2 2 2 2 4" xfId="9143"/>
    <cellStyle name="Normal 2 2 2 4 2 2 2 2 2 4 2" xfId="9144"/>
    <cellStyle name="Normal 2 2 2 4 2 2 2 2 2 5" xfId="9145"/>
    <cellStyle name="Normal 2 2 2 4 2 2 2 2 3" xfId="3934"/>
    <cellStyle name="Normal 2 2 2 4 2 2 2 2 3 2" xfId="9146"/>
    <cellStyle name="Normal 2 2 2 4 2 2 2 2 3 2 2" xfId="9147"/>
    <cellStyle name="Normal 2 2 2 4 2 2 2 2 3 2 2 2" xfId="9148"/>
    <cellStyle name="Normal 2 2 2 4 2 2 2 2 3 2 3" xfId="9149"/>
    <cellStyle name="Normal 2 2 2 4 2 2 2 2 3 3" xfId="9150"/>
    <cellStyle name="Normal 2 2 2 4 2 2 2 2 3 3 2" xfId="9151"/>
    <cellStyle name="Normal 2 2 2 4 2 2 2 2 3 4" xfId="9152"/>
    <cellStyle name="Normal 2 2 2 4 2 2 2 2 4" xfId="9153"/>
    <cellStyle name="Normal 2 2 2 4 2 2 2 2 4 2" xfId="9154"/>
    <cellStyle name="Normal 2 2 2 4 2 2 2 2 4 2 2" xfId="9155"/>
    <cellStyle name="Normal 2 2 2 4 2 2 2 2 4 3" xfId="9156"/>
    <cellStyle name="Normal 2 2 2 4 2 2 2 2 5" xfId="9157"/>
    <cellStyle name="Normal 2 2 2 4 2 2 2 2 5 2" xfId="9158"/>
    <cellStyle name="Normal 2 2 2 4 2 2 2 2 6" xfId="9159"/>
    <cellStyle name="Normal 2 2 2 4 2 2 2 3" xfId="1894"/>
    <cellStyle name="Normal 2 2 2 4 2 2 2 3 2" xfId="4614"/>
    <cellStyle name="Normal 2 2 2 4 2 2 2 3 2 2" xfId="9160"/>
    <cellStyle name="Normal 2 2 2 4 2 2 2 3 2 2 2" xfId="9161"/>
    <cellStyle name="Normal 2 2 2 4 2 2 2 3 2 2 2 2" xfId="9162"/>
    <cellStyle name="Normal 2 2 2 4 2 2 2 3 2 2 3" xfId="9163"/>
    <cellStyle name="Normal 2 2 2 4 2 2 2 3 2 3" xfId="9164"/>
    <cellStyle name="Normal 2 2 2 4 2 2 2 3 2 3 2" xfId="9165"/>
    <cellStyle name="Normal 2 2 2 4 2 2 2 3 2 4" xfId="9166"/>
    <cellStyle name="Normal 2 2 2 4 2 2 2 3 3" xfId="9167"/>
    <cellStyle name="Normal 2 2 2 4 2 2 2 3 3 2" xfId="9168"/>
    <cellStyle name="Normal 2 2 2 4 2 2 2 3 3 2 2" xfId="9169"/>
    <cellStyle name="Normal 2 2 2 4 2 2 2 3 3 3" xfId="9170"/>
    <cellStyle name="Normal 2 2 2 4 2 2 2 3 4" xfId="9171"/>
    <cellStyle name="Normal 2 2 2 4 2 2 2 3 4 2" xfId="9172"/>
    <cellStyle name="Normal 2 2 2 4 2 2 2 3 5" xfId="9173"/>
    <cellStyle name="Normal 2 2 2 4 2 2 2 4" xfId="3254"/>
    <cellStyle name="Normal 2 2 2 4 2 2 2 4 2" xfId="9174"/>
    <cellStyle name="Normal 2 2 2 4 2 2 2 4 2 2" xfId="9175"/>
    <cellStyle name="Normal 2 2 2 4 2 2 2 4 2 2 2" xfId="9176"/>
    <cellStyle name="Normal 2 2 2 4 2 2 2 4 2 3" xfId="9177"/>
    <cellStyle name="Normal 2 2 2 4 2 2 2 4 3" xfId="9178"/>
    <cellStyle name="Normal 2 2 2 4 2 2 2 4 3 2" xfId="9179"/>
    <cellStyle name="Normal 2 2 2 4 2 2 2 4 4" xfId="9180"/>
    <cellStyle name="Normal 2 2 2 4 2 2 2 5" xfId="9181"/>
    <cellStyle name="Normal 2 2 2 4 2 2 2 5 2" xfId="9182"/>
    <cellStyle name="Normal 2 2 2 4 2 2 2 5 2 2" xfId="9183"/>
    <cellStyle name="Normal 2 2 2 4 2 2 2 5 3" xfId="9184"/>
    <cellStyle name="Normal 2 2 2 4 2 2 2 6" xfId="9185"/>
    <cellStyle name="Normal 2 2 2 4 2 2 2 6 2" xfId="9186"/>
    <cellStyle name="Normal 2 2 2 4 2 2 2 7" xfId="9187"/>
    <cellStyle name="Normal 2 2 2 4 2 2 3" xfId="942"/>
    <cellStyle name="Normal 2 2 2 4 2 2 3 2" xfId="2302"/>
    <cellStyle name="Normal 2 2 2 4 2 2 3 2 2" xfId="5022"/>
    <cellStyle name="Normal 2 2 2 4 2 2 3 2 2 2" xfId="9188"/>
    <cellStyle name="Normal 2 2 2 4 2 2 3 2 2 2 2" xfId="9189"/>
    <cellStyle name="Normal 2 2 2 4 2 2 3 2 2 2 2 2" xfId="9190"/>
    <cellStyle name="Normal 2 2 2 4 2 2 3 2 2 2 3" xfId="9191"/>
    <cellStyle name="Normal 2 2 2 4 2 2 3 2 2 3" xfId="9192"/>
    <cellStyle name="Normal 2 2 2 4 2 2 3 2 2 3 2" xfId="9193"/>
    <cellStyle name="Normal 2 2 2 4 2 2 3 2 2 4" xfId="9194"/>
    <cellStyle name="Normal 2 2 2 4 2 2 3 2 3" xfId="9195"/>
    <cellStyle name="Normal 2 2 2 4 2 2 3 2 3 2" xfId="9196"/>
    <cellStyle name="Normal 2 2 2 4 2 2 3 2 3 2 2" xfId="9197"/>
    <cellStyle name="Normal 2 2 2 4 2 2 3 2 3 3" xfId="9198"/>
    <cellStyle name="Normal 2 2 2 4 2 2 3 2 4" xfId="9199"/>
    <cellStyle name="Normal 2 2 2 4 2 2 3 2 4 2" xfId="9200"/>
    <cellStyle name="Normal 2 2 2 4 2 2 3 2 5" xfId="9201"/>
    <cellStyle name="Normal 2 2 2 4 2 2 3 3" xfId="3662"/>
    <cellStyle name="Normal 2 2 2 4 2 2 3 3 2" xfId="9202"/>
    <cellStyle name="Normal 2 2 2 4 2 2 3 3 2 2" xfId="9203"/>
    <cellStyle name="Normal 2 2 2 4 2 2 3 3 2 2 2" xfId="9204"/>
    <cellStyle name="Normal 2 2 2 4 2 2 3 3 2 3" xfId="9205"/>
    <cellStyle name="Normal 2 2 2 4 2 2 3 3 3" xfId="9206"/>
    <cellStyle name="Normal 2 2 2 4 2 2 3 3 3 2" xfId="9207"/>
    <cellStyle name="Normal 2 2 2 4 2 2 3 3 4" xfId="9208"/>
    <cellStyle name="Normal 2 2 2 4 2 2 3 4" xfId="9209"/>
    <cellStyle name="Normal 2 2 2 4 2 2 3 4 2" xfId="9210"/>
    <cellStyle name="Normal 2 2 2 4 2 2 3 4 2 2" xfId="9211"/>
    <cellStyle name="Normal 2 2 2 4 2 2 3 4 3" xfId="9212"/>
    <cellStyle name="Normal 2 2 2 4 2 2 3 5" xfId="9213"/>
    <cellStyle name="Normal 2 2 2 4 2 2 3 5 2" xfId="9214"/>
    <cellStyle name="Normal 2 2 2 4 2 2 3 6" xfId="9215"/>
    <cellStyle name="Normal 2 2 2 4 2 2 4" xfId="1622"/>
    <cellStyle name="Normal 2 2 2 4 2 2 4 2" xfId="4342"/>
    <cellStyle name="Normal 2 2 2 4 2 2 4 2 2" xfId="9216"/>
    <cellStyle name="Normal 2 2 2 4 2 2 4 2 2 2" xfId="9217"/>
    <cellStyle name="Normal 2 2 2 4 2 2 4 2 2 2 2" xfId="9218"/>
    <cellStyle name="Normal 2 2 2 4 2 2 4 2 2 3" xfId="9219"/>
    <cellStyle name="Normal 2 2 2 4 2 2 4 2 3" xfId="9220"/>
    <cellStyle name="Normal 2 2 2 4 2 2 4 2 3 2" xfId="9221"/>
    <cellStyle name="Normal 2 2 2 4 2 2 4 2 4" xfId="9222"/>
    <cellStyle name="Normal 2 2 2 4 2 2 4 3" xfId="9223"/>
    <cellStyle name="Normal 2 2 2 4 2 2 4 3 2" xfId="9224"/>
    <cellStyle name="Normal 2 2 2 4 2 2 4 3 2 2" xfId="9225"/>
    <cellStyle name="Normal 2 2 2 4 2 2 4 3 3" xfId="9226"/>
    <cellStyle name="Normal 2 2 2 4 2 2 4 4" xfId="9227"/>
    <cellStyle name="Normal 2 2 2 4 2 2 4 4 2" xfId="9228"/>
    <cellStyle name="Normal 2 2 2 4 2 2 4 5" xfId="9229"/>
    <cellStyle name="Normal 2 2 2 4 2 2 5" xfId="2982"/>
    <cellStyle name="Normal 2 2 2 4 2 2 5 2" xfId="9230"/>
    <cellStyle name="Normal 2 2 2 4 2 2 5 2 2" xfId="9231"/>
    <cellStyle name="Normal 2 2 2 4 2 2 5 2 2 2" xfId="9232"/>
    <cellStyle name="Normal 2 2 2 4 2 2 5 2 3" xfId="9233"/>
    <cellStyle name="Normal 2 2 2 4 2 2 5 3" xfId="9234"/>
    <cellStyle name="Normal 2 2 2 4 2 2 5 3 2" xfId="9235"/>
    <cellStyle name="Normal 2 2 2 4 2 2 5 4" xfId="9236"/>
    <cellStyle name="Normal 2 2 2 4 2 2 6" xfId="9237"/>
    <cellStyle name="Normal 2 2 2 4 2 2 6 2" xfId="9238"/>
    <cellStyle name="Normal 2 2 2 4 2 2 6 2 2" xfId="9239"/>
    <cellStyle name="Normal 2 2 2 4 2 2 6 3" xfId="9240"/>
    <cellStyle name="Normal 2 2 2 4 2 2 7" xfId="9241"/>
    <cellStyle name="Normal 2 2 2 4 2 2 7 2" xfId="9242"/>
    <cellStyle name="Normal 2 2 2 4 2 2 8" xfId="9243"/>
    <cellStyle name="Normal 2 2 2 4 2 3" xfId="398"/>
    <cellStyle name="Normal 2 2 2 4 2 3 2" xfId="1078"/>
    <cellStyle name="Normal 2 2 2 4 2 3 2 2" xfId="2438"/>
    <cellStyle name="Normal 2 2 2 4 2 3 2 2 2" xfId="5158"/>
    <cellStyle name="Normal 2 2 2 4 2 3 2 2 2 2" xfId="9244"/>
    <cellStyle name="Normal 2 2 2 4 2 3 2 2 2 2 2" xfId="9245"/>
    <cellStyle name="Normal 2 2 2 4 2 3 2 2 2 2 2 2" xfId="9246"/>
    <cellStyle name="Normal 2 2 2 4 2 3 2 2 2 2 3" xfId="9247"/>
    <cellStyle name="Normal 2 2 2 4 2 3 2 2 2 3" xfId="9248"/>
    <cellStyle name="Normal 2 2 2 4 2 3 2 2 2 3 2" xfId="9249"/>
    <cellStyle name="Normal 2 2 2 4 2 3 2 2 2 4" xfId="9250"/>
    <cellStyle name="Normal 2 2 2 4 2 3 2 2 3" xfId="9251"/>
    <cellStyle name="Normal 2 2 2 4 2 3 2 2 3 2" xfId="9252"/>
    <cellStyle name="Normal 2 2 2 4 2 3 2 2 3 2 2" xfId="9253"/>
    <cellStyle name="Normal 2 2 2 4 2 3 2 2 3 3" xfId="9254"/>
    <cellStyle name="Normal 2 2 2 4 2 3 2 2 4" xfId="9255"/>
    <cellStyle name="Normal 2 2 2 4 2 3 2 2 4 2" xfId="9256"/>
    <cellStyle name="Normal 2 2 2 4 2 3 2 2 5" xfId="9257"/>
    <cellStyle name="Normal 2 2 2 4 2 3 2 3" xfId="3798"/>
    <cellStyle name="Normal 2 2 2 4 2 3 2 3 2" xfId="9258"/>
    <cellStyle name="Normal 2 2 2 4 2 3 2 3 2 2" xfId="9259"/>
    <cellStyle name="Normal 2 2 2 4 2 3 2 3 2 2 2" xfId="9260"/>
    <cellStyle name="Normal 2 2 2 4 2 3 2 3 2 3" xfId="9261"/>
    <cellStyle name="Normal 2 2 2 4 2 3 2 3 3" xfId="9262"/>
    <cellStyle name="Normal 2 2 2 4 2 3 2 3 3 2" xfId="9263"/>
    <cellStyle name="Normal 2 2 2 4 2 3 2 3 4" xfId="9264"/>
    <cellStyle name="Normal 2 2 2 4 2 3 2 4" xfId="9265"/>
    <cellStyle name="Normal 2 2 2 4 2 3 2 4 2" xfId="9266"/>
    <cellStyle name="Normal 2 2 2 4 2 3 2 4 2 2" xfId="9267"/>
    <cellStyle name="Normal 2 2 2 4 2 3 2 4 3" xfId="9268"/>
    <cellStyle name="Normal 2 2 2 4 2 3 2 5" xfId="9269"/>
    <cellStyle name="Normal 2 2 2 4 2 3 2 5 2" xfId="9270"/>
    <cellStyle name="Normal 2 2 2 4 2 3 2 6" xfId="9271"/>
    <cellStyle name="Normal 2 2 2 4 2 3 3" xfId="1758"/>
    <cellStyle name="Normal 2 2 2 4 2 3 3 2" xfId="4478"/>
    <cellStyle name="Normal 2 2 2 4 2 3 3 2 2" xfId="9272"/>
    <cellStyle name="Normal 2 2 2 4 2 3 3 2 2 2" xfId="9273"/>
    <cellStyle name="Normal 2 2 2 4 2 3 3 2 2 2 2" xfId="9274"/>
    <cellStyle name="Normal 2 2 2 4 2 3 3 2 2 3" xfId="9275"/>
    <cellStyle name="Normal 2 2 2 4 2 3 3 2 3" xfId="9276"/>
    <cellStyle name="Normal 2 2 2 4 2 3 3 2 3 2" xfId="9277"/>
    <cellStyle name="Normal 2 2 2 4 2 3 3 2 4" xfId="9278"/>
    <cellStyle name="Normal 2 2 2 4 2 3 3 3" xfId="9279"/>
    <cellStyle name="Normal 2 2 2 4 2 3 3 3 2" xfId="9280"/>
    <cellStyle name="Normal 2 2 2 4 2 3 3 3 2 2" xfId="9281"/>
    <cellStyle name="Normal 2 2 2 4 2 3 3 3 3" xfId="9282"/>
    <cellStyle name="Normal 2 2 2 4 2 3 3 4" xfId="9283"/>
    <cellStyle name="Normal 2 2 2 4 2 3 3 4 2" xfId="9284"/>
    <cellStyle name="Normal 2 2 2 4 2 3 3 5" xfId="9285"/>
    <cellStyle name="Normal 2 2 2 4 2 3 4" xfId="3118"/>
    <cellStyle name="Normal 2 2 2 4 2 3 4 2" xfId="9286"/>
    <cellStyle name="Normal 2 2 2 4 2 3 4 2 2" xfId="9287"/>
    <cellStyle name="Normal 2 2 2 4 2 3 4 2 2 2" xfId="9288"/>
    <cellStyle name="Normal 2 2 2 4 2 3 4 2 3" xfId="9289"/>
    <cellStyle name="Normal 2 2 2 4 2 3 4 3" xfId="9290"/>
    <cellStyle name="Normal 2 2 2 4 2 3 4 3 2" xfId="9291"/>
    <cellStyle name="Normal 2 2 2 4 2 3 4 4" xfId="9292"/>
    <cellStyle name="Normal 2 2 2 4 2 3 5" xfId="9293"/>
    <cellStyle name="Normal 2 2 2 4 2 3 5 2" xfId="9294"/>
    <cellStyle name="Normal 2 2 2 4 2 3 5 2 2" xfId="9295"/>
    <cellStyle name="Normal 2 2 2 4 2 3 5 3" xfId="9296"/>
    <cellStyle name="Normal 2 2 2 4 2 3 6" xfId="9297"/>
    <cellStyle name="Normal 2 2 2 4 2 3 6 2" xfId="9298"/>
    <cellStyle name="Normal 2 2 2 4 2 3 7" xfId="9299"/>
    <cellStyle name="Normal 2 2 2 4 2 4" xfId="670"/>
    <cellStyle name="Normal 2 2 2 4 2 4 2" xfId="1350"/>
    <cellStyle name="Normal 2 2 2 4 2 4 2 2" xfId="2710"/>
    <cellStyle name="Normal 2 2 2 4 2 4 2 2 2" xfId="5430"/>
    <cellStyle name="Normal 2 2 2 4 2 4 2 2 2 2" xfId="9300"/>
    <cellStyle name="Normal 2 2 2 4 2 4 2 2 2 2 2" xfId="9301"/>
    <cellStyle name="Normal 2 2 2 4 2 4 2 2 2 2 2 2" xfId="9302"/>
    <cellStyle name="Normal 2 2 2 4 2 4 2 2 2 2 3" xfId="9303"/>
    <cellStyle name="Normal 2 2 2 4 2 4 2 2 2 3" xfId="9304"/>
    <cellStyle name="Normal 2 2 2 4 2 4 2 2 2 3 2" xfId="9305"/>
    <cellStyle name="Normal 2 2 2 4 2 4 2 2 2 4" xfId="9306"/>
    <cellStyle name="Normal 2 2 2 4 2 4 2 2 3" xfId="9307"/>
    <cellStyle name="Normal 2 2 2 4 2 4 2 2 3 2" xfId="9308"/>
    <cellStyle name="Normal 2 2 2 4 2 4 2 2 3 2 2" xfId="9309"/>
    <cellStyle name="Normal 2 2 2 4 2 4 2 2 3 3" xfId="9310"/>
    <cellStyle name="Normal 2 2 2 4 2 4 2 2 4" xfId="9311"/>
    <cellStyle name="Normal 2 2 2 4 2 4 2 2 4 2" xfId="9312"/>
    <cellStyle name="Normal 2 2 2 4 2 4 2 2 5" xfId="9313"/>
    <cellStyle name="Normal 2 2 2 4 2 4 2 3" xfId="4070"/>
    <cellStyle name="Normal 2 2 2 4 2 4 2 3 2" xfId="9314"/>
    <cellStyle name="Normal 2 2 2 4 2 4 2 3 2 2" xfId="9315"/>
    <cellStyle name="Normal 2 2 2 4 2 4 2 3 2 2 2" xfId="9316"/>
    <cellStyle name="Normal 2 2 2 4 2 4 2 3 2 3" xfId="9317"/>
    <cellStyle name="Normal 2 2 2 4 2 4 2 3 3" xfId="9318"/>
    <cellStyle name="Normal 2 2 2 4 2 4 2 3 3 2" xfId="9319"/>
    <cellStyle name="Normal 2 2 2 4 2 4 2 3 4" xfId="9320"/>
    <cellStyle name="Normal 2 2 2 4 2 4 2 4" xfId="9321"/>
    <cellStyle name="Normal 2 2 2 4 2 4 2 4 2" xfId="9322"/>
    <cellStyle name="Normal 2 2 2 4 2 4 2 4 2 2" xfId="9323"/>
    <cellStyle name="Normal 2 2 2 4 2 4 2 4 3" xfId="9324"/>
    <cellStyle name="Normal 2 2 2 4 2 4 2 5" xfId="9325"/>
    <cellStyle name="Normal 2 2 2 4 2 4 2 5 2" xfId="9326"/>
    <cellStyle name="Normal 2 2 2 4 2 4 2 6" xfId="9327"/>
    <cellStyle name="Normal 2 2 2 4 2 4 3" xfId="2030"/>
    <cellStyle name="Normal 2 2 2 4 2 4 3 2" xfId="4750"/>
    <cellStyle name="Normal 2 2 2 4 2 4 3 2 2" xfId="9328"/>
    <cellStyle name="Normal 2 2 2 4 2 4 3 2 2 2" xfId="9329"/>
    <cellStyle name="Normal 2 2 2 4 2 4 3 2 2 2 2" xfId="9330"/>
    <cellStyle name="Normal 2 2 2 4 2 4 3 2 2 3" xfId="9331"/>
    <cellStyle name="Normal 2 2 2 4 2 4 3 2 3" xfId="9332"/>
    <cellStyle name="Normal 2 2 2 4 2 4 3 2 3 2" xfId="9333"/>
    <cellStyle name="Normal 2 2 2 4 2 4 3 2 4" xfId="9334"/>
    <cellStyle name="Normal 2 2 2 4 2 4 3 3" xfId="9335"/>
    <cellStyle name="Normal 2 2 2 4 2 4 3 3 2" xfId="9336"/>
    <cellStyle name="Normal 2 2 2 4 2 4 3 3 2 2" xfId="9337"/>
    <cellStyle name="Normal 2 2 2 4 2 4 3 3 3" xfId="9338"/>
    <cellStyle name="Normal 2 2 2 4 2 4 3 4" xfId="9339"/>
    <cellStyle name="Normal 2 2 2 4 2 4 3 4 2" xfId="9340"/>
    <cellStyle name="Normal 2 2 2 4 2 4 3 5" xfId="9341"/>
    <cellStyle name="Normal 2 2 2 4 2 4 4" xfId="3390"/>
    <cellStyle name="Normal 2 2 2 4 2 4 4 2" xfId="9342"/>
    <cellStyle name="Normal 2 2 2 4 2 4 4 2 2" xfId="9343"/>
    <cellStyle name="Normal 2 2 2 4 2 4 4 2 2 2" xfId="9344"/>
    <cellStyle name="Normal 2 2 2 4 2 4 4 2 3" xfId="9345"/>
    <cellStyle name="Normal 2 2 2 4 2 4 4 3" xfId="9346"/>
    <cellStyle name="Normal 2 2 2 4 2 4 4 3 2" xfId="9347"/>
    <cellStyle name="Normal 2 2 2 4 2 4 4 4" xfId="9348"/>
    <cellStyle name="Normal 2 2 2 4 2 4 5" xfId="9349"/>
    <cellStyle name="Normal 2 2 2 4 2 4 5 2" xfId="9350"/>
    <cellStyle name="Normal 2 2 2 4 2 4 5 2 2" xfId="9351"/>
    <cellStyle name="Normal 2 2 2 4 2 4 5 3" xfId="9352"/>
    <cellStyle name="Normal 2 2 2 4 2 4 6" xfId="9353"/>
    <cellStyle name="Normal 2 2 2 4 2 4 6 2" xfId="9354"/>
    <cellStyle name="Normal 2 2 2 4 2 4 7" xfId="9355"/>
    <cellStyle name="Normal 2 2 2 4 2 5" xfId="806"/>
    <cellStyle name="Normal 2 2 2 4 2 5 2" xfId="2166"/>
    <cellStyle name="Normal 2 2 2 4 2 5 2 2" xfId="4886"/>
    <cellStyle name="Normal 2 2 2 4 2 5 2 2 2" xfId="9356"/>
    <cellStyle name="Normal 2 2 2 4 2 5 2 2 2 2" xfId="9357"/>
    <cellStyle name="Normal 2 2 2 4 2 5 2 2 2 2 2" xfId="9358"/>
    <cellStyle name="Normal 2 2 2 4 2 5 2 2 2 3" xfId="9359"/>
    <cellStyle name="Normal 2 2 2 4 2 5 2 2 3" xfId="9360"/>
    <cellStyle name="Normal 2 2 2 4 2 5 2 2 3 2" xfId="9361"/>
    <cellStyle name="Normal 2 2 2 4 2 5 2 2 4" xfId="9362"/>
    <cellStyle name="Normal 2 2 2 4 2 5 2 3" xfId="9363"/>
    <cellStyle name="Normal 2 2 2 4 2 5 2 3 2" xfId="9364"/>
    <cellStyle name="Normal 2 2 2 4 2 5 2 3 2 2" xfId="9365"/>
    <cellStyle name="Normal 2 2 2 4 2 5 2 3 3" xfId="9366"/>
    <cellStyle name="Normal 2 2 2 4 2 5 2 4" xfId="9367"/>
    <cellStyle name="Normal 2 2 2 4 2 5 2 4 2" xfId="9368"/>
    <cellStyle name="Normal 2 2 2 4 2 5 2 5" xfId="9369"/>
    <cellStyle name="Normal 2 2 2 4 2 5 3" xfId="3526"/>
    <cellStyle name="Normal 2 2 2 4 2 5 3 2" xfId="9370"/>
    <cellStyle name="Normal 2 2 2 4 2 5 3 2 2" xfId="9371"/>
    <cellStyle name="Normal 2 2 2 4 2 5 3 2 2 2" xfId="9372"/>
    <cellStyle name="Normal 2 2 2 4 2 5 3 2 3" xfId="9373"/>
    <cellStyle name="Normal 2 2 2 4 2 5 3 3" xfId="9374"/>
    <cellStyle name="Normal 2 2 2 4 2 5 3 3 2" xfId="9375"/>
    <cellStyle name="Normal 2 2 2 4 2 5 3 4" xfId="9376"/>
    <cellStyle name="Normal 2 2 2 4 2 5 4" xfId="9377"/>
    <cellStyle name="Normal 2 2 2 4 2 5 4 2" xfId="9378"/>
    <cellStyle name="Normal 2 2 2 4 2 5 4 2 2" xfId="9379"/>
    <cellStyle name="Normal 2 2 2 4 2 5 4 3" xfId="9380"/>
    <cellStyle name="Normal 2 2 2 4 2 5 5" xfId="9381"/>
    <cellStyle name="Normal 2 2 2 4 2 5 5 2" xfId="9382"/>
    <cellStyle name="Normal 2 2 2 4 2 5 6" xfId="9383"/>
    <cellStyle name="Normal 2 2 2 4 2 6" xfId="1486"/>
    <cellStyle name="Normal 2 2 2 4 2 6 2" xfId="4206"/>
    <cellStyle name="Normal 2 2 2 4 2 6 2 2" xfId="9384"/>
    <cellStyle name="Normal 2 2 2 4 2 6 2 2 2" xfId="9385"/>
    <cellStyle name="Normal 2 2 2 4 2 6 2 2 2 2" xfId="9386"/>
    <cellStyle name="Normal 2 2 2 4 2 6 2 2 3" xfId="9387"/>
    <cellStyle name="Normal 2 2 2 4 2 6 2 3" xfId="9388"/>
    <cellStyle name="Normal 2 2 2 4 2 6 2 3 2" xfId="9389"/>
    <cellStyle name="Normal 2 2 2 4 2 6 2 4" xfId="9390"/>
    <cellStyle name="Normal 2 2 2 4 2 6 3" xfId="9391"/>
    <cellStyle name="Normal 2 2 2 4 2 6 3 2" xfId="9392"/>
    <cellStyle name="Normal 2 2 2 4 2 6 3 2 2" xfId="9393"/>
    <cellStyle name="Normal 2 2 2 4 2 6 3 3" xfId="9394"/>
    <cellStyle name="Normal 2 2 2 4 2 6 4" xfId="9395"/>
    <cellStyle name="Normal 2 2 2 4 2 6 4 2" xfId="9396"/>
    <cellStyle name="Normal 2 2 2 4 2 6 5" xfId="9397"/>
    <cellStyle name="Normal 2 2 2 4 2 7" xfId="2846"/>
    <cellStyle name="Normal 2 2 2 4 2 7 2" xfId="9398"/>
    <cellStyle name="Normal 2 2 2 4 2 7 2 2" xfId="9399"/>
    <cellStyle name="Normal 2 2 2 4 2 7 2 2 2" xfId="9400"/>
    <cellStyle name="Normal 2 2 2 4 2 7 2 3" xfId="9401"/>
    <cellStyle name="Normal 2 2 2 4 2 7 3" xfId="9402"/>
    <cellStyle name="Normal 2 2 2 4 2 7 3 2" xfId="9403"/>
    <cellStyle name="Normal 2 2 2 4 2 7 4" xfId="9404"/>
    <cellStyle name="Normal 2 2 2 4 2 8" xfId="9405"/>
    <cellStyle name="Normal 2 2 2 4 2 8 2" xfId="9406"/>
    <cellStyle name="Normal 2 2 2 4 2 8 2 2" xfId="9407"/>
    <cellStyle name="Normal 2 2 2 4 2 8 3" xfId="9408"/>
    <cellStyle name="Normal 2 2 2 4 2 9" xfId="9409"/>
    <cellStyle name="Normal 2 2 2 4 2 9 2" xfId="9410"/>
    <cellStyle name="Normal 2 2 2 4 3" xfId="194"/>
    <cellStyle name="Normal 2 2 2 4 3 2" xfId="466"/>
    <cellStyle name="Normal 2 2 2 4 3 2 2" xfId="1146"/>
    <cellStyle name="Normal 2 2 2 4 3 2 2 2" xfId="2506"/>
    <cellStyle name="Normal 2 2 2 4 3 2 2 2 2" xfId="5226"/>
    <cellStyle name="Normal 2 2 2 4 3 2 2 2 2 2" xfId="9411"/>
    <cellStyle name="Normal 2 2 2 4 3 2 2 2 2 2 2" xfId="9412"/>
    <cellStyle name="Normal 2 2 2 4 3 2 2 2 2 2 2 2" xfId="9413"/>
    <cellStyle name="Normal 2 2 2 4 3 2 2 2 2 2 3" xfId="9414"/>
    <cellStyle name="Normal 2 2 2 4 3 2 2 2 2 3" xfId="9415"/>
    <cellStyle name="Normal 2 2 2 4 3 2 2 2 2 3 2" xfId="9416"/>
    <cellStyle name="Normal 2 2 2 4 3 2 2 2 2 4" xfId="9417"/>
    <cellStyle name="Normal 2 2 2 4 3 2 2 2 3" xfId="9418"/>
    <cellStyle name="Normal 2 2 2 4 3 2 2 2 3 2" xfId="9419"/>
    <cellStyle name="Normal 2 2 2 4 3 2 2 2 3 2 2" xfId="9420"/>
    <cellStyle name="Normal 2 2 2 4 3 2 2 2 3 3" xfId="9421"/>
    <cellStyle name="Normal 2 2 2 4 3 2 2 2 4" xfId="9422"/>
    <cellStyle name="Normal 2 2 2 4 3 2 2 2 4 2" xfId="9423"/>
    <cellStyle name="Normal 2 2 2 4 3 2 2 2 5" xfId="9424"/>
    <cellStyle name="Normal 2 2 2 4 3 2 2 3" xfId="3866"/>
    <cellStyle name="Normal 2 2 2 4 3 2 2 3 2" xfId="9425"/>
    <cellStyle name="Normal 2 2 2 4 3 2 2 3 2 2" xfId="9426"/>
    <cellStyle name="Normal 2 2 2 4 3 2 2 3 2 2 2" xfId="9427"/>
    <cellStyle name="Normal 2 2 2 4 3 2 2 3 2 3" xfId="9428"/>
    <cellStyle name="Normal 2 2 2 4 3 2 2 3 3" xfId="9429"/>
    <cellStyle name="Normal 2 2 2 4 3 2 2 3 3 2" xfId="9430"/>
    <cellStyle name="Normal 2 2 2 4 3 2 2 3 4" xfId="9431"/>
    <cellStyle name="Normal 2 2 2 4 3 2 2 4" xfId="9432"/>
    <cellStyle name="Normal 2 2 2 4 3 2 2 4 2" xfId="9433"/>
    <cellStyle name="Normal 2 2 2 4 3 2 2 4 2 2" xfId="9434"/>
    <cellStyle name="Normal 2 2 2 4 3 2 2 4 3" xfId="9435"/>
    <cellStyle name="Normal 2 2 2 4 3 2 2 5" xfId="9436"/>
    <cellStyle name="Normal 2 2 2 4 3 2 2 5 2" xfId="9437"/>
    <cellStyle name="Normal 2 2 2 4 3 2 2 6" xfId="9438"/>
    <cellStyle name="Normal 2 2 2 4 3 2 3" xfId="1826"/>
    <cellStyle name="Normal 2 2 2 4 3 2 3 2" xfId="4546"/>
    <cellStyle name="Normal 2 2 2 4 3 2 3 2 2" xfId="9439"/>
    <cellStyle name="Normal 2 2 2 4 3 2 3 2 2 2" xfId="9440"/>
    <cellStyle name="Normal 2 2 2 4 3 2 3 2 2 2 2" xfId="9441"/>
    <cellStyle name="Normal 2 2 2 4 3 2 3 2 2 3" xfId="9442"/>
    <cellStyle name="Normal 2 2 2 4 3 2 3 2 3" xfId="9443"/>
    <cellStyle name="Normal 2 2 2 4 3 2 3 2 3 2" xfId="9444"/>
    <cellStyle name="Normal 2 2 2 4 3 2 3 2 4" xfId="9445"/>
    <cellStyle name="Normal 2 2 2 4 3 2 3 3" xfId="9446"/>
    <cellStyle name="Normal 2 2 2 4 3 2 3 3 2" xfId="9447"/>
    <cellStyle name="Normal 2 2 2 4 3 2 3 3 2 2" xfId="9448"/>
    <cellStyle name="Normal 2 2 2 4 3 2 3 3 3" xfId="9449"/>
    <cellStyle name="Normal 2 2 2 4 3 2 3 4" xfId="9450"/>
    <cellStyle name="Normal 2 2 2 4 3 2 3 4 2" xfId="9451"/>
    <cellStyle name="Normal 2 2 2 4 3 2 3 5" xfId="9452"/>
    <cellStyle name="Normal 2 2 2 4 3 2 4" xfId="3186"/>
    <cellStyle name="Normal 2 2 2 4 3 2 4 2" xfId="9453"/>
    <cellStyle name="Normal 2 2 2 4 3 2 4 2 2" xfId="9454"/>
    <cellStyle name="Normal 2 2 2 4 3 2 4 2 2 2" xfId="9455"/>
    <cellStyle name="Normal 2 2 2 4 3 2 4 2 3" xfId="9456"/>
    <cellStyle name="Normal 2 2 2 4 3 2 4 3" xfId="9457"/>
    <cellStyle name="Normal 2 2 2 4 3 2 4 3 2" xfId="9458"/>
    <cellStyle name="Normal 2 2 2 4 3 2 4 4" xfId="9459"/>
    <cellStyle name="Normal 2 2 2 4 3 2 5" xfId="9460"/>
    <cellStyle name="Normal 2 2 2 4 3 2 5 2" xfId="9461"/>
    <cellStyle name="Normal 2 2 2 4 3 2 5 2 2" xfId="9462"/>
    <cellStyle name="Normal 2 2 2 4 3 2 5 3" xfId="9463"/>
    <cellStyle name="Normal 2 2 2 4 3 2 6" xfId="9464"/>
    <cellStyle name="Normal 2 2 2 4 3 2 6 2" xfId="9465"/>
    <cellStyle name="Normal 2 2 2 4 3 2 7" xfId="9466"/>
    <cellStyle name="Normal 2 2 2 4 3 3" xfId="874"/>
    <cellStyle name="Normal 2 2 2 4 3 3 2" xfId="2234"/>
    <cellStyle name="Normal 2 2 2 4 3 3 2 2" xfId="4954"/>
    <cellStyle name="Normal 2 2 2 4 3 3 2 2 2" xfId="9467"/>
    <cellStyle name="Normal 2 2 2 4 3 3 2 2 2 2" xfId="9468"/>
    <cellStyle name="Normal 2 2 2 4 3 3 2 2 2 2 2" xfId="9469"/>
    <cellStyle name="Normal 2 2 2 4 3 3 2 2 2 3" xfId="9470"/>
    <cellStyle name="Normal 2 2 2 4 3 3 2 2 3" xfId="9471"/>
    <cellStyle name="Normal 2 2 2 4 3 3 2 2 3 2" xfId="9472"/>
    <cellStyle name="Normal 2 2 2 4 3 3 2 2 4" xfId="9473"/>
    <cellStyle name="Normal 2 2 2 4 3 3 2 3" xfId="9474"/>
    <cellStyle name="Normal 2 2 2 4 3 3 2 3 2" xfId="9475"/>
    <cellStyle name="Normal 2 2 2 4 3 3 2 3 2 2" xfId="9476"/>
    <cellStyle name="Normal 2 2 2 4 3 3 2 3 3" xfId="9477"/>
    <cellStyle name="Normal 2 2 2 4 3 3 2 4" xfId="9478"/>
    <cellStyle name="Normal 2 2 2 4 3 3 2 4 2" xfId="9479"/>
    <cellStyle name="Normal 2 2 2 4 3 3 2 5" xfId="9480"/>
    <cellStyle name="Normal 2 2 2 4 3 3 3" xfId="3594"/>
    <cellStyle name="Normal 2 2 2 4 3 3 3 2" xfId="9481"/>
    <cellStyle name="Normal 2 2 2 4 3 3 3 2 2" xfId="9482"/>
    <cellStyle name="Normal 2 2 2 4 3 3 3 2 2 2" xfId="9483"/>
    <cellStyle name="Normal 2 2 2 4 3 3 3 2 3" xfId="9484"/>
    <cellStyle name="Normal 2 2 2 4 3 3 3 3" xfId="9485"/>
    <cellStyle name="Normal 2 2 2 4 3 3 3 3 2" xfId="9486"/>
    <cellStyle name="Normal 2 2 2 4 3 3 3 4" xfId="9487"/>
    <cellStyle name="Normal 2 2 2 4 3 3 4" xfId="9488"/>
    <cellStyle name="Normal 2 2 2 4 3 3 4 2" xfId="9489"/>
    <cellStyle name="Normal 2 2 2 4 3 3 4 2 2" xfId="9490"/>
    <cellStyle name="Normal 2 2 2 4 3 3 4 3" xfId="9491"/>
    <cellStyle name="Normal 2 2 2 4 3 3 5" xfId="9492"/>
    <cellStyle name="Normal 2 2 2 4 3 3 5 2" xfId="9493"/>
    <cellStyle name="Normal 2 2 2 4 3 3 6" xfId="9494"/>
    <cellStyle name="Normal 2 2 2 4 3 4" xfId="1554"/>
    <cellStyle name="Normal 2 2 2 4 3 4 2" xfId="4274"/>
    <cellStyle name="Normal 2 2 2 4 3 4 2 2" xfId="9495"/>
    <cellStyle name="Normal 2 2 2 4 3 4 2 2 2" xfId="9496"/>
    <cellStyle name="Normal 2 2 2 4 3 4 2 2 2 2" xfId="9497"/>
    <cellStyle name="Normal 2 2 2 4 3 4 2 2 3" xfId="9498"/>
    <cellStyle name="Normal 2 2 2 4 3 4 2 3" xfId="9499"/>
    <cellStyle name="Normal 2 2 2 4 3 4 2 3 2" xfId="9500"/>
    <cellStyle name="Normal 2 2 2 4 3 4 2 4" xfId="9501"/>
    <cellStyle name="Normal 2 2 2 4 3 4 3" xfId="9502"/>
    <cellStyle name="Normal 2 2 2 4 3 4 3 2" xfId="9503"/>
    <cellStyle name="Normal 2 2 2 4 3 4 3 2 2" xfId="9504"/>
    <cellStyle name="Normal 2 2 2 4 3 4 3 3" xfId="9505"/>
    <cellStyle name="Normal 2 2 2 4 3 4 4" xfId="9506"/>
    <cellStyle name="Normal 2 2 2 4 3 4 4 2" xfId="9507"/>
    <cellStyle name="Normal 2 2 2 4 3 4 5" xfId="9508"/>
    <cellStyle name="Normal 2 2 2 4 3 5" xfId="2914"/>
    <cellStyle name="Normal 2 2 2 4 3 5 2" xfId="9509"/>
    <cellStyle name="Normal 2 2 2 4 3 5 2 2" xfId="9510"/>
    <cellStyle name="Normal 2 2 2 4 3 5 2 2 2" xfId="9511"/>
    <cellStyle name="Normal 2 2 2 4 3 5 2 3" xfId="9512"/>
    <cellStyle name="Normal 2 2 2 4 3 5 3" xfId="9513"/>
    <cellStyle name="Normal 2 2 2 4 3 5 3 2" xfId="9514"/>
    <cellStyle name="Normal 2 2 2 4 3 5 4" xfId="9515"/>
    <cellStyle name="Normal 2 2 2 4 3 6" xfId="9516"/>
    <cellStyle name="Normal 2 2 2 4 3 6 2" xfId="9517"/>
    <cellStyle name="Normal 2 2 2 4 3 6 2 2" xfId="9518"/>
    <cellStyle name="Normal 2 2 2 4 3 6 3" xfId="9519"/>
    <cellStyle name="Normal 2 2 2 4 3 7" xfId="9520"/>
    <cellStyle name="Normal 2 2 2 4 3 7 2" xfId="9521"/>
    <cellStyle name="Normal 2 2 2 4 3 8" xfId="9522"/>
    <cellStyle name="Normal 2 2 2 4 4" xfId="330"/>
    <cellStyle name="Normal 2 2 2 4 4 2" xfId="1010"/>
    <cellStyle name="Normal 2 2 2 4 4 2 2" xfId="2370"/>
    <cellStyle name="Normal 2 2 2 4 4 2 2 2" xfId="5090"/>
    <cellStyle name="Normal 2 2 2 4 4 2 2 2 2" xfId="9523"/>
    <cellStyle name="Normal 2 2 2 4 4 2 2 2 2 2" xfId="9524"/>
    <cellStyle name="Normal 2 2 2 4 4 2 2 2 2 2 2" xfId="9525"/>
    <cellStyle name="Normal 2 2 2 4 4 2 2 2 2 3" xfId="9526"/>
    <cellStyle name="Normal 2 2 2 4 4 2 2 2 3" xfId="9527"/>
    <cellStyle name="Normal 2 2 2 4 4 2 2 2 3 2" xfId="9528"/>
    <cellStyle name="Normal 2 2 2 4 4 2 2 2 4" xfId="9529"/>
    <cellStyle name="Normal 2 2 2 4 4 2 2 3" xfId="9530"/>
    <cellStyle name="Normal 2 2 2 4 4 2 2 3 2" xfId="9531"/>
    <cellStyle name="Normal 2 2 2 4 4 2 2 3 2 2" xfId="9532"/>
    <cellStyle name="Normal 2 2 2 4 4 2 2 3 3" xfId="9533"/>
    <cellStyle name="Normal 2 2 2 4 4 2 2 4" xfId="9534"/>
    <cellStyle name="Normal 2 2 2 4 4 2 2 4 2" xfId="9535"/>
    <cellStyle name="Normal 2 2 2 4 4 2 2 5" xfId="9536"/>
    <cellStyle name="Normal 2 2 2 4 4 2 3" xfId="3730"/>
    <cellStyle name="Normal 2 2 2 4 4 2 3 2" xfId="9537"/>
    <cellStyle name="Normal 2 2 2 4 4 2 3 2 2" xfId="9538"/>
    <cellStyle name="Normal 2 2 2 4 4 2 3 2 2 2" xfId="9539"/>
    <cellStyle name="Normal 2 2 2 4 4 2 3 2 3" xfId="9540"/>
    <cellStyle name="Normal 2 2 2 4 4 2 3 3" xfId="9541"/>
    <cellStyle name="Normal 2 2 2 4 4 2 3 3 2" xfId="9542"/>
    <cellStyle name="Normal 2 2 2 4 4 2 3 4" xfId="9543"/>
    <cellStyle name="Normal 2 2 2 4 4 2 4" xfId="9544"/>
    <cellStyle name="Normal 2 2 2 4 4 2 4 2" xfId="9545"/>
    <cellStyle name="Normal 2 2 2 4 4 2 4 2 2" xfId="9546"/>
    <cellStyle name="Normal 2 2 2 4 4 2 4 3" xfId="9547"/>
    <cellStyle name="Normal 2 2 2 4 4 2 5" xfId="9548"/>
    <cellStyle name="Normal 2 2 2 4 4 2 5 2" xfId="9549"/>
    <cellStyle name="Normal 2 2 2 4 4 2 6" xfId="9550"/>
    <cellStyle name="Normal 2 2 2 4 4 3" xfId="1690"/>
    <cellStyle name="Normal 2 2 2 4 4 3 2" xfId="4410"/>
    <cellStyle name="Normal 2 2 2 4 4 3 2 2" xfId="9551"/>
    <cellStyle name="Normal 2 2 2 4 4 3 2 2 2" xfId="9552"/>
    <cellStyle name="Normal 2 2 2 4 4 3 2 2 2 2" xfId="9553"/>
    <cellStyle name="Normal 2 2 2 4 4 3 2 2 3" xfId="9554"/>
    <cellStyle name="Normal 2 2 2 4 4 3 2 3" xfId="9555"/>
    <cellStyle name="Normal 2 2 2 4 4 3 2 3 2" xfId="9556"/>
    <cellStyle name="Normal 2 2 2 4 4 3 2 4" xfId="9557"/>
    <cellStyle name="Normal 2 2 2 4 4 3 3" xfId="9558"/>
    <cellStyle name="Normal 2 2 2 4 4 3 3 2" xfId="9559"/>
    <cellStyle name="Normal 2 2 2 4 4 3 3 2 2" xfId="9560"/>
    <cellStyle name="Normal 2 2 2 4 4 3 3 3" xfId="9561"/>
    <cellStyle name="Normal 2 2 2 4 4 3 4" xfId="9562"/>
    <cellStyle name="Normal 2 2 2 4 4 3 4 2" xfId="9563"/>
    <cellStyle name="Normal 2 2 2 4 4 3 5" xfId="9564"/>
    <cellStyle name="Normal 2 2 2 4 4 4" xfId="3050"/>
    <cellStyle name="Normal 2 2 2 4 4 4 2" xfId="9565"/>
    <cellStyle name="Normal 2 2 2 4 4 4 2 2" xfId="9566"/>
    <cellStyle name="Normal 2 2 2 4 4 4 2 2 2" xfId="9567"/>
    <cellStyle name="Normal 2 2 2 4 4 4 2 3" xfId="9568"/>
    <cellStyle name="Normal 2 2 2 4 4 4 3" xfId="9569"/>
    <cellStyle name="Normal 2 2 2 4 4 4 3 2" xfId="9570"/>
    <cellStyle name="Normal 2 2 2 4 4 4 4" xfId="9571"/>
    <cellStyle name="Normal 2 2 2 4 4 5" xfId="9572"/>
    <cellStyle name="Normal 2 2 2 4 4 5 2" xfId="9573"/>
    <cellStyle name="Normal 2 2 2 4 4 5 2 2" xfId="9574"/>
    <cellStyle name="Normal 2 2 2 4 4 5 3" xfId="9575"/>
    <cellStyle name="Normal 2 2 2 4 4 6" xfId="9576"/>
    <cellStyle name="Normal 2 2 2 4 4 6 2" xfId="9577"/>
    <cellStyle name="Normal 2 2 2 4 4 7" xfId="9578"/>
    <cellStyle name="Normal 2 2 2 4 5" xfId="602"/>
    <cellStyle name="Normal 2 2 2 4 5 2" xfId="1282"/>
    <cellStyle name="Normal 2 2 2 4 5 2 2" xfId="2642"/>
    <cellStyle name="Normal 2 2 2 4 5 2 2 2" xfId="5362"/>
    <cellStyle name="Normal 2 2 2 4 5 2 2 2 2" xfId="9579"/>
    <cellStyle name="Normal 2 2 2 4 5 2 2 2 2 2" xfId="9580"/>
    <cellStyle name="Normal 2 2 2 4 5 2 2 2 2 2 2" xfId="9581"/>
    <cellStyle name="Normal 2 2 2 4 5 2 2 2 2 3" xfId="9582"/>
    <cellStyle name="Normal 2 2 2 4 5 2 2 2 3" xfId="9583"/>
    <cellStyle name="Normal 2 2 2 4 5 2 2 2 3 2" xfId="9584"/>
    <cellStyle name="Normal 2 2 2 4 5 2 2 2 4" xfId="9585"/>
    <cellStyle name="Normal 2 2 2 4 5 2 2 3" xfId="9586"/>
    <cellStyle name="Normal 2 2 2 4 5 2 2 3 2" xfId="9587"/>
    <cellStyle name="Normal 2 2 2 4 5 2 2 3 2 2" xfId="9588"/>
    <cellStyle name="Normal 2 2 2 4 5 2 2 3 3" xfId="9589"/>
    <cellStyle name="Normal 2 2 2 4 5 2 2 4" xfId="9590"/>
    <cellStyle name="Normal 2 2 2 4 5 2 2 4 2" xfId="9591"/>
    <cellStyle name="Normal 2 2 2 4 5 2 2 5" xfId="9592"/>
    <cellStyle name="Normal 2 2 2 4 5 2 3" xfId="4002"/>
    <cellStyle name="Normal 2 2 2 4 5 2 3 2" xfId="9593"/>
    <cellStyle name="Normal 2 2 2 4 5 2 3 2 2" xfId="9594"/>
    <cellStyle name="Normal 2 2 2 4 5 2 3 2 2 2" xfId="9595"/>
    <cellStyle name="Normal 2 2 2 4 5 2 3 2 3" xfId="9596"/>
    <cellStyle name="Normal 2 2 2 4 5 2 3 3" xfId="9597"/>
    <cellStyle name="Normal 2 2 2 4 5 2 3 3 2" xfId="9598"/>
    <cellStyle name="Normal 2 2 2 4 5 2 3 4" xfId="9599"/>
    <cellStyle name="Normal 2 2 2 4 5 2 4" xfId="9600"/>
    <cellStyle name="Normal 2 2 2 4 5 2 4 2" xfId="9601"/>
    <cellStyle name="Normal 2 2 2 4 5 2 4 2 2" xfId="9602"/>
    <cellStyle name="Normal 2 2 2 4 5 2 4 3" xfId="9603"/>
    <cellStyle name="Normal 2 2 2 4 5 2 5" xfId="9604"/>
    <cellStyle name="Normal 2 2 2 4 5 2 5 2" xfId="9605"/>
    <cellStyle name="Normal 2 2 2 4 5 2 6" xfId="9606"/>
    <cellStyle name="Normal 2 2 2 4 5 3" xfId="1962"/>
    <cellStyle name="Normal 2 2 2 4 5 3 2" xfId="4682"/>
    <cellStyle name="Normal 2 2 2 4 5 3 2 2" xfId="9607"/>
    <cellStyle name="Normal 2 2 2 4 5 3 2 2 2" xfId="9608"/>
    <cellStyle name="Normal 2 2 2 4 5 3 2 2 2 2" xfId="9609"/>
    <cellStyle name="Normal 2 2 2 4 5 3 2 2 3" xfId="9610"/>
    <cellStyle name="Normal 2 2 2 4 5 3 2 3" xfId="9611"/>
    <cellStyle name="Normal 2 2 2 4 5 3 2 3 2" xfId="9612"/>
    <cellStyle name="Normal 2 2 2 4 5 3 2 4" xfId="9613"/>
    <cellStyle name="Normal 2 2 2 4 5 3 3" xfId="9614"/>
    <cellStyle name="Normal 2 2 2 4 5 3 3 2" xfId="9615"/>
    <cellStyle name="Normal 2 2 2 4 5 3 3 2 2" xfId="9616"/>
    <cellStyle name="Normal 2 2 2 4 5 3 3 3" xfId="9617"/>
    <cellStyle name="Normal 2 2 2 4 5 3 4" xfId="9618"/>
    <cellStyle name="Normal 2 2 2 4 5 3 4 2" xfId="9619"/>
    <cellStyle name="Normal 2 2 2 4 5 3 5" xfId="9620"/>
    <cellStyle name="Normal 2 2 2 4 5 4" xfId="3322"/>
    <cellStyle name="Normal 2 2 2 4 5 4 2" xfId="9621"/>
    <cellStyle name="Normal 2 2 2 4 5 4 2 2" xfId="9622"/>
    <cellStyle name="Normal 2 2 2 4 5 4 2 2 2" xfId="9623"/>
    <cellStyle name="Normal 2 2 2 4 5 4 2 3" xfId="9624"/>
    <cellStyle name="Normal 2 2 2 4 5 4 3" xfId="9625"/>
    <cellStyle name="Normal 2 2 2 4 5 4 3 2" xfId="9626"/>
    <cellStyle name="Normal 2 2 2 4 5 4 4" xfId="9627"/>
    <cellStyle name="Normal 2 2 2 4 5 5" xfId="9628"/>
    <cellStyle name="Normal 2 2 2 4 5 5 2" xfId="9629"/>
    <cellStyle name="Normal 2 2 2 4 5 5 2 2" xfId="9630"/>
    <cellStyle name="Normal 2 2 2 4 5 5 3" xfId="9631"/>
    <cellStyle name="Normal 2 2 2 4 5 6" xfId="9632"/>
    <cellStyle name="Normal 2 2 2 4 5 6 2" xfId="9633"/>
    <cellStyle name="Normal 2 2 2 4 5 7" xfId="9634"/>
    <cellStyle name="Normal 2 2 2 4 6" xfId="738"/>
    <cellStyle name="Normal 2 2 2 4 6 2" xfId="2098"/>
    <cellStyle name="Normal 2 2 2 4 6 2 2" xfId="4818"/>
    <cellStyle name="Normal 2 2 2 4 6 2 2 2" xfId="9635"/>
    <cellStyle name="Normal 2 2 2 4 6 2 2 2 2" xfId="9636"/>
    <cellStyle name="Normal 2 2 2 4 6 2 2 2 2 2" xfId="9637"/>
    <cellStyle name="Normal 2 2 2 4 6 2 2 2 3" xfId="9638"/>
    <cellStyle name="Normal 2 2 2 4 6 2 2 3" xfId="9639"/>
    <cellStyle name="Normal 2 2 2 4 6 2 2 3 2" xfId="9640"/>
    <cellStyle name="Normal 2 2 2 4 6 2 2 4" xfId="9641"/>
    <cellStyle name="Normal 2 2 2 4 6 2 3" xfId="9642"/>
    <cellStyle name="Normal 2 2 2 4 6 2 3 2" xfId="9643"/>
    <cellStyle name="Normal 2 2 2 4 6 2 3 2 2" xfId="9644"/>
    <cellStyle name="Normal 2 2 2 4 6 2 3 3" xfId="9645"/>
    <cellStyle name="Normal 2 2 2 4 6 2 4" xfId="9646"/>
    <cellStyle name="Normal 2 2 2 4 6 2 4 2" xfId="9647"/>
    <cellStyle name="Normal 2 2 2 4 6 2 5" xfId="9648"/>
    <cellStyle name="Normal 2 2 2 4 6 3" xfId="3458"/>
    <cellStyle name="Normal 2 2 2 4 6 3 2" xfId="9649"/>
    <cellStyle name="Normal 2 2 2 4 6 3 2 2" xfId="9650"/>
    <cellStyle name="Normal 2 2 2 4 6 3 2 2 2" xfId="9651"/>
    <cellStyle name="Normal 2 2 2 4 6 3 2 3" xfId="9652"/>
    <cellStyle name="Normal 2 2 2 4 6 3 3" xfId="9653"/>
    <cellStyle name="Normal 2 2 2 4 6 3 3 2" xfId="9654"/>
    <cellStyle name="Normal 2 2 2 4 6 3 4" xfId="9655"/>
    <cellStyle name="Normal 2 2 2 4 6 4" xfId="9656"/>
    <cellStyle name="Normal 2 2 2 4 6 4 2" xfId="9657"/>
    <cellStyle name="Normal 2 2 2 4 6 4 2 2" xfId="9658"/>
    <cellStyle name="Normal 2 2 2 4 6 4 3" xfId="9659"/>
    <cellStyle name="Normal 2 2 2 4 6 5" xfId="9660"/>
    <cellStyle name="Normal 2 2 2 4 6 5 2" xfId="9661"/>
    <cellStyle name="Normal 2 2 2 4 6 6" xfId="9662"/>
    <cellStyle name="Normal 2 2 2 4 7" xfId="1418"/>
    <cellStyle name="Normal 2 2 2 4 7 2" xfId="4138"/>
    <cellStyle name="Normal 2 2 2 4 7 2 2" xfId="9663"/>
    <cellStyle name="Normal 2 2 2 4 7 2 2 2" xfId="9664"/>
    <cellStyle name="Normal 2 2 2 4 7 2 2 2 2" xfId="9665"/>
    <cellStyle name="Normal 2 2 2 4 7 2 2 3" xfId="9666"/>
    <cellStyle name="Normal 2 2 2 4 7 2 3" xfId="9667"/>
    <cellStyle name="Normal 2 2 2 4 7 2 3 2" xfId="9668"/>
    <cellStyle name="Normal 2 2 2 4 7 2 4" xfId="9669"/>
    <cellStyle name="Normal 2 2 2 4 7 3" xfId="9670"/>
    <cellStyle name="Normal 2 2 2 4 7 3 2" xfId="9671"/>
    <cellStyle name="Normal 2 2 2 4 7 3 2 2" xfId="9672"/>
    <cellStyle name="Normal 2 2 2 4 7 3 3" xfId="9673"/>
    <cellStyle name="Normal 2 2 2 4 7 4" xfId="9674"/>
    <cellStyle name="Normal 2 2 2 4 7 4 2" xfId="9675"/>
    <cellStyle name="Normal 2 2 2 4 7 5" xfId="9676"/>
    <cellStyle name="Normal 2 2 2 4 8" xfId="2778"/>
    <cellStyle name="Normal 2 2 2 4 8 2" xfId="9677"/>
    <cellStyle name="Normal 2 2 2 4 8 2 2" xfId="9678"/>
    <cellStyle name="Normal 2 2 2 4 8 2 2 2" xfId="9679"/>
    <cellStyle name="Normal 2 2 2 4 8 2 3" xfId="9680"/>
    <cellStyle name="Normal 2 2 2 4 8 3" xfId="9681"/>
    <cellStyle name="Normal 2 2 2 4 8 3 2" xfId="9682"/>
    <cellStyle name="Normal 2 2 2 4 8 4" xfId="9683"/>
    <cellStyle name="Normal 2 2 2 4 9" xfId="9684"/>
    <cellStyle name="Normal 2 2 2 4 9 2" xfId="9685"/>
    <cellStyle name="Normal 2 2 2 4 9 2 2" xfId="9686"/>
    <cellStyle name="Normal 2 2 2 4 9 3" xfId="9687"/>
    <cellStyle name="Normal 2 2 2 5" xfId="91"/>
    <cellStyle name="Normal 2 2 2 5 10" xfId="9688"/>
    <cellStyle name="Normal 2 2 2 5 2" xfId="228"/>
    <cellStyle name="Normal 2 2 2 5 2 2" xfId="500"/>
    <cellStyle name="Normal 2 2 2 5 2 2 2" xfId="1180"/>
    <cellStyle name="Normal 2 2 2 5 2 2 2 2" xfId="2540"/>
    <cellStyle name="Normal 2 2 2 5 2 2 2 2 2" xfId="5260"/>
    <cellStyle name="Normal 2 2 2 5 2 2 2 2 2 2" xfId="9689"/>
    <cellStyle name="Normal 2 2 2 5 2 2 2 2 2 2 2" xfId="9690"/>
    <cellStyle name="Normal 2 2 2 5 2 2 2 2 2 2 2 2" xfId="9691"/>
    <cellStyle name="Normal 2 2 2 5 2 2 2 2 2 2 3" xfId="9692"/>
    <cellStyle name="Normal 2 2 2 5 2 2 2 2 2 3" xfId="9693"/>
    <cellStyle name="Normal 2 2 2 5 2 2 2 2 2 3 2" xfId="9694"/>
    <cellStyle name="Normal 2 2 2 5 2 2 2 2 2 4" xfId="9695"/>
    <cellStyle name="Normal 2 2 2 5 2 2 2 2 3" xfId="9696"/>
    <cellStyle name="Normal 2 2 2 5 2 2 2 2 3 2" xfId="9697"/>
    <cellStyle name="Normal 2 2 2 5 2 2 2 2 3 2 2" xfId="9698"/>
    <cellStyle name="Normal 2 2 2 5 2 2 2 2 3 3" xfId="9699"/>
    <cellStyle name="Normal 2 2 2 5 2 2 2 2 4" xfId="9700"/>
    <cellStyle name="Normal 2 2 2 5 2 2 2 2 4 2" xfId="9701"/>
    <cellStyle name="Normal 2 2 2 5 2 2 2 2 5" xfId="9702"/>
    <cellStyle name="Normal 2 2 2 5 2 2 2 3" xfId="3900"/>
    <cellStyle name="Normal 2 2 2 5 2 2 2 3 2" xfId="9703"/>
    <cellStyle name="Normal 2 2 2 5 2 2 2 3 2 2" xfId="9704"/>
    <cellStyle name="Normal 2 2 2 5 2 2 2 3 2 2 2" xfId="9705"/>
    <cellStyle name="Normal 2 2 2 5 2 2 2 3 2 3" xfId="9706"/>
    <cellStyle name="Normal 2 2 2 5 2 2 2 3 3" xfId="9707"/>
    <cellStyle name="Normal 2 2 2 5 2 2 2 3 3 2" xfId="9708"/>
    <cellStyle name="Normal 2 2 2 5 2 2 2 3 4" xfId="9709"/>
    <cellStyle name="Normal 2 2 2 5 2 2 2 4" xfId="9710"/>
    <cellStyle name="Normal 2 2 2 5 2 2 2 4 2" xfId="9711"/>
    <cellStyle name="Normal 2 2 2 5 2 2 2 4 2 2" xfId="9712"/>
    <cellStyle name="Normal 2 2 2 5 2 2 2 4 3" xfId="9713"/>
    <cellStyle name="Normal 2 2 2 5 2 2 2 5" xfId="9714"/>
    <cellStyle name="Normal 2 2 2 5 2 2 2 5 2" xfId="9715"/>
    <cellStyle name="Normal 2 2 2 5 2 2 2 6" xfId="9716"/>
    <cellStyle name="Normal 2 2 2 5 2 2 3" xfId="1860"/>
    <cellStyle name="Normal 2 2 2 5 2 2 3 2" xfId="4580"/>
    <cellStyle name="Normal 2 2 2 5 2 2 3 2 2" xfId="9717"/>
    <cellStyle name="Normal 2 2 2 5 2 2 3 2 2 2" xfId="9718"/>
    <cellStyle name="Normal 2 2 2 5 2 2 3 2 2 2 2" xfId="9719"/>
    <cellStyle name="Normal 2 2 2 5 2 2 3 2 2 3" xfId="9720"/>
    <cellStyle name="Normal 2 2 2 5 2 2 3 2 3" xfId="9721"/>
    <cellStyle name="Normal 2 2 2 5 2 2 3 2 3 2" xfId="9722"/>
    <cellStyle name="Normal 2 2 2 5 2 2 3 2 4" xfId="9723"/>
    <cellStyle name="Normal 2 2 2 5 2 2 3 3" xfId="9724"/>
    <cellStyle name="Normal 2 2 2 5 2 2 3 3 2" xfId="9725"/>
    <cellStyle name="Normal 2 2 2 5 2 2 3 3 2 2" xfId="9726"/>
    <cellStyle name="Normal 2 2 2 5 2 2 3 3 3" xfId="9727"/>
    <cellStyle name="Normal 2 2 2 5 2 2 3 4" xfId="9728"/>
    <cellStyle name="Normal 2 2 2 5 2 2 3 4 2" xfId="9729"/>
    <cellStyle name="Normal 2 2 2 5 2 2 3 5" xfId="9730"/>
    <cellStyle name="Normal 2 2 2 5 2 2 4" xfId="3220"/>
    <cellStyle name="Normal 2 2 2 5 2 2 4 2" xfId="9731"/>
    <cellStyle name="Normal 2 2 2 5 2 2 4 2 2" xfId="9732"/>
    <cellStyle name="Normal 2 2 2 5 2 2 4 2 2 2" xfId="9733"/>
    <cellStyle name="Normal 2 2 2 5 2 2 4 2 3" xfId="9734"/>
    <cellStyle name="Normal 2 2 2 5 2 2 4 3" xfId="9735"/>
    <cellStyle name="Normal 2 2 2 5 2 2 4 3 2" xfId="9736"/>
    <cellStyle name="Normal 2 2 2 5 2 2 4 4" xfId="9737"/>
    <cellStyle name="Normal 2 2 2 5 2 2 5" xfId="9738"/>
    <cellStyle name="Normal 2 2 2 5 2 2 5 2" xfId="9739"/>
    <cellStyle name="Normal 2 2 2 5 2 2 5 2 2" xfId="9740"/>
    <cellStyle name="Normal 2 2 2 5 2 2 5 3" xfId="9741"/>
    <cellStyle name="Normal 2 2 2 5 2 2 6" xfId="9742"/>
    <cellStyle name="Normal 2 2 2 5 2 2 6 2" xfId="9743"/>
    <cellStyle name="Normal 2 2 2 5 2 2 7" xfId="9744"/>
    <cellStyle name="Normal 2 2 2 5 2 3" xfId="908"/>
    <cellStyle name="Normal 2 2 2 5 2 3 2" xfId="2268"/>
    <cellStyle name="Normal 2 2 2 5 2 3 2 2" xfId="4988"/>
    <cellStyle name="Normal 2 2 2 5 2 3 2 2 2" xfId="9745"/>
    <cellStyle name="Normal 2 2 2 5 2 3 2 2 2 2" xfId="9746"/>
    <cellStyle name="Normal 2 2 2 5 2 3 2 2 2 2 2" xfId="9747"/>
    <cellStyle name="Normal 2 2 2 5 2 3 2 2 2 3" xfId="9748"/>
    <cellStyle name="Normal 2 2 2 5 2 3 2 2 3" xfId="9749"/>
    <cellStyle name="Normal 2 2 2 5 2 3 2 2 3 2" xfId="9750"/>
    <cellStyle name="Normal 2 2 2 5 2 3 2 2 4" xfId="9751"/>
    <cellStyle name="Normal 2 2 2 5 2 3 2 3" xfId="9752"/>
    <cellStyle name="Normal 2 2 2 5 2 3 2 3 2" xfId="9753"/>
    <cellStyle name="Normal 2 2 2 5 2 3 2 3 2 2" xfId="9754"/>
    <cellStyle name="Normal 2 2 2 5 2 3 2 3 3" xfId="9755"/>
    <cellStyle name="Normal 2 2 2 5 2 3 2 4" xfId="9756"/>
    <cellStyle name="Normal 2 2 2 5 2 3 2 4 2" xfId="9757"/>
    <cellStyle name="Normal 2 2 2 5 2 3 2 5" xfId="9758"/>
    <cellStyle name="Normal 2 2 2 5 2 3 3" xfId="3628"/>
    <cellStyle name="Normal 2 2 2 5 2 3 3 2" xfId="9759"/>
    <cellStyle name="Normal 2 2 2 5 2 3 3 2 2" xfId="9760"/>
    <cellStyle name="Normal 2 2 2 5 2 3 3 2 2 2" xfId="9761"/>
    <cellStyle name="Normal 2 2 2 5 2 3 3 2 3" xfId="9762"/>
    <cellStyle name="Normal 2 2 2 5 2 3 3 3" xfId="9763"/>
    <cellStyle name="Normal 2 2 2 5 2 3 3 3 2" xfId="9764"/>
    <cellStyle name="Normal 2 2 2 5 2 3 3 4" xfId="9765"/>
    <cellStyle name="Normal 2 2 2 5 2 3 4" xfId="9766"/>
    <cellStyle name="Normal 2 2 2 5 2 3 4 2" xfId="9767"/>
    <cellStyle name="Normal 2 2 2 5 2 3 4 2 2" xfId="9768"/>
    <cellStyle name="Normal 2 2 2 5 2 3 4 3" xfId="9769"/>
    <cellStyle name="Normal 2 2 2 5 2 3 5" xfId="9770"/>
    <cellStyle name="Normal 2 2 2 5 2 3 5 2" xfId="9771"/>
    <cellStyle name="Normal 2 2 2 5 2 3 6" xfId="9772"/>
    <cellStyle name="Normal 2 2 2 5 2 4" xfId="1588"/>
    <cellStyle name="Normal 2 2 2 5 2 4 2" xfId="4308"/>
    <cellStyle name="Normal 2 2 2 5 2 4 2 2" xfId="9773"/>
    <cellStyle name="Normal 2 2 2 5 2 4 2 2 2" xfId="9774"/>
    <cellStyle name="Normal 2 2 2 5 2 4 2 2 2 2" xfId="9775"/>
    <cellStyle name="Normal 2 2 2 5 2 4 2 2 3" xfId="9776"/>
    <cellStyle name="Normal 2 2 2 5 2 4 2 3" xfId="9777"/>
    <cellStyle name="Normal 2 2 2 5 2 4 2 3 2" xfId="9778"/>
    <cellStyle name="Normal 2 2 2 5 2 4 2 4" xfId="9779"/>
    <cellStyle name="Normal 2 2 2 5 2 4 3" xfId="9780"/>
    <cellStyle name="Normal 2 2 2 5 2 4 3 2" xfId="9781"/>
    <cellStyle name="Normal 2 2 2 5 2 4 3 2 2" xfId="9782"/>
    <cellStyle name="Normal 2 2 2 5 2 4 3 3" xfId="9783"/>
    <cellStyle name="Normal 2 2 2 5 2 4 4" xfId="9784"/>
    <cellStyle name="Normal 2 2 2 5 2 4 4 2" xfId="9785"/>
    <cellStyle name="Normal 2 2 2 5 2 4 5" xfId="9786"/>
    <cellStyle name="Normal 2 2 2 5 2 5" xfId="2948"/>
    <cellStyle name="Normal 2 2 2 5 2 5 2" xfId="9787"/>
    <cellStyle name="Normal 2 2 2 5 2 5 2 2" xfId="9788"/>
    <cellStyle name="Normal 2 2 2 5 2 5 2 2 2" xfId="9789"/>
    <cellStyle name="Normal 2 2 2 5 2 5 2 3" xfId="9790"/>
    <cellStyle name="Normal 2 2 2 5 2 5 3" xfId="9791"/>
    <cellStyle name="Normal 2 2 2 5 2 5 3 2" xfId="9792"/>
    <cellStyle name="Normal 2 2 2 5 2 5 4" xfId="9793"/>
    <cellStyle name="Normal 2 2 2 5 2 6" xfId="9794"/>
    <cellStyle name="Normal 2 2 2 5 2 6 2" xfId="9795"/>
    <cellStyle name="Normal 2 2 2 5 2 6 2 2" xfId="9796"/>
    <cellStyle name="Normal 2 2 2 5 2 6 3" xfId="9797"/>
    <cellStyle name="Normal 2 2 2 5 2 7" xfId="9798"/>
    <cellStyle name="Normal 2 2 2 5 2 7 2" xfId="9799"/>
    <cellStyle name="Normal 2 2 2 5 2 8" xfId="9800"/>
    <cellStyle name="Normal 2 2 2 5 3" xfId="364"/>
    <cellStyle name="Normal 2 2 2 5 3 2" xfId="1044"/>
    <cellStyle name="Normal 2 2 2 5 3 2 2" xfId="2404"/>
    <cellStyle name="Normal 2 2 2 5 3 2 2 2" xfId="5124"/>
    <cellStyle name="Normal 2 2 2 5 3 2 2 2 2" xfId="9801"/>
    <cellStyle name="Normal 2 2 2 5 3 2 2 2 2 2" xfId="9802"/>
    <cellStyle name="Normal 2 2 2 5 3 2 2 2 2 2 2" xfId="9803"/>
    <cellStyle name="Normal 2 2 2 5 3 2 2 2 2 3" xfId="9804"/>
    <cellStyle name="Normal 2 2 2 5 3 2 2 2 3" xfId="9805"/>
    <cellStyle name="Normal 2 2 2 5 3 2 2 2 3 2" xfId="9806"/>
    <cellStyle name="Normal 2 2 2 5 3 2 2 2 4" xfId="9807"/>
    <cellStyle name="Normal 2 2 2 5 3 2 2 3" xfId="9808"/>
    <cellStyle name="Normal 2 2 2 5 3 2 2 3 2" xfId="9809"/>
    <cellStyle name="Normal 2 2 2 5 3 2 2 3 2 2" xfId="9810"/>
    <cellStyle name="Normal 2 2 2 5 3 2 2 3 3" xfId="9811"/>
    <cellStyle name="Normal 2 2 2 5 3 2 2 4" xfId="9812"/>
    <cellStyle name="Normal 2 2 2 5 3 2 2 4 2" xfId="9813"/>
    <cellStyle name="Normal 2 2 2 5 3 2 2 5" xfId="9814"/>
    <cellStyle name="Normal 2 2 2 5 3 2 3" xfId="3764"/>
    <cellStyle name="Normal 2 2 2 5 3 2 3 2" xfId="9815"/>
    <cellStyle name="Normal 2 2 2 5 3 2 3 2 2" xfId="9816"/>
    <cellStyle name="Normal 2 2 2 5 3 2 3 2 2 2" xfId="9817"/>
    <cellStyle name="Normal 2 2 2 5 3 2 3 2 3" xfId="9818"/>
    <cellStyle name="Normal 2 2 2 5 3 2 3 3" xfId="9819"/>
    <cellStyle name="Normal 2 2 2 5 3 2 3 3 2" xfId="9820"/>
    <cellStyle name="Normal 2 2 2 5 3 2 3 4" xfId="9821"/>
    <cellStyle name="Normal 2 2 2 5 3 2 4" xfId="9822"/>
    <cellStyle name="Normal 2 2 2 5 3 2 4 2" xfId="9823"/>
    <cellStyle name="Normal 2 2 2 5 3 2 4 2 2" xfId="9824"/>
    <cellStyle name="Normal 2 2 2 5 3 2 4 3" xfId="9825"/>
    <cellStyle name="Normal 2 2 2 5 3 2 5" xfId="9826"/>
    <cellStyle name="Normal 2 2 2 5 3 2 5 2" xfId="9827"/>
    <cellStyle name="Normal 2 2 2 5 3 2 6" xfId="9828"/>
    <cellStyle name="Normal 2 2 2 5 3 3" xfId="1724"/>
    <cellStyle name="Normal 2 2 2 5 3 3 2" xfId="4444"/>
    <cellStyle name="Normal 2 2 2 5 3 3 2 2" xfId="9829"/>
    <cellStyle name="Normal 2 2 2 5 3 3 2 2 2" xfId="9830"/>
    <cellStyle name="Normal 2 2 2 5 3 3 2 2 2 2" xfId="9831"/>
    <cellStyle name="Normal 2 2 2 5 3 3 2 2 3" xfId="9832"/>
    <cellStyle name="Normal 2 2 2 5 3 3 2 3" xfId="9833"/>
    <cellStyle name="Normal 2 2 2 5 3 3 2 3 2" xfId="9834"/>
    <cellStyle name="Normal 2 2 2 5 3 3 2 4" xfId="9835"/>
    <cellStyle name="Normal 2 2 2 5 3 3 3" xfId="9836"/>
    <cellStyle name="Normal 2 2 2 5 3 3 3 2" xfId="9837"/>
    <cellStyle name="Normal 2 2 2 5 3 3 3 2 2" xfId="9838"/>
    <cellStyle name="Normal 2 2 2 5 3 3 3 3" xfId="9839"/>
    <cellStyle name="Normal 2 2 2 5 3 3 4" xfId="9840"/>
    <cellStyle name="Normal 2 2 2 5 3 3 4 2" xfId="9841"/>
    <cellStyle name="Normal 2 2 2 5 3 3 5" xfId="9842"/>
    <cellStyle name="Normal 2 2 2 5 3 4" xfId="3084"/>
    <cellStyle name="Normal 2 2 2 5 3 4 2" xfId="9843"/>
    <cellStyle name="Normal 2 2 2 5 3 4 2 2" xfId="9844"/>
    <cellStyle name="Normal 2 2 2 5 3 4 2 2 2" xfId="9845"/>
    <cellStyle name="Normal 2 2 2 5 3 4 2 3" xfId="9846"/>
    <cellStyle name="Normal 2 2 2 5 3 4 3" xfId="9847"/>
    <cellStyle name="Normal 2 2 2 5 3 4 3 2" xfId="9848"/>
    <cellStyle name="Normal 2 2 2 5 3 4 4" xfId="9849"/>
    <cellStyle name="Normal 2 2 2 5 3 5" xfId="9850"/>
    <cellStyle name="Normal 2 2 2 5 3 5 2" xfId="9851"/>
    <cellStyle name="Normal 2 2 2 5 3 5 2 2" xfId="9852"/>
    <cellStyle name="Normal 2 2 2 5 3 5 3" xfId="9853"/>
    <cellStyle name="Normal 2 2 2 5 3 6" xfId="9854"/>
    <cellStyle name="Normal 2 2 2 5 3 6 2" xfId="9855"/>
    <cellStyle name="Normal 2 2 2 5 3 7" xfId="9856"/>
    <cellStyle name="Normal 2 2 2 5 4" xfId="636"/>
    <cellStyle name="Normal 2 2 2 5 4 2" xfId="1316"/>
    <cellStyle name="Normal 2 2 2 5 4 2 2" xfId="2676"/>
    <cellStyle name="Normal 2 2 2 5 4 2 2 2" xfId="5396"/>
    <cellStyle name="Normal 2 2 2 5 4 2 2 2 2" xfId="9857"/>
    <cellStyle name="Normal 2 2 2 5 4 2 2 2 2 2" xfId="9858"/>
    <cellStyle name="Normal 2 2 2 5 4 2 2 2 2 2 2" xfId="9859"/>
    <cellStyle name="Normal 2 2 2 5 4 2 2 2 2 3" xfId="9860"/>
    <cellStyle name="Normal 2 2 2 5 4 2 2 2 3" xfId="9861"/>
    <cellStyle name="Normal 2 2 2 5 4 2 2 2 3 2" xfId="9862"/>
    <cellStyle name="Normal 2 2 2 5 4 2 2 2 4" xfId="9863"/>
    <cellStyle name="Normal 2 2 2 5 4 2 2 3" xfId="9864"/>
    <cellStyle name="Normal 2 2 2 5 4 2 2 3 2" xfId="9865"/>
    <cellStyle name="Normal 2 2 2 5 4 2 2 3 2 2" xfId="9866"/>
    <cellStyle name="Normal 2 2 2 5 4 2 2 3 3" xfId="9867"/>
    <cellStyle name="Normal 2 2 2 5 4 2 2 4" xfId="9868"/>
    <cellStyle name="Normal 2 2 2 5 4 2 2 4 2" xfId="9869"/>
    <cellStyle name="Normal 2 2 2 5 4 2 2 5" xfId="9870"/>
    <cellStyle name="Normal 2 2 2 5 4 2 3" xfId="4036"/>
    <cellStyle name="Normal 2 2 2 5 4 2 3 2" xfId="9871"/>
    <cellStyle name="Normal 2 2 2 5 4 2 3 2 2" xfId="9872"/>
    <cellStyle name="Normal 2 2 2 5 4 2 3 2 2 2" xfId="9873"/>
    <cellStyle name="Normal 2 2 2 5 4 2 3 2 3" xfId="9874"/>
    <cellStyle name="Normal 2 2 2 5 4 2 3 3" xfId="9875"/>
    <cellStyle name="Normal 2 2 2 5 4 2 3 3 2" xfId="9876"/>
    <cellStyle name="Normal 2 2 2 5 4 2 3 4" xfId="9877"/>
    <cellStyle name="Normal 2 2 2 5 4 2 4" xfId="9878"/>
    <cellStyle name="Normal 2 2 2 5 4 2 4 2" xfId="9879"/>
    <cellStyle name="Normal 2 2 2 5 4 2 4 2 2" xfId="9880"/>
    <cellStyle name="Normal 2 2 2 5 4 2 4 3" xfId="9881"/>
    <cellStyle name="Normal 2 2 2 5 4 2 5" xfId="9882"/>
    <cellStyle name="Normal 2 2 2 5 4 2 5 2" xfId="9883"/>
    <cellStyle name="Normal 2 2 2 5 4 2 6" xfId="9884"/>
    <cellStyle name="Normal 2 2 2 5 4 3" xfId="1996"/>
    <cellStyle name="Normal 2 2 2 5 4 3 2" xfId="4716"/>
    <cellStyle name="Normal 2 2 2 5 4 3 2 2" xfId="9885"/>
    <cellStyle name="Normal 2 2 2 5 4 3 2 2 2" xfId="9886"/>
    <cellStyle name="Normal 2 2 2 5 4 3 2 2 2 2" xfId="9887"/>
    <cellStyle name="Normal 2 2 2 5 4 3 2 2 3" xfId="9888"/>
    <cellStyle name="Normal 2 2 2 5 4 3 2 3" xfId="9889"/>
    <cellStyle name="Normal 2 2 2 5 4 3 2 3 2" xfId="9890"/>
    <cellStyle name="Normal 2 2 2 5 4 3 2 4" xfId="9891"/>
    <cellStyle name="Normal 2 2 2 5 4 3 3" xfId="9892"/>
    <cellStyle name="Normal 2 2 2 5 4 3 3 2" xfId="9893"/>
    <cellStyle name="Normal 2 2 2 5 4 3 3 2 2" xfId="9894"/>
    <cellStyle name="Normal 2 2 2 5 4 3 3 3" xfId="9895"/>
    <cellStyle name="Normal 2 2 2 5 4 3 4" xfId="9896"/>
    <cellStyle name="Normal 2 2 2 5 4 3 4 2" xfId="9897"/>
    <cellStyle name="Normal 2 2 2 5 4 3 5" xfId="9898"/>
    <cellStyle name="Normal 2 2 2 5 4 4" xfId="3356"/>
    <cellStyle name="Normal 2 2 2 5 4 4 2" xfId="9899"/>
    <cellStyle name="Normal 2 2 2 5 4 4 2 2" xfId="9900"/>
    <cellStyle name="Normal 2 2 2 5 4 4 2 2 2" xfId="9901"/>
    <cellStyle name="Normal 2 2 2 5 4 4 2 3" xfId="9902"/>
    <cellStyle name="Normal 2 2 2 5 4 4 3" xfId="9903"/>
    <cellStyle name="Normal 2 2 2 5 4 4 3 2" xfId="9904"/>
    <cellStyle name="Normal 2 2 2 5 4 4 4" xfId="9905"/>
    <cellStyle name="Normal 2 2 2 5 4 5" xfId="9906"/>
    <cellStyle name="Normal 2 2 2 5 4 5 2" xfId="9907"/>
    <cellStyle name="Normal 2 2 2 5 4 5 2 2" xfId="9908"/>
    <cellStyle name="Normal 2 2 2 5 4 5 3" xfId="9909"/>
    <cellStyle name="Normal 2 2 2 5 4 6" xfId="9910"/>
    <cellStyle name="Normal 2 2 2 5 4 6 2" xfId="9911"/>
    <cellStyle name="Normal 2 2 2 5 4 7" xfId="9912"/>
    <cellStyle name="Normal 2 2 2 5 5" xfId="772"/>
    <cellStyle name="Normal 2 2 2 5 5 2" xfId="2132"/>
    <cellStyle name="Normal 2 2 2 5 5 2 2" xfId="4852"/>
    <cellStyle name="Normal 2 2 2 5 5 2 2 2" xfId="9913"/>
    <cellStyle name="Normal 2 2 2 5 5 2 2 2 2" xfId="9914"/>
    <cellStyle name="Normal 2 2 2 5 5 2 2 2 2 2" xfId="9915"/>
    <cellStyle name="Normal 2 2 2 5 5 2 2 2 3" xfId="9916"/>
    <cellStyle name="Normal 2 2 2 5 5 2 2 3" xfId="9917"/>
    <cellStyle name="Normal 2 2 2 5 5 2 2 3 2" xfId="9918"/>
    <cellStyle name="Normal 2 2 2 5 5 2 2 4" xfId="9919"/>
    <cellStyle name="Normal 2 2 2 5 5 2 3" xfId="9920"/>
    <cellStyle name="Normal 2 2 2 5 5 2 3 2" xfId="9921"/>
    <cellStyle name="Normal 2 2 2 5 5 2 3 2 2" xfId="9922"/>
    <cellStyle name="Normal 2 2 2 5 5 2 3 3" xfId="9923"/>
    <cellStyle name="Normal 2 2 2 5 5 2 4" xfId="9924"/>
    <cellStyle name="Normal 2 2 2 5 5 2 4 2" xfId="9925"/>
    <cellStyle name="Normal 2 2 2 5 5 2 5" xfId="9926"/>
    <cellStyle name="Normal 2 2 2 5 5 3" xfId="3492"/>
    <cellStyle name="Normal 2 2 2 5 5 3 2" xfId="9927"/>
    <cellStyle name="Normal 2 2 2 5 5 3 2 2" xfId="9928"/>
    <cellStyle name="Normal 2 2 2 5 5 3 2 2 2" xfId="9929"/>
    <cellStyle name="Normal 2 2 2 5 5 3 2 3" xfId="9930"/>
    <cellStyle name="Normal 2 2 2 5 5 3 3" xfId="9931"/>
    <cellStyle name="Normal 2 2 2 5 5 3 3 2" xfId="9932"/>
    <cellStyle name="Normal 2 2 2 5 5 3 4" xfId="9933"/>
    <cellStyle name="Normal 2 2 2 5 5 4" xfId="9934"/>
    <cellStyle name="Normal 2 2 2 5 5 4 2" xfId="9935"/>
    <cellStyle name="Normal 2 2 2 5 5 4 2 2" xfId="9936"/>
    <cellStyle name="Normal 2 2 2 5 5 4 3" xfId="9937"/>
    <cellStyle name="Normal 2 2 2 5 5 5" xfId="9938"/>
    <cellStyle name="Normal 2 2 2 5 5 5 2" xfId="9939"/>
    <cellStyle name="Normal 2 2 2 5 5 6" xfId="9940"/>
    <cellStyle name="Normal 2 2 2 5 6" xfId="1452"/>
    <cellStyle name="Normal 2 2 2 5 6 2" xfId="4172"/>
    <cellStyle name="Normal 2 2 2 5 6 2 2" xfId="9941"/>
    <cellStyle name="Normal 2 2 2 5 6 2 2 2" xfId="9942"/>
    <cellStyle name="Normal 2 2 2 5 6 2 2 2 2" xfId="9943"/>
    <cellStyle name="Normal 2 2 2 5 6 2 2 3" xfId="9944"/>
    <cellStyle name="Normal 2 2 2 5 6 2 3" xfId="9945"/>
    <cellStyle name="Normal 2 2 2 5 6 2 3 2" xfId="9946"/>
    <cellStyle name="Normal 2 2 2 5 6 2 4" xfId="9947"/>
    <cellStyle name="Normal 2 2 2 5 6 3" xfId="9948"/>
    <cellStyle name="Normal 2 2 2 5 6 3 2" xfId="9949"/>
    <cellStyle name="Normal 2 2 2 5 6 3 2 2" xfId="9950"/>
    <cellStyle name="Normal 2 2 2 5 6 3 3" xfId="9951"/>
    <cellStyle name="Normal 2 2 2 5 6 4" xfId="9952"/>
    <cellStyle name="Normal 2 2 2 5 6 4 2" xfId="9953"/>
    <cellStyle name="Normal 2 2 2 5 6 5" xfId="9954"/>
    <cellStyle name="Normal 2 2 2 5 7" xfId="2812"/>
    <cellStyle name="Normal 2 2 2 5 7 2" xfId="9955"/>
    <cellStyle name="Normal 2 2 2 5 7 2 2" xfId="9956"/>
    <cellStyle name="Normal 2 2 2 5 7 2 2 2" xfId="9957"/>
    <cellStyle name="Normal 2 2 2 5 7 2 3" xfId="9958"/>
    <cellStyle name="Normal 2 2 2 5 7 3" xfId="9959"/>
    <cellStyle name="Normal 2 2 2 5 7 3 2" xfId="9960"/>
    <cellStyle name="Normal 2 2 2 5 7 4" xfId="9961"/>
    <cellStyle name="Normal 2 2 2 5 8" xfId="9962"/>
    <cellStyle name="Normal 2 2 2 5 8 2" xfId="9963"/>
    <cellStyle name="Normal 2 2 2 5 8 2 2" xfId="9964"/>
    <cellStyle name="Normal 2 2 2 5 8 3" xfId="9965"/>
    <cellStyle name="Normal 2 2 2 5 9" xfId="9966"/>
    <cellStyle name="Normal 2 2 2 5 9 2" xfId="9967"/>
    <cellStyle name="Normal 2 2 2 6" xfId="160"/>
    <cellStyle name="Normal 2 2 2 6 2" xfId="432"/>
    <cellStyle name="Normal 2 2 2 6 2 2" xfId="1112"/>
    <cellStyle name="Normal 2 2 2 6 2 2 2" xfId="2472"/>
    <cellStyle name="Normal 2 2 2 6 2 2 2 2" xfId="5192"/>
    <cellStyle name="Normal 2 2 2 6 2 2 2 2 2" xfId="9968"/>
    <cellStyle name="Normal 2 2 2 6 2 2 2 2 2 2" xfId="9969"/>
    <cellStyle name="Normal 2 2 2 6 2 2 2 2 2 2 2" xfId="9970"/>
    <cellStyle name="Normal 2 2 2 6 2 2 2 2 2 3" xfId="9971"/>
    <cellStyle name="Normal 2 2 2 6 2 2 2 2 3" xfId="9972"/>
    <cellStyle name="Normal 2 2 2 6 2 2 2 2 3 2" xfId="9973"/>
    <cellStyle name="Normal 2 2 2 6 2 2 2 2 4" xfId="9974"/>
    <cellStyle name="Normal 2 2 2 6 2 2 2 3" xfId="9975"/>
    <cellStyle name="Normal 2 2 2 6 2 2 2 3 2" xfId="9976"/>
    <cellStyle name="Normal 2 2 2 6 2 2 2 3 2 2" xfId="9977"/>
    <cellStyle name="Normal 2 2 2 6 2 2 2 3 3" xfId="9978"/>
    <cellStyle name="Normal 2 2 2 6 2 2 2 4" xfId="9979"/>
    <cellStyle name="Normal 2 2 2 6 2 2 2 4 2" xfId="9980"/>
    <cellStyle name="Normal 2 2 2 6 2 2 2 5" xfId="9981"/>
    <cellStyle name="Normal 2 2 2 6 2 2 3" xfId="3832"/>
    <cellStyle name="Normal 2 2 2 6 2 2 3 2" xfId="9982"/>
    <cellStyle name="Normal 2 2 2 6 2 2 3 2 2" xfId="9983"/>
    <cellStyle name="Normal 2 2 2 6 2 2 3 2 2 2" xfId="9984"/>
    <cellStyle name="Normal 2 2 2 6 2 2 3 2 3" xfId="9985"/>
    <cellStyle name="Normal 2 2 2 6 2 2 3 3" xfId="9986"/>
    <cellStyle name="Normal 2 2 2 6 2 2 3 3 2" xfId="9987"/>
    <cellStyle name="Normal 2 2 2 6 2 2 3 4" xfId="9988"/>
    <cellStyle name="Normal 2 2 2 6 2 2 4" xfId="9989"/>
    <cellStyle name="Normal 2 2 2 6 2 2 4 2" xfId="9990"/>
    <cellStyle name="Normal 2 2 2 6 2 2 4 2 2" xfId="9991"/>
    <cellStyle name="Normal 2 2 2 6 2 2 4 3" xfId="9992"/>
    <cellStyle name="Normal 2 2 2 6 2 2 5" xfId="9993"/>
    <cellStyle name="Normal 2 2 2 6 2 2 5 2" xfId="9994"/>
    <cellStyle name="Normal 2 2 2 6 2 2 6" xfId="9995"/>
    <cellStyle name="Normal 2 2 2 6 2 3" xfId="1792"/>
    <cellStyle name="Normal 2 2 2 6 2 3 2" xfId="4512"/>
    <cellStyle name="Normal 2 2 2 6 2 3 2 2" xfId="9996"/>
    <cellStyle name="Normal 2 2 2 6 2 3 2 2 2" xfId="9997"/>
    <cellStyle name="Normal 2 2 2 6 2 3 2 2 2 2" xfId="9998"/>
    <cellStyle name="Normal 2 2 2 6 2 3 2 2 3" xfId="9999"/>
    <cellStyle name="Normal 2 2 2 6 2 3 2 3" xfId="10000"/>
    <cellStyle name="Normal 2 2 2 6 2 3 2 3 2" xfId="10001"/>
    <cellStyle name="Normal 2 2 2 6 2 3 2 4" xfId="10002"/>
    <cellStyle name="Normal 2 2 2 6 2 3 3" xfId="10003"/>
    <cellStyle name="Normal 2 2 2 6 2 3 3 2" xfId="10004"/>
    <cellStyle name="Normal 2 2 2 6 2 3 3 2 2" xfId="10005"/>
    <cellStyle name="Normal 2 2 2 6 2 3 3 3" xfId="10006"/>
    <cellStyle name="Normal 2 2 2 6 2 3 4" xfId="10007"/>
    <cellStyle name="Normal 2 2 2 6 2 3 4 2" xfId="10008"/>
    <cellStyle name="Normal 2 2 2 6 2 3 5" xfId="10009"/>
    <cellStyle name="Normal 2 2 2 6 2 4" xfId="3152"/>
    <cellStyle name="Normal 2 2 2 6 2 4 2" xfId="10010"/>
    <cellStyle name="Normal 2 2 2 6 2 4 2 2" xfId="10011"/>
    <cellStyle name="Normal 2 2 2 6 2 4 2 2 2" xfId="10012"/>
    <cellStyle name="Normal 2 2 2 6 2 4 2 3" xfId="10013"/>
    <cellStyle name="Normal 2 2 2 6 2 4 3" xfId="10014"/>
    <cellStyle name="Normal 2 2 2 6 2 4 3 2" xfId="10015"/>
    <cellStyle name="Normal 2 2 2 6 2 4 4" xfId="10016"/>
    <cellStyle name="Normal 2 2 2 6 2 5" xfId="10017"/>
    <cellStyle name="Normal 2 2 2 6 2 5 2" xfId="10018"/>
    <cellStyle name="Normal 2 2 2 6 2 5 2 2" xfId="10019"/>
    <cellStyle name="Normal 2 2 2 6 2 5 3" xfId="10020"/>
    <cellStyle name="Normal 2 2 2 6 2 6" xfId="10021"/>
    <cellStyle name="Normal 2 2 2 6 2 6 2" xfId="10022"/>
    <cellStyle name="Normal 2 2 2 6 2 7" xfId="10023"/>
    <cellStyle name="Normal 2 2 2 6 3" xfId="840"/>
    <cellStyle name="Normal 2 2 2 6 3 2" xfId="2200"/>
    <cellStyle name="Normal 2 2 2 6 3 2 2" xfId="4920"/>
    <cellStyle name="Normal 2 2 2 6 3 2 2 2" xfId="10024"/>
    <cellStyle name="Normal 2 2 2 6 3 2 2 2 2" xfId="10025"/>
    <cellStyle name="Normal 2 2 2 6 3 2 2 2 2 2" xfId="10026"/>
    <cellStyle name="Normal 2 2 2 6 3 2 2 2 3" xfId="10027"/>
    <cellStyle name="Normal 2 2 2 6 3 2 2 3" xfId="10028"/>
    <cellStyle name="Normal 2 2 2 6 3 2 2 3 2" xfId="10029"/>
    <cellStyle name="Normal 2 2 2 6 3 2 2 4" xfId="10030"/>
    <cellStyle name="Normal 2 2 2 6 3 2 3" xfId="10031"/>
    <cellStyle name="Normal 2 2 2 6 3 2 3 2" xfId="10032"/>
    <cellStyle name="Normal 2 2 2 6 3 2 3 2 2" xfId="10033"/>
    <cellStyle name="Normal 2 2 2 6 3 2 3 3" xfId="10034"/>
    <cellStyle name="Normal 2 2 2 6 3 2 4" xfId="10035"/>
    <cellStyle name="Normal 2 2 2 6 3 2 4 2" xfId="10036"/>
    <cellStyle name="Normal 2 2 2 6 3 2 5" xfId="10037"/>
    <cellStyle name="Normal 2 2 2 6 3 3" xfId="3560"/>
    <cellStyle name="Normal 2 2 2 6 3 3 2" xfId="10038"/>
    <cellStyle name="Normal 2 2 2 6 3 3 2 2" xfId="10039"/>
    <cellStyle name="Normal 2 2 2 6 3 3 2 2 2" xfId="10040"/>
    <cellStyle name="Normal 2 2 2 6 3 3 2 3" xfId="10041"/>
    <cellStyle name="Normal 2 2 2 6 3 3 3" xfId="10042"/>
    <cellStyle name="Normal 2 2 2 6 3 3 3 2" xfId="10043"/>
    <cellStyle name="Normal 2 2 2 6 3 3 4" xfId="10044"/>
    <cellStyle name="Normal 2 2 2 6 3 4" xfId="10045"/>
    <cellStyle name="Normal 2 2 2 6 3 4 2" xfId="10046"/>
    <cellStyle name="Normal 2 2 2 6 3 4 2 2" xfId="10047"/>
    <cellStyle name="Normal 2 2 2 6 3 4 3" xfId="10048"/>
    <cellStyle name="Normal 2 2 2 6 3 5" xfId="10049"/>
    <cellStyle name="Normal 2 2 2 6 3 5 2" xfId="10050"/>
    <cellStyle name="Normal 2 2 2 6 3 6" xfId="10051"/>
    <cellStyle name="Normal 2 2 2 6 4" xfId="1520"/>
    <cellStyle name="Normal 2 2 2 6 4 2" xfId="4240"/>
    <cellStyle name="Normal 2 2 2 6 4 2 2" xfId="10052"/>
    <cellStyle name="Normal 2 2 2 6 4 2 2 2" xfId="10053"/>
    <cellStyle name="Normal 2 2 2 6 4 2 2 2 2" xfId="10054"/>
    <cellStyle name="Normal 2 2 2 6 4 2 2 3" xfId="10055"/>
    <cellStyle name="Normal 2 2 2 6 4 2 3" xfId="10056"/>
    <cellStyle name="Normal 2 2 2 6 4 2 3 2" xfId="10057"/>
    <cellStyle name="Normal 2 2 2 6 4 2 4" xfId="10058"/>
    <cellStyle name="Normal 2 2 2 6 4 3" xfId="10059"/>
    <cellStyle name="Normal 2 2 2 6 4 3 2" xfId="10060"/>
    <cellStyle name="Normal 2 2 2 6 4 3 2 2" xfId="10061"/>
    <cellStyle name="Normal 2 2 2 6 4 3 3" xfId="10062"/>
    <cellStyle name="Normal 2 2 2 6 4 4" xfId="10063"/>
    <cellStyle name="Normal 2 2 2 6 4 4 2" xfId="10064"/>
    <cellStyle name="Normal 2 2 2 6 4 5" xfId="10065"/>
    <cellStyle name="Normal 2 2 2 6 5" xfId="2880"/>
    <cellStyle name="Normal 2 2 2 6 5 2" xfId="10066"/>
    <cellStyle name="Normal 2 2 2 6 5 2 2" xfId="10067"/>
    <cellStyle name="Normal 2 2 2 6 5 2 2 2" xfId="10068"/>
    <cellStyle name="Normal 2 2 2 6 5 2 3" xfId="10069"/>
    <cellStyle name="Normal 2 2 2 6 5 3" xfId="10070"/>
    <cellStyle name="Normal 2 2 2 6 5 3 2" xfId="10071"/>
    <cellStyle name="Normal 2 2 2 6 5 4" xfId="10072"/>
    <cellStyle name="Normal 2 2 2 6 6" xfId="10073"/>
    <cellStyle name="Normal 2 2 2 6 6 2" xfId="10074"/>
    <cellStyle name="Normal 2 2 2 6 6 2 2" xfId="10075"/>
    <cellStyle name="Normal 2 2 2 6 6 3" xfId="10076"/>
    <cellStyle name="Normal 2 2 2 6 7" xfId="10077"/>
    <cellStyle name="Normal 2 2 2 6 7 2" xfId="10078"/>
    <cellStyle name="Normal 2 2 2 6 8" xfId="10079"/>
    <cellStyle name="Normal 2 2 2 7" xfId="296"/>
    <cellStyle name="Normal 2 2 2 7 2" xfId="976"/>
    <cellStyle name="Normal 2 2 2 7 2 2" xfId="2336"/>
    <cellStyle name="Normal 2 2 2 7 2 2 2" xfId="5056"/>
    <cellStyle name="Normal 2 2 2 7 2 2 2 2" xfId="10080"/>
    <cellStyle name="Normal 2 2 2 7 2 2 2 2 2" xfId="10081"/>
    <cellStyle name="Normal 2 2 2 7 2 2 2 2 2 2" xfId="10082"/>
    <cellStyle name="Normal 2 2 2 7 2 2 2 2 3" xfId="10083"/>
    <cellStyle name="Normal 2 2 2 7 2 2 2 3" xfId="10084"/>
    <cellStyle name="Normal 2 2 2 7 2 2 2 3 2" xfId="10085"/>
    <cellStyle name="Normal 2 2 2 7 2 2 2 4" xfId="10086"/>
    <cellStyle name="Normal 2 2 2 7 2 2 3" xfId="10087"/>
    <cellStyle name="Normal 2 2 2 7 2 2 3 2" xfId="10088"/>
    <cellStyle name="Normal 2 2 2 7 2 2 3 2 2" xfId="10089"/>
    <cellStyle name="Normal 2 2 2 7 2 2 3 3" xfId="10090"/>
    <cellStyle name="Normal 2 2 2 7 2 2 4" xfId="10091"/>
    <cellStyle name="Normal 2 2 2 7 2 2 4 2" xfId="10092"/>
    <cellStyle name="Normal 2 2 2 7 2 2 5" xfId="10093"/>
    <cellStyle name="Normal 2 2 2 7 2 3" xfId="3696"/>
    <cellStyle name="Normal 2 2 2 7 2 3 2" xfId="10094"/>
    <cellStyle name="Normal 2 2 2 7 2 3 2 2" xfId="10095"/>
    <cellStyle name="Normal 2 2 2 7 2 3 2 2 2" xfId="10096"/>
    <cellStyle name="Normal 2 2 2 7 2 3 2 3" xfId="10097"/>
    <cellStyle name="Normal 2 2 2 7 2 3 3" xfId="10098"/>
    <cellStyle name="Normal 2 2 2 7 2 3 3 2" xfId="10099"/>
    <cellStyle name="Normal 2 2 2 7 2 3 4" xfId="10100"/>
    <cellStyle name="Normal 2 2 2 7 2 4" xfId="10101"/>
    <cellStyle name="Normal 2 2 2 7 2 4 2" xfId="10102"/>
    <cellStyle name="Normal 2 2 2 7 2 4 2 2" xfId="10103"/>
    <cellStyle name="Normal 2 2 2 7 2 4 3" xfId="10104"/>
    <cellStyle name="Normal 2 2 2 7 2 5" xfId="10105"/>
    <cellStyle name="Normal 2 2 2 7 2 5 2" xfId="10106"/>
    <cellStyle name="Normal 2 2 2 7 2 6" xfId="10107"/>
    <cellStyle name="Normal 2 2 2 7 3" xfId="1656"/>
    <cellStyle name="Normal 2 2 2 7 3 2" xfId="4376"/>
    <cellStyle name="Normal 2 2 2 7 3 2 2" xfId="10108"/>
    <cellStyle name="Normal 2 2 2 7 3 2 2 2" xfId="10109"/>
    <cellStyle name="Normal 2 2 2 7 3 2 2 2 2" xfId="10110"/>
    <cellStyle name="Normal 2 2 2 7 3 2 2 3" xfId="10111"/>
    <cellStyle name="Normal 2 2 2 7 3 2 3" xfId="10112"/>
    <cellStyle name="Normal 2 2 2 7 3 2 3 2" xfId="10113"/>
    <cellStyle name="Normal 2 2 2 7 3 2 4" xfId="10114"/>
    <cellStyle name="Normal 2 2 2 7 3 3" xfId="10115"/>
    <cellStyle name="Normal 2 2 2 7 3 3 2" xfId="10116"/>
    <cellStyle name="Normal 2 2 2 7 3 3 2 2" xfId="10117"/>
    <cellStyle name="Normal 2 2 2 7 3 3 3" xfId="10118"/>
    <cellStyle name="Normal 2 2 2 7 3 4" xfId="10119"/>
    <cellStyle name="Normal 2 2 2 7 3 4 2" xfId="10120"/>
    <cellStyle name="Normal 2 2 2 7 3 5" xfId="10121"/>
    <cellStyle name="Normal 2 2 2 7 4" xfId="3016"/>
    <cellStyle name="Normal 2 2 2 7 4 2" xfId="10122"/>
    <cellStyle name="Normal 2 2 2 7 4 2 2" xfId="10123"/>
    <cellStyle name="Normal 2 2 2 7 4 2 2 2" xfId="10124"/>
    <cellStyle name="Normal 2 2 2 7 4 2 3" xfId="10125"/>
    <cellStyle name="Normal 2 2 2 7 4 3" xfId="10126"/>
    <cellStyle name="Normal 2 2 2 7 4 3 2" xfId="10127"/>
    <cellStyle name="Normal 2 2 2 7 4 4" xfId="10128"/>
    <cellStyle name="Normal 2 2 2 7 5" xfId="10129"/>
    <cellStyle name="Normal 2 2 2 7 5 2" xfId="10130"/>
    <cellStyle name="Normal 2 2 2 7 5 2 2" xfId="10131"/>
    <cellStyle name="Normal 2 2 2 7 5 3" xfId="10132"/>
    <cellStyle name="Normal 2 2 2 7 6" xfId="10133"/>
    <cellStyle name="Normal 2 2 2 7 6 2" xfId="10134"/>
    <cellStyle name="Normal 2 2 2 7 7" xfId="10135"/>
    <cellStyle name="Normal 2 2 2 8" xfId="568"/>
    <cellStyle name="Normal 2 2 2 8 2" xfId="1248"/>
    <cellStyle name="Normal 2 2 2 8 2 2" xfId="2608"/>
    <cellStyle name="Normal 2 2 2 8 2 2 2" xfId="5328"/>
    <cellStyle name="Normal 2 2 2 8 2 2 2 2" xfId="10136"/>
    <cellStyle name="Normal 2 2 2 8 2 2 2 2 2" xfId="10137"/>
    <cellStyle name="Normal 2 2 2 8 2 2 2 2 2 2" xfId="10138"/>
    <cellStyle name="Normal 2 2 2 8 2 2 2 2 3" xfId="10139"/>
    <cellStyle name="Normal 2 2 2 8 2 2 2 3" xfId="10140"/>
    <cellStyle name="Normal 2 2 2 8 2 2 2 3 2" xfId="10141"/>
    <cellStyle name="Normal 2 2 2 8 2 2 2 4" xfId="10142"/>
    <cellStyle name="Normal 2 2 2 8 2 2 3" xfId="10143"/>
    <cellStyle name="Normal 2 2 2 8 2 2 3 2" xfId="10144"/>
    <cellStyle name="Normal 2 2 2 8 2 2 3 2 2" xfId="10145"/>
    <cellStyle name="Normal 2 2 2 8 2 2 3 3" xfId="10146"/>
    <cellStyle name="Normal 2 2 2 8 2 2 4" xfId="10147"/>
    <cellStyle name="Normal 2 2 2 8 2 2 4 2" xfId="10148"/>
    <cellStyle name="Normal 2 2 2 8 2 2 5" xfId="10149"/>
    <cellStyle name="Normal 2 2 2 8 2 3" xfId="3968"/>
    <cellStyle name="Normal 2 2 2 8 2 3 2" xfId="10150"/>
    <cellStyle name="Normal 2 2 2 8 2 3 2 2" xfId="10151"/>
    <cellStyle name="Normal 2 2 2 8 2 3 2 2 2" xfId="10152"/>
    <cellStyle name="Normal 2 2 2 8 2 3 2 3" xfId="10153"/>
    <cellStyle name="Normal 2 2 2 8 2 3 3" xfId="10154"/>
    <cellStyle name="Normal 2 2 2 8 2 3 3 2" xfId="10155"/>
    <cellStyle name="Normal 2 2 2 8 2 3 4" xfId="10156"/>
    <cellStyle name="Normal 2 2 2 8 2 4" xfId="10157"/>
    <cellStyle name="Normal 2 2 2 8 2 4 2" xfId="10158"/>
    <cellStyle name="Normal 2 2 2 8 2 4 2 2" xfId="10159"/>
    <cellStyle name="Normal 2 2 2 8 2 4 3" xfId="10160"/>
    <cellStyle name="Normal 2 2 2 8 2 5" xfId="10161"/>
    <cellStyle name="Normal 2 2 2 8 2 5 2" xfId="10162"/>
    <cellStyle name="Normal 2 2 2 8 2 6" xfId="10163"/>
    <cellStyle name="Normal 2 2 2 8 3" xfId="1928"/>
    <cellStyle name="Normal 2 2 2 8 3 2" xfId="4648"/>
    <cellStyle name="Normal 2 2 2 8 3 2 2" xfId="10164"/>
    <cellStyle name="Normal 2 2 2 8 3 2 2 2" xfId="10165"/>
    <cellStyle name="Normal 2 2 2 8 3 2 2 2 2" xfId="10166"/>
    <cellStyle name="Normal 2 2 2 8 3 2 2 3" xfId="10167"/>
    <cellStyle name="Normal 2 2 2 8 3 2 3" xfId="10168"/>
    <cellStyle name="Normal 2 2 2 8 3 2 3 2" xfId="10169"/>
    <cellStyle name="Normal 2 2 2 8 3 2 4" xfId="10170"/>
    <cellStyle name="Normal 2 2 2 8 3 3" xfId="10171"/>
    <cellStyle name="Normal 2 2 2 8 3 3 2" xfId="10172"/>
    <cellStyle name="Normal 2 2 2 8 3 3 2 2" xfId="10173"/>
    <cellStyle name="Normal 2 2 2 8 3 3 3" xfId="10174"/>
    <cellStyle name="Normal 2 2 2 8 3 4" xfId="10175"/>
    <cellStyle name="Normal 2 2 2 8 3 4 2" xfId="10176"/>
    <cellStyle name="Normal 2 2 2 8 3 5" xfId="10177"/>
    <cellStyle name="Normal 2 2 2 8 4" xfId="3288"/>
    <cellStyle name="Normal 2 2 2 8 4 2" xfId="10178"/>
    <cellStyle name="Normal 2 2 2 8 4 2 2" xfId="10179"/>
    <cellStyle name="Normal 2 2 2 8 4 2 2 2" xfId="10180"/>
    <cellStyle name="Normal 2 2 2 8 4 2 3" xfId="10181"/>
    <cellStyle name="Normal 2 2 2 8 4 3" xfId="10182"/>
    <cellStyle name="Normal 2 2 2 8 4 3 2" xfId="10183"/>
    <cellStyle name="Normal 2 2 2 8 4 4" xfId="10184"/>
    <cellStyle name="Normal 2 2 2 8 5" xfId="10185"/>
    <cellStyle name="Normal 2 2 2 8 5 2" xfId="10186"/>
    <cellStyle name="Normal 2 2 2 8 5 2 2" xfId="10187"/>
    <cellStyle name="Normal 2 2 2 8 5 3" xfId="10188"/>
    <cellStyle name="Normal 2 2 2 8 6" xfId="10189"/>
    <cellStyle name="Normal 2 2 2 8 6 2" xfId="10190"/>
    <cellStyle name="Normal 2 2 2 8 7" xfId="10191"/>
    <cellStyle name="Normal 2 2 2 9" xfId="704"/>
    <cellStyle name="Normal 2 2 2 9 2" xfId="2064"/>
    <cellStyle name="Normal 2 2 2 9 2 2" xfId="4784"/>
    <cellStyle name="Normal 2 2 2 9 2 2 2" xfId="10192"/>
    <cellStyle name="Normal 2 2 2 9 2 2 2 2" xfId="10193"/>
    <cellStyle name="Normal 2 2 2 9 2 2 2 2 2" xfId="10194"/>
    <cellStyle name="Normal 2 2 2 9 2 2 2 3" xfId="10195"/>
    <cellStyle name="Normal 2 2 2 9 2 2 3" xfId="10196"/>
    <cellStyle name="Normal 2 2 2 9 2 2 3 2" xfId="10197"/>
    <cellStyle name="Normal 2 2 2 9 2 2 4" xfId="10198"/>
    <cellStyle name="Normal 2 2 2 9 2 3" xfId="10199"/>
    <cellStyle name="Normal 2 2 2 9 2 3 2" xfId="10200"/>
    <cellStyle name="Normal 2 2 2 9 2 3 2 2" xfId="10201"/>
    <cellStyle name="Normal 2 2 2 9 2 3 3" xfId="10202"/>
    <cellStyle name="Normal 2 2 2 9 2 4" xfId="10203"/>
    <cellStyle name="Normal 2 2 2 9 2 4 2" xfId="10204"/>
    <cellStyle name="Normal 2 2 2 9 2 5" xfId="10205"/>
    <cellStyle name="Normal 2 2 2 9 3" xfId="3424"/>
    <cellStyle name="Normal 2 2 2 9 3 2" xfId="10206"/>
    <cellStyle name="Normal 2 2 2 9 3 2 2" xfId="10207"/>
    <cellStyle name="Normal 2 2 2 9 3 2 2 2" xfId="10208"/>
    <cellStyle name="Normal 2 2 2 9 3 2 3" xfId="10209"/>
    <cellStyle name="Normal 2 2 2 9 3 3" xfId="10210"/>
    <cellStyle name="Normal 2 2 2 9 3 3 2" xfId="10211"/>
    <cellStyle name="Normal 2 2 2 9 3 4" xfId="10212"/>
    <cellStyle name="Normal 2 2 2 9 4" xfId="10213"/>
    <cellStyle name="Normal 2 2 2 9 4 2" xfId="10214"/>
    <cellStyle name="Normal 2 2 2 9 4 2 2" xfId="10215"/>
    <cellStyle name="Normal 2 2 2 9 4 3" xfId="10216"/>
    <cellStyle name="Normal 2 2 2 9 5" xfId="10217"/>
    <cellStyle name="Normal 2 2 2 9 5 2" xfId="10218"/>
    <cellStyle name="Normal 2 2 2 9 6" xfId="10219"/>
    <cellStyle name="Normal 2 2 3" xfId="18"/>
    <cellStyle name="Normal 2 2 3 10" xfId="2743"/>
    <cellStyle name="Normal 2 2 3 10 2" xfId="10220"/>
    <cellStyle name="Normal 2 2 3 10 2 2" xfId="10221"/>
    <cellStyle name="Normal 2 2 3 10 2 2 2" xfId="10222"/>
    <cellStyle name="Normal 2 2 3 10 2 3" xfId="10223"/>
    <cellStyle name="Normal 2 2 3 10 3" xfId="10224"/>
    <cellStyle name="Normal 2 2 3 10 3 2" xfId="10225"/>
    <cellStyle name="Normal 2 2 3 10 4" xfId="10226"/>
    <cellStyle name="Normal 2 2 3 11" xfId="10227"/>
    <cellStyle name="Normal 2 2 3 11 2" xfId="10228"/>
    <cellStyle name="Normal 2 2 3 11 2 2" xfId="10229"/>
    <cellStyle name="Normal 2 2 3 11 3" xfId="10230"/>
    <cellStyle name="Normal 2 2 3 12" xfId="10231"/>
    <cellStyle name="Normal 2 2 3 12 2" xfId="10232"/>
    <cellStyle name="Normal 2 2 3 13" xfId="10233"/>
    <cellStyle name="Normal 2 2 3 2" xfId="38"/>
    <cellStyle name="Normal 2 2 3 2 10" xfId="10234"/>
    <cellStyle name="Normal 2 2 3 2 10 2" xfId="10235"/>
    <cellStyle name="Normal 2 2 3 2 10 2 2" xfId="10236"/>
    <cellStyle name="Normal 2 2 3 2 10 3" xfId="10237"/>
    <cellStyle name="Normal 2 2 3 2 11" xfId="10238"/>
    <cellStyle name="Normal 2 2 3 2 11 2" xfId="10239"/>
    <cellStyle name="Normal 2 2 3 2 12" xfId="10240"/>
    <cellStyle name="Normal 2 2 3 2 2" xfId="73"/>
    <cellStyle name="Normal 2 2 3 2 2 10" xfId="10241"/>
    <cellStyle name="Normal 2 2 3 2 2 10 2" xfId="10242"/>
    <cellStyle name="Normal 2 2 3 2 2 11" xfId="10243"/>
    <cellStyle name="Normal 2 2 3 2 2 2" xfId="141"/>
    <cellStyle name="Normal 2 2 3 2 2 2 10" xfId="10244"/>
    <cellStyle name="Normal 2 2 3 2 2 2 2" xfId="278"/>
    <cellStyle name="Normal 2 2 3 2 2 2 2 2" xfId="550"/>
    <cellStyle name="Normal 2 2 3 2 2 2 2 2 2" xfId="1230"/>
    <cellStyle name="Normal 2 2 3 2 2 2 2 2 2 2" xfId="2590"/>
    <cellStyle name="Normal 2 2 3 2 2 2 2 2 2 2 2" xfId="5310"/>
    <cellStyle name="Normal 2 2 3 2 2 2 2 2 2 2 2 2" xfId="10245"/>
    <cellStyle name="Normal 2 2 3 2 2 2 2 2 2 2 2 2 2" xfId="10246"/>
    <cellStyle name="Normal 2 2 3 2 2 2 2 2 2 2 2 2 2 2" xfId="10247"/>
    <cellStyle name="Normal 2 2 3 2 2 2 2 2 2 2 2 2 3" xfId="10248"/>
    <cellStyle name="Normal 2 2 3 2 2 2 2 2 2 2 2 3" xfId="10249"/>
    <cellStyle name="Normal 2 2 3 2 2 2 2 2 2 2 2 3 2" xfId="10250"/>
    <cellStyle name="Normal 2 2 3 2 2 2 2 2 2 2 2 4" xfId="10251"/>
    <cellStyle name="Normal 2 2 3 2 2 2 2 2 2 2 3" xfId="10252"/>
    <cellStyle name="Normal 2 2 3 2 2 2 2 2 2 2 3 2" xfId="10253"/>
    <cellStyle name="Normal 2 2 3 2 2 2 2 2 2 2 3 2 2" xfId="10254"/>
    <cellStyle name="Normal 2 2 3 2 2 2 2 2 2 2 3 3" xfId="10255"/>
    <cellStyle name="Normal 2 2 3 2 2 2 2 2 2 2 4" xfId="10256"/>
    <cellStyle name="Normal 2 2 3 2 2 2 2 2 2 2 4 2" xfId="10257"/>
    <cellStyle name="Normal 2 2 3 2 2 2 2 2 2 2 5" xfId="10258"/>
    <cellStyle name="Normal 2 2 3 2 2 2 2 2 2 3" xfId="3950"/>
    <cellStyle name="Normal 2 2 3 2 2 2 2 2 2 3 2" xfId="10259"/>
    <cellStyle name="Normal 2 2 3 2 2 2 2 2 2 3 2 2" xfId="10260"/>
    <cellStyle name="Normal 2 2 3 2 2 2 2 2 2 3 2 2 2" xfId="10261"/>
    <cellStyle name="Normal 2 2 3 2 2 2 2 2 2 3 2 3" xfId="10262"/>
    <cellStyle name="Normal 2 2 3 2 2 2 2 2 2 3 3" xfId="10263"/>
    <cellStyle name="Normal 2 2 3 2 2 2 2 2 2 3 3 2" xfId="10264"/>
    <cellStyle name="Normal 2 2 3 2 2 2 2 2 2 3 4" xfId="10265"/>
    <cellStyle name="Normal 2 2 3 2 2 2 2 2 2 4" xfId="10266"/>
    <cellStyle name="Normal 2 2 3 2 2 2 2 2 2 4 2" xfId="10267"/>
    <cellStyle name="Normal 2 2 3 2 2 2 2 2 2 4 2 2" xfId="10268"/>
    <cellStyle name="Normal 2 2 3 2 2 2 2 2 2 4 3" xfId="10269"/>
    <cellStyle name="Normal 2 2 3 2 2 2 2 2 2 5" xfId="10270"/>
    <cellStyle name="Normal 2 2 3 2 2 2 2 2 2 5 2" xfId="10271"/>
    <cellStyle name="Normal 2 2 3 2 2 2 2 2 2 6" xfId="10272"/>
    <cellStyle name="Normal 2 2 3 2 2 2 2 2 3" xfId="1910"/>
    <cellStyle name="Normal 2 2 3 2 2 2 2 2 3 2" xfId="4630"/>
    <cellStyle name="Normal 2 2 3 2 2 2 2 2 3 2 2" xfId="10273"/>
    <cellStyle name="Normal 2 2 3 2 2 2 2 2 3 2 2 2" xfId="10274"/>
    <cellStyle name="Normal 2 2 3 2 2 2 2 2 3 2 2 2 2" xfId="10275"/>
    <cellStyle name="Normal 2 2 3 2 2 2 2 2 3 2 2 3" xfId="10276"/>
    <cellStyle name="Normal 2 2 3 2 2 2 2 2 3 2 3" xfId="10277"/>
    <cellStyle name="Normal 2 2 3 2 2 2 2 2 3 2 3 2" xfId="10278"/>
    <cellStyle name="Normal 2 2 3 2 2 2 2 2 3 2 4" xfId="10279"/>
    <cellStyle name="Normal 2 2 3 2 2 2 2 2 3 3" xfId="10280"/>
    <cellStyle name="Normal 2 2 3 2 2 2 2 2 3 3 2" xfId="10281"/>
    <cellStyle name="Normal 2 2 3 2 2 2 2 2 3 3 2 2" xfId="10282"/>
    <cellStyle name="Normal 2 2 3 2 2 2 2 2 3 3 3" xfId="10283"/>
    <cellStyle name="Normal 2 2 3 2 2 2 2 2 3 4" xfId="10284"/>
    <cellStyle name="Normal 2 2 3 2 2 2 2 2 3 4 2" xfId="10285"/>
    <cellStyle name="Normal 2 2 3 2 2 2 2 2 3 5" xfId="10286"/>
    <cellStyle name="Normal 2 2 3 2 2 2 2 2 4" xfId="3270"/>
    <cellStyle name="Normal 2 2 3 2 2 2 2 2 4 2" xfId="10287"/>
    <cellStyle name="Normal 2 2 3 2 2 2 2 2 4 2 2" xfId="10288"/>
    <cellStyle name="Normal 2 2 3 2 2 2 2 2 4 2 2 2" xfId="10289"/>
    <cellStyle name="Normal 2 2 3 2 2 2 2 2 4 2 3" xfId="10290"/>
    <cellStyle name="Normal 2 2 3 2 2 2 2 2 4 3" xfId="10291"/>
    <cellStyle name="Normal 2 2 3 2 2 2 2 2 4 3 2" xfId="10292"/>
    <cellStyle name="Normal 2 2 3 2 2 2 2 2 4 4" xfId="10293"/>
    <cellStyle name="Normal 2 2 3 2 2 2 2 2 5" xfId="10294"/>
    <cellStyle name="Normal 2 2 3 2 2 2 2 2 5 2" xfId="10295"/>
    <cellStyle name="Normal 2 2 3 2 2 2 2 2 5 2 2" xfId="10296"/>
    <cellStyle name="Normal 2 2 3 2 2 2 2 2 5 3" xfId="10297"/>
    <cellStyle name="Normal 2 2 3 2 2 2 2 2 6" xfId="10298"/>
    <cellStyle name="Normal 2 2 3 2 2 2 2 2 6 2" xfId="10299"/>
    <cellStyle name="Normal 2 2 3 2 2 2 2 2 7" xfId="10300"/>
    <cellStyle name="Normal 2 2 3 2 2 2 2 3" xfId="958"/>
    <cellStyle name="Normal 2 2 3 2 2 2 2 3 2" xfId="2318"/>
    <cellStyle name="Normal 2 2 3 2 2 2 2 3 2 2" xfId="5038"/>
    <cellStyle name="Normal 2 2 3 2 2 2 2 3 2 2 2" xfId="10301"/>
    <cellStyle name="Normal 2 2 3 2 2 2 2 3 2 2 2 2" xfId="10302"/>
    <cellStyle name="Normal 2 2 3 2 2 2 2 3 2 2 2 2 2" xfId="10303"/>
    <cellStyle name="Normal 2 2 3 2 2 2 2 3 2 2 2 3" xfId="10304"/>
    <cellStyle name="Normal 2 2 3 2 2 2 2 3 2 2 3" xfId="10305"/>
    <cellStyle name="Normal 2 2 3 2 2 2 2 3 2 2 3 2" xfId="10306"/>
    <cellStyle name="Normal 2 2 3 2 2 2 2 3 2 2 4" xfId="10307"/>
    <cellStyle name="Normal 2 2 3 2 2 2 2 3 2 3" xfId="10308"/>
    <cellStyle name="Normal 2 2 3 2 2 2 2 3 2 3 2" xfId="10309"/>
    <cellStyle name="Normal 2 2 3 2 2 2 2 3 2 3 2 2" xfId="10310"/>
    <cellStyle name="Normal 2 2 3 2 2 2 2 3 2 3 3" xfId="10311"/>
    <cellStyle name="Normal 2 2 3 2 2 2 2 3 2 4" xfId="10312"/>
    <cellStyle name="Normal 2 2 3 2 2 2 2 3 2 4 2" xfId="10313"/>
    <cellStyle name="Normal 2 2 3 2 2 2 2 3 2 5" xfId="10314"/>
    <cellStyle name="Normal 2 2 3 2 2 2 2 3 3" xfId="3678"/>
    <cellStyle name="Normal 2 2 3 2 2 2 2 3 3 2" xfId="10315"/>
    <cellStyle name="Normal 2 2 3 2 2 2 2 3 3 2 2" xfId="10316"/>
    <cellStyle name="Normal 2 2 3 2 2 2 2 3 3 2 2 2" xfId="10317"/>
    <cellStyle name="Normal 2 2 3 2 2 2 2 3 3 2 3" xfId="10318"/>
    <cellStyle name="Normal 2 2 3 2 2 2 2 3 3 3" xfId="10319"/>
    <cellStyle name="Normal 2 2 3 2 2 2 2 3 3 3 2" xfId="10320"/>
    <cellStyle name="Normal 2 2 3 2 2 2 2 3 3 4" xfId="10321"/>
    <cellStyle name="Normal 2 2 3 2 2 2 2 3 4" xfId="10322"/>
    <cellStyle name="Normal 2 2 3 2 2 2 2 3 4 2" xfId="10323"/>
    <cellStyle name="Normal 2 2 3 2 2 2 2 3 4 2 2" xfId="10324"/>
    <cellStyle name="Normal 2 2 3 2 2 2 2 3 4 3" xfId="10325"/>
    <cellStyle name="Normal 2 2 3 2 2 2 2 3 5" xfId="10326"/>
    <cellStyle name="Normal 2 2 3 2 2 2 2 3 5 2" xfId="10327"/>
    <cellStyle name="Normal 2 2 3 2 2 2 2 3 6" xfId="10328"/>
    <cellStyle name="Normal 2 2 3 2 2 2 2 4" xfId="1638"/>
    <cellStyle name="Normal 2 2 3 2 2 2 2 4 2" xfId="4358"/>
    <cellStyle name="Normal 2 2 3 2 2 2 2 4 2 2" xfId="10329"/>
    <cellStyle name="Normal 2 2 3 2 2 2 2 4 2 2 2" xfId="10330"/>
    <cellStyle name="Normal 2 2 3 2 2 2 2 4 2 2 2 2" xfId="10331"/>
    <cellStyle name="Normal 2 2 3 2 2 2 2 4 2 2 3" xfId="10332"/>
    <cellStyle name="Normal 2 2 3 2 2 2 2 4 2 3" xfId="10333"/>
    <cellStyle name="Normal 2 2 3 2 2 2 2 4 2 3 2" xfId="10334"/>
    <cellStyle name="Normal 2 2 3 2 2 2 2 4 2 4" xfId="10335"/>
    <cellStyle name="Normal 2 2 3 2 2 2 2 4 3" xfId="10336"/>
    <cellStyle name="Normal 2 2 3 2 2 2 2 4 3 2" xfId="10337"/>
    <cellStyle name="Normal 2 2 3 2 2 2 2 4 3 2 2" xfId="10338"/>
    <cellStyle name="Normal 2 2 3 2 2 2 2 4 3 3" xfId="10339"/>
    <cellStyle name="Normal 2 2 3 2 2 2 2 4 4" xfId="10340"/>
    <cellStyle name="Normal 2 2 3 2 2 2 2 4 4 2" xfId="10341"/>
    <cellStyle name="Normal 2 2 3 2 2 2 2 4 5" xfId="10342"/>
    <cellStyle name="Normal 2 2 3 2 2 2 2 5" xfId="2998"/>
    <cellStyle name="Normal 2 2 3 2 2 2 2 5 2" xfId="10343"/>
    <cellStyle name="Normal 2 2 3 2 2 2 2 5 2 2" xfId="10344"/>
    <cellStyle name="Normal 2 2 3 2 2 2 2 5 2 2 2" xfId="10345"/>
    <cellStyle name="Normal 2 2 3 2 2 2 2 5 2 3" xfId="10346"/>
    <cellStyle name="Normal 2 2 3 2 2 2 2 5 3" xfId="10347"/>
    <cellStyle name="Normal 2 2 3 2 2 2 2 5 3 2" xfId="10348"/>
    <cellStyle name="Normal 2 2 3 2 2 2 2 5 4" xfId="10349"/>
    <cellStyle name="Normal 2 2 3 2 2 2 2 6" xfId="10350"/>
    <cellStyle name="Normal 2 2 3 2 2 2 2 6 2" xfId="10351"/>
    <cellStyle name="Normal 2 2 3 2 2 2 2 6 2 2" xfId="10352"/>
    <cellStyle name="Normal 2 2 3 2 2 2 2 6 3" xfId="10353"/>
    <cellStyle name="Normal 2 2 3 2 2 2 2 7" xfId="10354"/>
    <cellStyle name="Normal 2 2 3 2 2 2 2 7 2" xfId="10355"/>
    <cellStyle name="Normal 2 2 3 2 2 2 2 8" xfId="10356"/>
    <cellStyle name="Normal 2 2 3 2 2 2 3" xfId="414"/>
    <cellStyle name="Normal 2 2 3 2 2 2 3 2" xfId="1094"/>
    <cellStyle name="Normal 2 2 3 2 2 2 3 2 2" xfId="2454"/>
    <cellStyle name="Normal 2 2 3 2 2 2 3 2 2 2" xfId="5174"/>
    <cellStyle name="Normal 2 2 3 2 2 2 3 2 2 2 2" xfId="10357"/>
    <cellStyle name="Normal 2 2 3 2 2 2 3 2 2 2 2 2" xfId="10358"/>
    <cellStyle name="Normal 2 2 3 2 2 2 3 2 2 2 2 2 2" xfId="10359"/>
    <cellStyle name="Normal 2 2 3 2 2 2 3 2 2 2 2 3" xfId="10360"/>
    <cellStyle name="Normal 2 2 3 2 2 2 3 2 2 2 3" xfId="10361"/>
    <cellStyle name="Normal 2 2 3 2 2 2 3 2 2 2 3 2" xfId="10362"/>
    <cellStyle name="Normal 2 2 3 2 2 2 3 2 2 2 4" xfId="10363"/>
    <cellStyle name="Normal 2 2 3 2 2 2 3 2 2 3" xfId="10364"/>
    <cellStyle name="Normal 2 2 3 2 2 2 3 2 2 3 2" xfId="10365"/>
    <cellStyle name="Normal 2 2 3 2 2 2 3 2 2 3 2 2" xfId="10366"/>
    <cellStyle name="Normal 2 2 3 2 2 2 3 2 2 3 3" xfId="10367"/>
    <cellStyle name="Normal 2 2 3 2 2 2 3 2 2 4" xfId="10368"/>
    <cellStyle name="Normal 2 2 3 2 2 2 3 2 2 4 2" xfId="10369"/>
    <cellStyle name="Normal 2 2 3 2 2 2 3 2 2 5" xfId="10370"/>
    <cellStyle name="Normal 2 2 3 2 2 2 3 2 3" xfId="3814"/>
    <cellStyle name="Normal 2 2 3 2 2 2 3 2 3 2" xfId="10371"/>
    <cellStyle name="Normal 2 2 3 2 2 2 3 2 3 2 2" xfId="10372"/>
    <cellStyle name="Normal 2 2 3 2 2 2 3 2 3 2 2 2" xfId="10373"/>
    <cellStyle name="Normal 2 2 3 2 2 2 3 2 3 2 3" xfId="10374"/>
    <cellStyle name="Normal 2 2 3 2 2 2 3 2 3 3" xfId="10375"/>
    <cellStyle name="Normal 2 2 3 2 2 2 3 2 3 3 2" xfId="10376"/>
    <cellStyle name="Normal 2 2 3 2 2 2 3 2 3 4" xfId="10377"/>
    <cellStyle name="Normal 2 2 3 2 2 2 3 2 4" xfId="10378"/>
    <cellStyle name="Normal 2 2 3 2 2 2 3 2 4 2" xfId="10379"/>
    <cellStyle name="Normal 2 2 3 2 2 2 3 2 4 2 2" xfId="10380"/>
    <cellStyle name="Normal 2 2 3 2 2 2 3 2 4 3" xfId="10381"/>
    <cellStyle name="Normal 2 2 3 2 2 2 3 2 5" xfId="10382"/>
    <cellStyle name="Normal 2 2 3 2 2 2 3 2 5 2" xfId="10383"/>
    <cellStyle name="Normal 2 2 3 2 2 2 3 2 6" xfId="10384"/>
    <cellStyle name="Normal 2 2 3 2 2 2 3 3" xfId="1774"/>
    <cellStyle name="Normal 2 2 3 2 2 2 3 3 2" xfId="4494"/>
    <cellStyle name="Normal 2 2 3 2 2 2 3 3 2 2" xfId="10385"/>
    <cellStyle name="Normal 2 2 3 2 2 2 3 3 2 2 2" xfId="10386"/>
    <cellStyle name="Normal 2 2 3 2 2 2 3 3 2 2 2 2" xfId="10387"/>
    <cellStyle name="Normal 2 2 3 2 2 2 3 3 2 2 3" xfId="10388"/>
    <cellStyle name="Normal 2 2 3 2 2 2 3 3 2 3" xfId="10389"/>
    <cellStyle name="Normal 2 2 3 2 2 2 3 3 2 3 2" xfId="10390"/>
    <cellStyle name="Normal 2 2 3 2 2 2 3 3 2 4" xfId="10391"/>
    <cellStyle name="Normal 2 2 3 2 2 2 3 3 3" xfId="10392"/>
    <cellStyle name="Normal 2 2 3 2 2 2 3 3 3 2" xfId="10393"/>
    <cellStyle name="Normal 2 2 3 2 2 2 3 3 3 2 2" xfId="10394"/>
    <cellStyle name="Normal 2 2 3 2 2 2 3 3 3 3" xfId="10395"/>
    <cellStyle name="Normal 2 2 3 2 2 2 3 3 4" xfId="10396"/>
    <cellStyle name="Normal 2 2 3 2 2 2 3 3 4 2" xfId="10397"/>
    <cellStyle name="Normal 2 2 3 2 2 2 3 3 5" xfId="10398"/>
    <cellStyle name="Normal 2 2 3 2 2 2 3 4" xfId="3134"/>
    <cellStyle name="Normal 2 2 3 2 2 2 3 4 2" xfId="10399"/>
    <cellStyle name="Normal 2 2 3 2 2 2 3 4 2 2" xfId="10400"/>
    <cellStyle name="Normal 2 2 3 2 2 2 3 4 2 2 2" xfId="10401"/>
    <cellStyle name="Normal 2 2 3 2 2 2 3 4 2 3" xfId="10402"/>
    <cellStyle name="Normal 2 2 3 2 2 2 3 4 3" xfId="10403"/>
    <cellStyle name="Normal 2 2 3 2 2 2 3 4 3 2" xfId="10404"/>
    <cellStyle name="Normal 2 2 3 2 2 2 3 4 4" xfId="10405"/>
    <cellStyle name="Normal 2 2 3 2 2 2 3 5" xfId="10406"/>
    <cellStyle name="Normal 2 2 3 2 2 2 3 5 2" xfId="10407"/>
    <cellStyle name="Normal 2 2 3 2 2 2 3 5 2 2" xfId="10408"/>
    <cellStyle name="Normal 2 2 3 2 2 2 3 5 3" xfId="10409"/>
    <cellStyle name="Normal 2 2 3 2 2 2 3 6" xfId="10410"/>
    <cellStyle name="Normal 2 2 3 2 2 2 3 6 2" xfId="10411"/>
    <cellStyle name="Normal 2 2 3 2 2 2 3 7" xfId="10412"/>
    <cellStyle name="Normal 2 2 3 2 2 2 4" xfId="686"/>
    <cellStyle name="Normal 2 2 3 2 2 2 4 2" xfId="1366"/>
    <cellStyle name="Normal 2 2 3 2 2 2 4 2 2" xfId="2726"/>
    <cellStyle name="Normal 2 2 3 2 2 2 4 2 2 2" xfId="5446"/>
    <cellStyle name="Normal 2 2 3 2 2 2 4 2 2 2 2" xfId="10413"/>
    <cellStyle name="Normal 2 2 3 2 2 2 4 2 2 2 2 2" xfId="10414"/>
    <cellStyle name="Normal 2 2 3 2 2 2 4 2 2 2 2 2 2" xfId="10415"/>
    <cellStyle name="Normal 2 2 3 2 2 2 4 2 2 2 2 3" xfId="10416"/>
    <cellStyle name="Normal 2 2 3 2 2 2 4 2 2 2 3" xfId="10417"/>
    <cellStyle name="Normal 2 2 3 2 2 2 4 2 2 2 3 2" xfId="10418"/>
    <cellStyle name="Normal 2 2 3 2 2 2 4 2 2 2 4" xfId="10419"/>
    <cellStyle name="Normal 2 2 3 2 2 2 4 2 2 3" xfId="10420"/>
    <cellStyle name="Normal 2 2 3 2 2 2 4 2 2 3 2" xfId="10421"/>
    <cellStyle name="Normal 2 2 3 2 2 2 4 2 2 3 2 2" xfId="10422"/>
    <cellStyle name="Normal 2 2 3 2 2 2 4 2 2 3 3" xfId="10423"/>
    <cellStyle name="Normal 2 2 3 2 2 2 4 2 2 4" xfId="10424"/>
    <cellStyle name="Normal 2 2 3 2 2 2 4 2 2 4 2" xfId="10425"/>
    <cellStyle name="Normal 2 2 3 2 2 2 4 2 2 5" xfId="10426"/>
    <cellStyle name="Normal 2 2 3 2 2 2 4 2 3" xfId="4086"/>
    <cellStyle name="Normal 2 2 3 2 2 2 4 2 3 2" xfId="10427"/>
    <cellStyle name="Normal 2 2 3 2 2 2 4 2 3 2 2" xfId="10428"/>
    <cellStyle name="Normal 2 2 3 2 2 2 4 2 3 2 2 2" xfId="10429"/>
    <cellStyle name="Normal 2 2 3 2 2 2 4 2 3 2 3" xfId="10430"/>
    <cellStyle name="Normal 2 2 3 2 2 2 4 2 3 3" xfId="10431"/>
    <cellStyle name="Normal 2 2 3 2 2 2 4 2 3 3 2" xfId="10432"/>
    <cellStyle name="Normal 2 2 3 2 2 2 4 2 3 4" xfId="10433"/>
    <cellStyle name="Normal 2 2 3 2 2 2 4 2 4" xfId="10434"/>
    <cellStyle name="Normal 2 2 3 2 2 2 4 2 4 2" xfId="10435"/>
    <cellStyle name="Normal 2 2 3 2 2 2 4 2 4 2 2" xfId="10436"/>
    <cellStyle name="Normal 2 2 3 2 2 2 4 2 4 3" xfId="10437"/>
    <cellStyle name="Normal 2 2 3 2 2 2 4 2 5" xfId="10438"/>
    <cellStyle name="Normal 2 2 3 2 2 2 4 2 5 2" xfId="10439"/>
    <cellStyle name="Normal 2 2 3 2 2 2 4 2 6" xfId="10440"/>
    <cellStyle name="Normal 2 2 3 2 2 2 4 3" xfId="2046"/>
    <cellStyle name="Normal 2 2 3 2 2 2 4 3 2" xfId="4766"/>
    <cellStyle name="Normal 2 2 3 2 2 2 4 3 2 2" xfId="10441"/>
    <cellStyle name="Normal 2 2 3 2 2 2 4 3 2 2 2" xfId="10442"/>
    <cellStyle name="Normal 2 2 3 2 2 2 4 3 2 2 2 2" xfId="10443"/>
    <cellStyle name="Normal 2 2 3 2 2 2 4 3 2 2 3" xfId="10444"/>
    <cellStyle name="Normal 2 2 3 2 2 2 4 3 2 3" xfId="10445"/>
    <cellStyle name="Normal 2 2 3 2 2 2 4 3 2 3 2" xfId="10446"/>
    <cellStyle name="Normal 2 2 3 2 2 2 4 3 2 4" xfId="10447"/>
    <cellStyle name="Normal 2 2 3 2 2 2 4 3 3" xfId="10448"/>
    <cellStyle name="Normal 2 2 3 2 2 2 4 3 3 2" xfId="10449"/>
    <cellStyle name="Normal 2 2 3 2 2 2 4 3 3 2 2" xfId="10450"/>
    <cellStyle name="Normal 2 2 3 2 2 2 4 3 3 3" xfId="10451"/>
    <cellStyle name="Normal 2 2 3 2 2 2 4 3 4" xfId="10452"/>
    <cellStyle name="Normal 2 2 3 2 2 2 4 3 4 2" xfId="10453"/>
    <cellStyle name="Normal 2 2 3 2 2 2 4 3 5" xfId="10454"/>
    <cellStyle name="Normal 2 2 3 2 2 2 4 4" xfId="3406"/>
    <cellStyle name="Normal 2 2 3 2 2 2 4 4 2" xfId="10455"/>
    <cellStyle name="Normal 2 2 3 2 2 2 4 4 2 2" xfId="10456"/>
    <cellStyle name="Normal 2 2 3 2 2 2 4 4 2 2 2" xfId="10457"/>
    <cellStyle name="Normal 2 2 3 2 2 2 4 4 2 3" xfId="10458"/>
    <cellStyle name="Normal 2 2 3 2 2 2 4 4 3" xfId="10459"/>
    <cellStyle name="Normal 2 2 3 2 2 2 4 4 3 2" xfId="10460"/>
    <cellStyle name="Normal 2 2 3 2 2 2 4 4 4" xfId="10461"/>
    <cellStyle name="Normal 2 2 3 2 2 2 4 5" xfId="10462"/>
    <cellStyle name="Normal 2 2 3 2 2 2 4 5 2" xfId="10463"/>
    <cellStyle name="Normal 2 2 3 2 2 2 4 5 2 2" xfId="10464"/>
    <cellStyle name="Normal 2 2 3 2 2 2 4 5 3" xfId="10465"/>
    <cellStyle name="Normal 2 2 3 2 2 2 4 6" xfId="10466"/>
    <cellStyle name="Normal 2 2 3 2 2 2 4 6 2" xfId="10467"/>
    <cellStyle name="Normal 2 2 3 2 2 2 4 7" xfId="10468"/>
    <cellStyle name="Normal 2 2 3 2 2 2 5" xfId="822"/>
    <cellStyle name="Normal 2 2 3 2 2 2 5 2" xfId="2182"/>
    <cellStyle name="Normal 2 2 3 2 2 2 5 2 2" xfId="4902"/>
    <cellStyle name="Normal 2 2 3 2 2 2 5 2 2 2" xfId="10469"/>
    <cellStyle name="Normal 2 2 3 2 2 2 5 2 2 2 2" xfId="10470"/>
    <cellStyle name="Normal 2 2 3 2 2 2 5 2 2 2 2 2" xfId="10471"/>
    <cellStyle name="Normal 2 2 3 2 2 2 5 2 2 2 3" xfId="10472"/>
    <cellStyle name="Normal 2 2 3 2 2 2 5 2 2 3" xfId="10473"/>
    <cellStyle name="Normal 2 2 3 2 2 2 5 2 2 3 2" xfId="10474"/>
    <cellStyle name="Normal 2 2 3 2 2 2 5 2 2 4" xfId="10475"/>
    <cellStyle name="Normal 2 2 3 2 2 2 5 2 3" xfId="10476"/>
    <cellStyle name="Normal 2 2 3 2 2 2 5 2 3 2" xfId="10477"/>
    <cellStyle name="Normal 2 2 3 2 2 2 5 2 3 2 2" xfId="10478"/>
    <cellStyle name="Normal 2 2 3 2 2 2 5 2 3 3" xfId="10479"/>
    <cellStyle name="Normal 2 2 3 2 2 2 5 2 4" xfId="10480"/>
    <cellStyle name="Normal 2 2 3 2 2 2 5 2 4 2" xfId="10481"/>
    <cellStyle name="Normal 2 2 3 2 2 2 5 2 5" xfId="10482"/>
    <cellStyle name="Normal 2 2 3 2 2 2 5 3" xfId="3542"/>
    <cellStyle name="Normal 2 2 3 2 2 2 5 3 2" xfId="10483"/>
    <cellStyle name="Normal 2 2 3 2 2 2 5 3 2 2" xfId="10484"/>
    <cellStyle name="Normal 2 2 3 2 2 2 5 3 2 2 2" xfId="10485"/>
    <cellStyle name="Normal 2 2 3 2 2 2 5 3 2 3" xfId="10486"/>
    <cellStyle name="Normal 2 2 3 2 2 2 5 3 3" xfId="10487"/>
    <cellStyle name="Normal 2 2 3 2 2 2 5 3 3 2" xfId="10488"/>
    <cellStyle name="Normal 2 2 3 2 2 2 5 3 4" xfId="10489"/>
    <cellStyle name="Normal 2 2 3 2 2 2 5 4" xfId="10490"/>
    <cellStyle name="Normal 2 2 3 2 2 2 5 4 2" xfId="10491"/>
    <cellStyle name="Normal 2 2 3 2 2 2 5 4 2 2" xfId="10492"/>
    <cellStyle name="Normal 2 2 3 2 2 2 5 4 3" xfId="10493"/>
    <cellStyle name="Normal 2 2 3 2 2 2 5 5" xfId="10494"/>
    <cellStyle name="Normal 2 2 3 2 2 2 5 5 2" xfId="10495"/>
    <cellStyle name="Normal 2 2 3 2 2 2 5 6" xfId="10496"/>
    <cellStyle name="Normal 2 2 3 2 2 2 6" xfId="1502"/>
    <cellStyle name="Normal 2 2 3 2 2 2 6 2" xfId="4222"/>
    <cellStyle name="Normal 2 2 3 2 2 2 6 2 2" xfId="10497"/>
    <cellStyle name="Normal 2 2 3 2 2 2 6 2 2 2" xfId="10498"/>
    <cellStyle name="Normal 2 2 3 2 2 2 6 2 2 2 2" xfId="10499"/>
    <cellStyle name="Normal 2 2 3 2 2 2 6 2 2 3" xfId="10500"/>
    <cellStyle name="Normal 2 2 3 2 2 2 6 2 3" xfId="10501"/>
    <cellStyle name="Normal 2 2 3 2 2 2 6 2 3 2" xfId="10502"/>
    <cellStyle name="Normal 2 2 3 2 2 2 6 2 4" xfId="10503"/>
    <cellStyle name="Normal 2 2 3 2 2 2 6 3" xfId="10504"/>
    <cellStyle name="Normal 2 2 3 2 2 2 6 3 2" xfId="10505"/>
    <cellStyle name="Normal 2 2 3 2 2 2 6 3 2 2" xfId="10506"/>
    <cellStyle name="Normal 2 2 3 2 2 2 6 3 3" xfId="10507"/>
    <cellStyle name="Normal 2 2 3 2 2 2 6 4" xfId="10508"/>
    <cellStyle name="Normal 2 2 3 2 2 2 6 4 2" xfId="10509"/>
    <cellStyle name="Normal 2 2 3 2 2 2 6 5" xfId="10510"/>
    <cellStyle name="Normal 2 2 3 2 2 2 7" xfId="2862"/>
    <cellStyle name="Normal 2 2 3 2 2 2 7 2" xfId="10511"/>
    <cellStyle name="Normal 2 2 3 2 2 2 7 2 2" xfId="10512"/>
    <cellStyle name="Normal 2 2 3 2 2 2 7 2 2 2" xfId="10513"/>
    <cellStyle name="Normal 2 2 3 2 2 2 7 2 3" xfId="10514"/>
    <cellStyle name="Normal 2 2 3 2 2 2 7 3" xfId="10515"/>
    <cellStyle name="Normal 2 2 3 2 2 2 7 3 2" xfId="10516"/>
    <cellStyle name="Normal 2 2 3 2 2 2 7 4" xfId="10517"/>
    <cellStyle name="Normal 2 2 3 2 2 2 8" xfId="10518"/>
    <cellStyle name="Normal 2 2 3 2 2 2 8 2" xfId="10519"/>
    <cellStyle name="Normal 2 2 3 2 2 2 8 2 2" xfId="10520"/>
    <cellStyle name="Normal 2 2 3 2 2 2 8 3" xfId="10521"/>
    <cellStyle name="Normal 2 2 3 2 2 2 9" xfId="10522"/>
    <cellStyle name="Normal 2 2 3 2 2 2 9 2" xfId="10523"/>
    <cellStyle name="Normal 2 2 3 2 2 3" xfId="210"/>
    <cellStyle name="Normal 2 2 3 2 2 3 2" xfId="482"/>
    <cellStyle name="Normal 2 2 3 2 2 3 2 2" xfId="1162"/>
    <cellStyle name="Normal 2 2 3 2 2 3 2 2 2" xfId="2522"/>
    <cellStyle name="Normal 2 2 3 2 2 3 2 2 2 2" xfId="5242"/>
    <cellStyle name="Normal 2 2 3 2 2 3 2 2 2 2 2" xfId="10524"/>
    <cellStyle name="Normal 2 2 3 2 2 3 2 2 2 2 2 2" xfId="10525"/>
    <cellStyle name="Normal 2 2 3 2 2 3 2 2 2 2 2 2 2" xfId="10526"/>
    <cellStyle name="Normal 2 2 3 2 2 3 2 2 2 2 2 3" xfId="10527"/>
    <cellStyle name="Normal 2 2 3 2 2 3 2 2 2 2 3" xfId="10528"/>
    <cellStyle name="Normal 2 2 3 2 2 3 2 2 2 2 3 2" xfId="10529"/>
    <cellStyle name="Normal 2 2 3 2 2 3 2 2 2 2 4" xfId="10530"/>
    <cellStyle name="Normal 2 2 3 2 2 3 2 2 2 3" xfId="10531"/>
    <cellStyle name="Normal 2 2 3 2 2 3 2 2 2 3 2" xfId="10532"/>
    <cellStyle name="Normal 2 2 3 2 2 3 2 2 2 3 2 2" xfId="10533"/>
    <cellStyle name="Normal 2 2 3 2 2 3 2 2 2 3 3" xfId="10534"/>
    <cellStyle name="Normal 2 2 3 2 2 3 2 2 2 4" xfId="10535"/>
    <cellStyle name="Normal 2 2 3 2 2 3 2 2 2 4 2" xfId="10536"/>
    <cellStyle name="Normal 2 2 3 2 2 3 2 2 2 5" xfId="10537"/>
    <cellStyle name="Normal 2 2 3 2 2 3 2 2 3" xfId="3882"/>
    <cellStyle name="Normal 2 2 3 2 2 3 2 2 3 2" xfId="10538"/>
    <cellStyle name="Normal 2 2 3 2 2 3 2 2 3 2 2" xfId="10539"/>
    <cellStyle name="Normal 2 2 3 2 2 3 2 2 3 2 2 2" xfId="10540"/>
    <cellStyle name="Normal 2 2 3 2 2 3 2 2 3 2 3" xfId="10541"/>
    <cellStyle name="Normal 2 2 3 2 2 3 2 2 3 3" xfId="10542"/>
    <cellStyle name="Normal 2 2 3 2 2 3 2 2 3 3 2" xfId="10543"/>
    <cellStyle name="Normal 2 2 3 2 2 3 2 2 3 4" xfId="10544"/>
    <cellStyle name="Normal 2 2 3 2 2 3 2 2 4" xfId="10545"/>
    <cellStyle name="Normal 2 2 3 2 2 3 2 2 4 2" xfId="10546"/>
    <cellStyle name="Normal 2 2 3 2 2 3 2 2 4 2 2" xfId="10547"/>
    <cellStyle name="Normal 2 2 3 2 2 3 2 2 4 3" xfId="10548"/>
    <cellStyle name="Normal 2 2 3 2 2 3 2 2 5" xfId="10549"/>
    <cellStyle name="Normal 2 2 3 2 2 3 2 2 5 2" xfId="10550"/>
    <cellStyle name="Normal 2 2 3 2 2 3 2 2 6" xfId="10551"/>
    <cellStyle name="Normal 2 2 3 2 2 3 2 3" xfId="1842"/>
    <cellStyle name="Normal 2 2 3 2 2 3 2 3 2" xfId="4562"/>
    <cellStyle name="Normal 2 2 3 2 2 3 2 3 2 2" xfId="10552"/>
    <cellStyle name="Normal 2 2 3 2 2 3 2 3 2 2 2" xfId="10553"/>
    <cellStyle name="Normal 2 2 3 2 2 3 2 3 2 2 2 2" xfId="10554"/>
    <cellStyle name="Normal 2 2 3 2 2 3 2 3 2 2 3" xfId="10555"/>
    <cellStyle name="Normal 2 2 3 2 2 3 2 3 2 3" xfId="10556"/>
    <cellStyle name="Normal 2 2 3 2 2 3 2 3 2 3 2" xfId="10557"/>
    <cellStyle name="Normal 2 2 3 2 2 3 2 3 2 4" xfId="10558"/>
    <cellStyle name="Normal 2 2 3 2 2 3 2 3 3" xfId="10559"/>
    <cellStyle name="Normal 2 2 3 2 2 3 2 3 3 2" xfId="10560"/>
    <cellStyle name="Normal 2 2 3 2 2 3 2 3 3 2 2" xfId="10561"/>
    <cellStyle name="Normal 2 2 3 2 2 3 2 3 3 3" xfId="10562"/>
    <cellStyle name="Normal 2 2 3 2 2 3 2 3 4" xfId="10563"/>
    <cellStyle name="Normal 2 2 3 2 2 3 2 3 4 2" xfId="10564"/>
    <cellStyle name="Normal 2 2 3 2 2 3 2 3 5" xfId="10565"/>
    <cellStyle name="Normal 2 2 3 2 2 3 2 4" xfId="3202"/>
    <cellStyle name="Normal 2 2 3 2 2 3 2 4 2" xfId="10566"/>
    <cellStyle name="Normal 2 2 3 2 2 3 2 4 2 2" xfId="10567"/>
    <cellStyle name="Normal 2 2 3 2 2 3 2 4 2 2 2" xfId="10568"/>
    <cellStyle name="Normal 2 2 3 2 2 3 2 4 2 3" xfId="10569"/>
    <cellStyle name="Normal 2 2 3 2 2 3 2 4 3" xfId="10570"/>
    <cellStyle name="Normal 2 2 3 2 2 3 2 4 3 2" xfId="10571"/>
    <cellStyle name="Normal 2 2 3 2 2 3 2 4 4" xfId="10572"/>
    <cellStyle name="Normal 2 2 3 2 2 3 2 5" xfId="10573"/>
    <cellStyle name="Normal 2 2 3 2 2 3 2 5 2" xfId="10574"/>
    <cellStyle name="Normal 2 2 3 2 2 3 2 5 2 2" xfId="10575"/>
    <cellStyle name="Normal 2 2 3 2 2 3 2 5 3" xfId="10576"/>
    <cellStyle name="Normal 2 2 3 2 2 3 2 6" xfId="10577"/>
    <cellStyle name="Normal 2 2 3 2 2 3 2 6 2" xfId="10578"/>
    <cellStyle name="Normal 2 2 3 2 2 3 2 7" xfId="10579"/>
    <cellStyle name="Normal 2 2 3 2 2 3 3" xfId="890"/>
    <cellStyle name="Normal 2 2 3 2 2 3 3 2" xfId="2250"/>
    <cellStyle name="Normal 2 2 3 2 2 3 3 2 2" xfId="4970"/>
    <cellStyle name="Normal 2 2 3 2 2 3 3 2 2 2" xfId="10580"/>
    <cellStyle name="Normal 2 2 3 2 2 3 3 2 2 2 2" xfId="10581"/>
    <cellStyle name="Normal 2 2 3 2 2 3 3 2 2 2 2 2" xfId="10582"/>
    <cellStyle name="Normal 2 2 3 2 2 3 3 2 2 2 3" xfId="10583"/>
    <cellStyle name="Normal 2 2 3 2 2 3 3 2 2 3" xfId="10584"/>
    <cellStyle name="Normal 2 2 3 2 2 3 3 2 2 3 2" xfId="10585"/>
    <cellStyle name="Normal 2 2 3 2 2 3 3 2 2 4" xfId="10586"/>
    <cellStyle name="Normal 2 2 3 2 2 3 3 2 3" xfId="10587"/>
    <cellStyle name="Normal 2 2 3 2 2 3 3 2 3 2" xfId="10588"/>
    <cellStyle name="Normal 2 2 3 2 2 3 3 2 3 2 2" xfId="10589"/>
    <cellStyle name="Normal 2 2 3 2 2 3 3 2 3 3" xfId="10590"/>
    <cellStyle name="Normal 2 2 3 2 2 3 3 2 4" xfId="10591"/>
    <cellStyle name="Normal 2 2 3 2 2 3 3 2 4 2" xfId="10592"/>
    <cellStyle name="Normal 2 2 3 2 2 3 3 2 5" xfId="10593"/>
    <cellStyle name="Normal 2 2 3 2 2 3 3 3" xfId="3610"/>
    <cellStyle name="Normal 2 2 3 2 2 3 3 3 2" xfId="10594"/>
    <cellStyle name="Normal 2 2 3 2 2 3 3 3 2 2" xfId="10595"/>
    <cellStyle name="Normal 2 2 3 2 2 3 3 3 2 2 2" xfId="10596"/>
    <cellStyle name="Normal 2 2 3 2 2 3 3 3 2 3" xfId="10597"/>
    <cellStyle name="Normal 2 2 3 2 2 3 3 3 3" xfId="10598"/>
    <cellStyle name="Normal 2 2 3 2 2 3 3 3 3 2" xfId="10599"/>
    <cellStyle name="Normal 2 2 3 2 2 3 3 3 4" xfId="10600"/>
    <cellStyle name="Normal 2 2 3 2 2 3 3 4" xfId="10601"/>
    <cellStyle name="Normal 2 2 3 2 2 3 3 4 2" xfId="10602"/>
    <cellStyle name="Normal 2 2 3 2 2 3 3 4 2 2" xfId="10603"/>
    <cellStyle name="Normal 2 2 3 2 2 3 3 4 3" xfId="10604"/>
    <cellStyle name="Normal 2 2 3 2 2 3 3 5" xfId="10605"/>
    <cellStyle name="Normal 2 2 3 2 2 3 3 5 2" xfId="10606"/>
    <cellStyle name="Normal 2 2 3 2 2 3 3 6" xfId="10607"/>
    <cellStyle name="Normal 2 2 3 2 2 3 4" xfId="1570"/>
    <cellStyle name="Normal 2 2 3 2 2 3 4 2" xfId="4290"/>
    <cellStyle name="Normal 2 2 3 2 2 3 4 2 2" xfId="10608"/>
    <cellStyle name="Normal 2 2 3 2 2 3 4 2 2 2" xfId="10609"/>
    <cellStyle name="Normal 2 2 3 2 2 3 4 2 2 2 2" xfId="10610"/>
    <cellStyle name="Normal 2 2 3 2 2 3 4 2 2 3" xfId="10611"/>
    <cellStyle name="Normal 2 2 3 2 2 3 4 2 3" xfId="10612"/>
    <cellStyle name="Normal 2 2 3 2 2 3 4 2 3 2" xfId="10613"/>
    <cellStyle name="Normal 2 2 3 2 2 3 4 2 4" xfId="10614"/>
    <cellStyle name="Normal 2 2 3 2 2 3 4 3" xfId="10615"/>
    <cellStyle name="Normal 2 2 3 2 2 3 4 3 2" xfId="10616"/>
    <cellStyle name="Normal 2 2 3 2 2 3 4 3 2 2" xfId="10617"/>
    <cellStyle name="Normal 2 2 3 2 2 3 4 3 3" xfId="10618"/>
    <cellStyle name="Normal 2 2 3 2 2 3 4 4" xfId="10619"/>
    <cellStyle name="Normal 2 2 3 2 2 3 4 4 2" xfId="10620"/>
    <cellStyle name="Normal 2 2 3 2 2 3 4 5" xfId="10621"/>
    <cellStyle name="Normal 2 2 3 2 2 3 5" xfId="2930"/>
    <cellStyle name="Normal 2 2 3 2 2 3 5 2" xfId="10622"/>
    <cellStyle name="Normal 2 2 3 2 2 3 5 2 2" xfId="10623"/>
    <cellStyle name="Normal 2 2 3 2 2 3 5 2 2 2" xfId="10624"/>
    <cellStyle name="Normal 2 2 3 2 2 3 5 2 3" xfId="10625"/>
    <cellStyle name="Normal 2 2 3 2 2 3 5 3" xfId="10626"/>
    <cellStyle name="Normal 2 2 3 2 2 3 5 3 2" xfId="10627"/>
    <cellStyle name="Normal 2 2 3 2 2 3 5 4" xfId="10628"/>
    <cellStyle name="Normal 2 2 3 2 2 3 6" xfId="10629"/>
    <cellStyle name="Normal 2 2 3 2 2 3 6 2" xfId="10630"/>
    <cellStyle name="Normal 2 2 3 2 2 3 6 2 2" xfId="10631"/>
    <cellStyle name="Normal 2 2 3 2 2 3 6 3" xfId="10632"/>
    <cellStyle name="Normal 2 2 3 2 2 3 7" xfId="10633"/>
    <cellStyle name="Normal 2 2 3 2 2 3 7 2" xfId="10634"/>
    <cellStyle name="Normal 2 2 3 2 2 3 8" xfId="10635"/>
    <cellStyle name="Normal 2 2 3 2 2 4" xfId="346"/>
    <cellStyle name="Normal 2 2 3 2 2 4 2" xfId="1026"/>
    <cellStyle name="Normal 2 2 3 2 2 4 2 2" xfId="2386"/>
    <cellStyle name="Normal 2 2 3 2 2 4 2 2 2" xfId="5106"/>
    <cellStyle name="Normal 2 2 3 2 2 4 2 2 2 2" xfId="10636"/>
    <cellStyle name="Normal 2 2 3 2 2 4 2 2 2 2 2" xfId="10637"/>
    <cellStyle name="Normal 2 2 3 2 2 4 2 2 2 2 2 2" xfId="10638"/>
    <cellStyle name="Normal 2 2 3 2 2 4 2 2 2 2 3" xfId="10639"/>
    <cellStyle name="Normal 2 2 3 2 2 4 2 2 2 3" xfId="10640"/>
    <cellStyle name="Normal 2 2 3 2 2 4 2 2 2 3 2" xfId="10641"/>
    <cellStyle name="Normal 2 2 3 2 2 4 2 2 2 4" xfId="10642"/>
    <cellStyle name="Normal 2 2 3 2 2 4 2 2 3" xfId="10643"/>
    <cellStyle name="Normal 2 2 3 2 2 4 2 2 3 2" xfId="10644"/>
    <cellStyle name="Normal 2 2 3 2 2 4 2 2 3 2 2" xfId="10645"/>
    <cellStyle name="Normal 2 2 3 2 2 4 2 2 3 3" xfId="10646"/>
    <cellStyle name="Normal 2 2 3 2 2 4 2 2 4" xfId="10647"/>
    <cellStyle name="Normal 2 2 3 2 2 4 2 2 4 2" xfId="10648"/>
    <cellStyle name="Normal 2 2 3 2 2 4 2 2 5" xfId="10649"/>
    <cellStyle name="Normal 2 2 3 2 2 4 2 3" xfId="3746"/>
    <cellStyle name="Normal 2 2 3 2 2 4 2 3 2" xfId="10650"/>
    <cellStyle name="Normal 2 2 3 2 2 4 2 3 2 2" xfId="10651"/>
    <cellStyle name="Normal 2 2 3 2 2 4 2 3 2 2 2" xfId="10652"/>
    <cellStyle name="Normal 2 2 3 2 2 4 2 3 2 3" xfId="10653"/>
    <cellStyle name="Normal 2 2 3 2 2 4 2 3 3" xfId="10654"/>
    <cellStyle name="Normal 2 2 3 2 2 4 2 3 3 2" xfId="10655"/>
    <cellStyle name="Normal 2 2 3 2 2 4 2 3 4" xfId="10656"/>
    <cellStyle name="Normal 2 2 3 2 2 4 2 4" xfId="10657"/>
    <cellStyle name="Normal 2 2 3 2 2 4 2 4 2" xfId="10658"/>
    <cellStyle name="Normal 2 2 3 2 2 4 2 4 2 2" xfId="10659"/>
    <cellStyle name="Normal 2 2 3 2 2 4 2 4 3" xfId="10660"/>
    <cellStyle name="Normal 2 2 3 2 2 4 2 5" xfId="10661"/>
    <cellStyle name="Normal 2 2 3 2 2 4 2 5 2" xfId="10662"/>
    <cellStyle name="Normal 2 2 3 2 2 4 2 6" xfId="10663"/>
    <cellStyle name="Normal 2 2 3 2 2 4 3" xfId="1706"/>
    <cellStyle name="Normal 2 2 3 2 2 4 3 2" xfId="4426"/>
    <cellStyle name="Normal 2 2 3 2 2 4 3 2 2" xfId="10664"/>
    <cellStyle name="Normal 2 2 3 2 2 4 3 2 2 2" xfId="10665"/>
    <cellStyle name="Normal 2 2 3 2 2 4 3 2 2 2 2" xfId="10666"/>
    <cellStyle name="Normal 2 2 3 2 2 4 3 2 2 3" xfId="10667"/>
    <cellStyle name="Normal 2 2 3 2 2 4 3 2 3" xfId="10668"/>
    <cellStyle name="Normal 2 2 3 2 2 4 3 2 3 2" xfId="10669"/>
    <cellStyle name="Normal 2 2 3 2 2 4 3 2 4" xfId="10670"/>
    <cellStyle name="Normal 2 2 3 2 2 4 3 3" xfId="10671"/>
    <cellStyle name="Normal 2 2 3 2 2 4 3 3 2" xfId="10672"/>
    <cellStyle name="Normal 2 2 3 2 2 4 3 3 2 2" xfId="10673"/>
    <cellStyle name="Normal 2 2 3 2 2 4 3 3 3" xfId="10674"/>
    <cellStyle name="Normal 2 2 3 2 2 4 3 4" xfId="10675"/>
    <cellStyle name="Normal 2 2 3 2 2 4 3 4 2" xfId="10676"/>
    <cellStyle name="Normal 2 2 3 2 2 4 3 5" xfId="10677"/>
    <cellStyle name="Normal 2 2 3 2 2 4 4" xfId="3066"/>
    <cellStyle name="Normal 2 2 3 2 2 4 4 2" xfId="10678"/>
    <cellStyle name="Normal 2 2 3 2 2 4 4 2 2" xfId="10679"/>
    <cellStyle name="Normal 2 2 3 2 2 4 4 2 2 2" xfId="10680"/>
    <cellStyle name="Normal 2 2 3 2 2 4 4 2 3" xfId="10681"/>
    <cellStyle name="Normal 2 2 3 2 2 4 4 3" xfId="10682"/>
    <cellStyle name="Normal 2 2 3 2 2 4 4 3 2" xfId="10683"/>
    <cellStyle name="Normal 2 2 3 2 2 4 4 4" xfId="10684"/>
    <cellStyle name="Normal 2 2 3 2 2 4 5" xfId="10685"/>
    <cellStyle name="Normal 2 2 3 2 2 4 5 2" xfId="10686"/>
    <cellStyle name="Normal 2 2 3 2 2 4 5 2 2" xfId="10687"/>
    <cellStyle name="Normal 2 2 3 2 2 4 5 3" xfId="10688"/>
    <cellStyle name="Normal 2 2 3 2 2 4 6" xfId="10689"/>
    <cellStyle name="Normal 2 2 3 2 2 4 6 2" xfId="10690"/>
    <cellStyle name="Normal 2 2 3 2 2 4 7" xfId="10691"/>
    <cellStyle name="Normal 2 2 3 2 2 5" xfId="618"/>
    <cellStyle name="Normal 2 2 3 2 2 5 2" xfId="1298"/>
    <cellStyle name="Normal 2 2 3 2 2 5 2 2" xfId="2658"/>
    <cellStyle name="Normal 2 2 3 2 2 5 2 2 2" xfId="5378"/>
    <cellStyle name="Normal 2 2 3 2 2 5 2 2 2 2" xfId="10692"/>
    <cellStyle name="Normal 2 2 3 2 2 5 2 2 2 2 2" xfId="10693"/>
    <cellStyle name="Normal 2 2 3 2 2 5 2 2 2 2 2 2" xfId="10694"/>
    <cellStyle name="Normal 2 2 3 2 2 5 2 2 2 2 3" xfId="10695"/>
    <cellStyle name="Normal 2 2 3 2 2 5 2 2 2 3" xfId="10696"/>
    <cellStyle name="Normal 2 2 3 2 2 5 2 2 2 3 2" xfId="10697"/>
    <cellStyle name="Normal 2 2 3 2 2 5 2 2 2 4" xfId="10698"/>
    <cellStyle name="Normal 2 2 3 2 2 5 2 2 3" xfId="10699"/>
    <cellStyle name="Normal 2 2 3 2 2 5 2 2 3 2" xfId="10700"/>
    <cellStyle name="Normal 2 2 3 2 2 5 2 2 3 2 2" xfId="10701"/>
    <cellStyle name="Normal 2 2 3 2 2 5 2 2 3 3" xfId="10702"/>
    <cellStyle name="Normal 2 2 3 2 2 5 2 2 4" xfId="10703"/>
    <cellStyle name="Normal 2 2 3 2 2 5 2 2 4 2" xfId="10704"/>
    <cellStyle name="Normal 2 2 3 2 2 5 2 2 5" xfId="10705"/>
    <cellStyle name="Normal 2 2 3 2 2 5 2 3" xfId="4018"/>
    <cellStyle name="Normal 2 2 3 2 2 5 2 3 2" xfId="10706"/>
    <cellStyle name="Normal 2 2 3 2 2 5 2 3 2 2" xfId="10707"/>
    <cellStyle name="Normal 2 2 3 2 2 5 2 3 2 2 2" xfId="10708"/>
    <cellStyle name="Normal 2 2 3 2 2 5 2 3 2 3" xfId="10709"/>
    <cellStyle name="Normal 2 2 3 2 2 5 2 3 3" xfId="10710"/>
    <cellStyle name="Normal 2 2 3 2 2 5 2 3 3 2" xfId="10711"/>
    <cellStyle name="Normal 2 2 3 2 2 5 2 3 4" xfId="10712"/>
    <cellStyle name="Normal 2 2 3 2 2 5 2 4" xfId="10713"/>
    <cellStyle name="Normal 2 2 3 2 2 5 2 4 2" xfId="10714"/>
    <cellStyle name="Normal 2 2 3 2 2 5 2 4 2 2" xfId="10715"/>
    <cellStyle name="Normal 2 2 3 2 2 5 2 4 3" xfId="10716"/>
    <cellStyle name="Normal 2 2 3 2 2 5 2 5" xfId="10717"/>
    <cellStyle name="Normal 2 2 3 2 2 5 2 5 2" xfId="10718"/>
    <cellStyle name="Normal 2 2 3 2 2 5 2 6" xfId="10719"/>
    <cellStyle name="Normal 2 2 3 2 2 5 3" xfId="1978"/>
    <cellStyle name="Normal 2 2 3 2 2 5 3 2" xfId="4698"/>
    <cellStyle name="Normal 2 2 3 2 2 5 3 2 2" xfId="10720"/>
    <cellStyle name="Normal 2 2 3 2 2 5 3 2 2 2" xfId="10721"/>
    <cellStyle name="Normal 2 2 3 2 2 5 3 2 2 2 2" xfId="10722"/>
    <cellStyle name="Normal 2 2 3 2 2 5 3 2 2 3" xfId="10723"/>
    <cellStyle name="Normal 2 2 3 2 2 5 3 2 3" xfId="10724"/>
    <cellStyle name="Normal 2 2 3 2 2 5 3 2 3 2" xfId="10725"/>
    <cellStyle name="Normal 2 2 3 2 2 5 3 2 4" xfId="10726"/>
    <cellStyle name="Normal 2 2 3 2 2 5 3 3" xfId="10727"/>
    <cellStyle name="Normal 2 2 3 2 2 5 3 3 2" xfId="10728"/>
    <cellStyle name="Normal 2 2 3 2 2 5 3 3 2 2" xfId="10729"/>
    <cellStyle name="Normal 2 2 3 2 2 5 3 3 3" xfId="10730"/>
    <cellStyle name="Normal 2 2 3 2 2 5 3 4" xfId="10731"/>
    <cellStyle name="Normal 2 2 3 2 2 5 3 4 2" xfId="10732"/>
    <cellStyle name="Normal 2 2 3 2 2 5 3 5" xfId="10733"/>
    <cellStyle name="Normal 2 2 3 2 2 5 4" xfId="3338"/>
    <cellStyle name="Normal 2 2 3 2 2 5 4 2" xfId="10734"/>
    <cellStyle name="Normal 2 2 3 2 2 5 4 2 2" xfId="10735"/>
    <cellStyle name="Normal 2 2 3 2 2 5 4 2 2 2" xfId="10736"/>
    <cellStyle name="Normal 2 2 3 2 2 5 4 2 3" xfId="10737"/>
    <cellStyle name="Normal 2 2 3 2 2 5 4 3" xfId="10738"/>
    <cellStyle name="Normal 2 2 3 2 2 5 4 3 2" xfId="10739"/>
    <cellStyle name="Normal 2 2 3 2 2 5 4 4" xfId="10740"/>
    <cellStyle name="Normal 2 2 3 2 2 5 5" xfId="10741"/>
    <cellStyle name="Normal 2 2 3 2 2 5 5 2" xfId="10742"/>
    <cellStyle name="Normal 2 2 3 2 2 5 5 2 2" xfId="10743"/>
    <cellStyle name="Normal 2 2 3 2 2 5 5 3" xfId="10744"/>
    <cellStyle name="Normal 2 2 3 2 2 5 6" xfId="10745"/>
    <cellStyle name="Normal 2 2 3 2 2 5 6 2" xfId="10746"/>
    <cellStyle name="Normal 2 2 3 2 2 5 7" xfId="10747"/>
    <cellStyle name="Normal 2 2 3 2 2 6" xfId="754"/>
    <cellStyle name="Normal 2 2 3 2 2 6 2" xfId="2114"/>
    <cellStyle name="Normal 2 2 3 2 2 6 2 2" xfId="4834"/>
    <cellStyle name="Normal 2 2 3 2 2 6 2 2 2" xfId="10748"/>
    <cellStyle name="Normal 2 2 3 2 2 6 2 2 2 2" xfId="10749"/>
    <cellStyle name="Normal 2 2 3 2 2 6 2 2 2 2 2" xfId="10750"/>
    <cellStyle name="Normal 2 2 3 2 2 6 2 2 2 3" xfId="10751"/>
    <cellStyle name="Normal 2 2 3 2 2 6 2 2 3" xfId="10752"/>
    <cellStyle name="Normal 2 2 3 2 2 6 2 2 3 2" xfId="10753"/>
    <cellStyle name="Normal 2 2 3 2 2 6 2 2 4" xfId="10754"/>
    <cellStyle name="Normal 2 2 3 2 2 6 2 3" xfId="10755"/>
    <cellStyle name="Normal 2 2 3 2 2 6 2 3 2" xfId="10756"/>
    <cellStyle name="Normal 2 2 3 2 2 6 2 3 2 2" xfId="10757"/>
    <cellStyle name="Normal 2 2 3 2 2 6 2 3 3" xfId="10758"/>
    <cellStyle name="Normal 2 2 3 2 2 6 2 4" xfId="10759"/>
    <cellStyle name="Normal 2 2 3 2 2 6 2 4 2" xfId="10760"/>
    <cellStyle name="Normal 2 2 3 2 2 6 2 5" xfId="10761"/>
    <cellStyle name="Normal 2 2 3 2 2 6 3" xfId="3474"/>
    <cellStyle name="Normal 2 2 3 2 2 6 3 2" xfId="10762"/>
    <cellStyle name="Normal 2 2 3 2 2 6 3 2 2" xfId="10763"/>
    <cellStyle name="Normal 2 2 3 2 2 6 3 2 2 2" xfId="10764"/>
    <cellStyle name="Normal 2 2 3 2 2 6 3 2 3" xfId="10765"/>
    <cellStyle name="Normal 2 2 3 2 2 6 3 3" xfId="10766"/>
    <cellStyle name="Normal 2 2 3 2 2 6 3 3 2" xfId="10767"/>
    <cellStyle name="Normal 2 2 3 2 2 6 3 4" xfId="10768"/>
    <cellStyle name="Normal 2 2 3 2 2 6 4" xfId="10769"/>
    <cellStyle name="Normal 2 2 3 2 2 6 4 2" xfId="10770"/>
    <cellStyle name="Normal 2 2 3 2 2 6 4 2 2" xfId="10771"/>
    <cellStyle name="Normal 2 2 3 2 2 6 4 3" xfId="10772"/>
    <cellStyle name="Normal 2 2 3 2 2 6 5" xfId="10773"/>
    <cellStyle name="Normal 2 2 3 2 2 6 5 2" xfId="10774"/>
    <cellStyle name="Normal 2 2 3 2 2 6 6" xfId="10775"/>
    <cellStyle name="Normal 2 2 3 2 2 7" xfId="1434"/>
    <cellStyle name="Normal 2 2 3 2 2 7 2" xfId="4154"/>
    <cellStyle name="Normal 2 2 3 2 2 7 2 2" xfId="10776"/>
    <cellStyle name="Normal 2 2 3 2 2 7 2 2 2" xfId="10777"/>
    <cellStyle name="Normal 2 2 3 2 2 7 2 2 2 2" xfId="10778"/>
    <cellStyle name="Normal 2 2 3 2 2 7 2 2 3" xfId="10779"/>
    <cellStyle name="Normal 2 2 3 2 2 7 2 3" xfId="10780"/>
    <cellStyle name="Normal 2 2 3 2 2 7 2 3 2" xfId="10781"/>
    <cellStyle name="Normal 2 2 3 2 2 7 2 4" xfId="10782"/>
    <cellStyle name="Normal 2 2 3 2 2 7 3" xfId="10783"/>
    <cellStyle name="Normal 2 2 3 2 2 7 3 2" xfId="10784"/>
    <cellStyle name="Normal 2 2 3 2 2 7 3 2 2" xfId="10785"/>
    <cellStyle name="Normal 2 2 3 2 2 7 3 3" xfId="10786"/>
    <cellStyle name="Normal 2 2 3 2 2 7 4" xfId="10787"/>
    <cellStyle name="Normal 2 2 3 2 2 7 4 2" xfId="10788"/>
    <cellStyle name="Normal 2 2 3 2 2 7 5" xfId="10789"/>
    <cellStyle name="Normal 2 2 3 2 2 8" xfId="2794"/>
    <cellStyle name="Normal 2 2 3 2 2 8 2" xfId="10790"/>
    <cellStyle name="Normal 2 2 3 2 2 8 2 2" xfId="10791"/>
    <cellStyle name="Normal 2 2 3 2 2 8 2 2 2" xfId="10792"/>
    <cellStyle name="Normal 2 2 3 2 2 8 2 3" xfId="10793"/>
    <cellStyle name="Normal 2 2 3 2 2 8 3" xfId="10794"/>
    <cellStyle name="Normal 2 2 3 2 2 8 3 2" xfId="10795"/>
    <cellStyle name="Normal 2 2 3 2 2 8 4" xfId="10796"/>
    <cellStyle name="Normal 2 2 3 2 2 9" xfId="10797"/>
    <cellStyle name="Normal 2 2 3 2 2 9 2" xfId="10798"/>
    <cellStyle name="Normal 2 2 3 2 2 9 2 2" xfId="10799"/>
    <cellStyle name="Normal 2 2 3 2 2 9 3" xfId="10800"/>
    <cellStyle name="Normal 2 2 3 2 3" xfId="107"/>
    <cellStyle name="Normal 2 2 3 2 3 10" xfId="10801"/>
    <cellStyle name="Normal 2 2 3 2 3 2" xfId="244"/>
    <cellStyle name="Normal 2 2 3 2 3 2 2" xfId="516"/>
    <cellStyle name="Normal 2 2 3 2 3 2 2 2" xfId="1196"/>
    <cellStyle name="Normal 2 2 3 2 3 2 2 2 2" xfId="2556"/>
    <cellStyle name="Normal 2 2 3 2 3 2 2 2 2 2" xfId="5276"/>
    <cellStyle name="Normal 2 2 3 2 3 2 2 2 2 2 2" xfId="10802"/>
    <cellStyle name="Normal 2 2 3 2 3 2 2 2 2 2 2 2" xfId="10803"/>
    <cellStyle name="Normal 2 2 3 2 3 2 2 2 2 2 2 2 2" xfId="10804"/>
    <cellStyle name="Normal 2 2 3 2 3 2 2 2 2 2 2 3" xfId="10805"/>
    <cellStyle name="Normal 2 2 3 2 3 2 2 2 2 2 3" xfId="10806"/>
    <cellStyle name="Normal 2 2 3 2 3 2 2 2 2 2 3 2" xfId="10807"/>
    <cellStyle name="Normal 2 2 3 2 3 2 2 2 2 2 4" xfId="10808"/>
    <cellStyle name="Normal 2 2 3 2 3 2 2 2 2 3" xfId="10809"/>
    <cellStyle name="Normal 2 2 3 2 3 2 2 2 2 3 2" xfId="10810"/>
    <cellStyle name="Normal 2 2 3 2 3 2 2 2 2 3 2 2" xfId="10811"/>
    <cellStyle name="Normal 2 2 3 2 3 2 2 2 2 3 3" xfId="10812"/>
    <cellStyle name="Normal 2 2 3 2 3 2 2 2 2 4" xfId="10813"/>
    <cellStyle name="Normal 2 2 3 2 3 2 2 2 2 4 2" xfId="10814"/>
    <cellStyle name="Normal 2 2 3 2 3 2 2 2 2 5" xfId="10815"/>
    <cellStyle name="Normal 2 2 3 2 3 2 2 2 3" xfId="3916"/>
    <cellStyle name="Normal 2 2 3 2 3 2 2 2 3 2" xfId="10816"/>
    <cellStyle name="Normal 2 2 3 2 3 2 2 2 3 2 2" xfId="10817"/>
    <cellStyle name="Normal 2 2 3 2 3 2 2 2 3 2 2 2" xfId="10818"/>
    <cellStyle name="Normal 2 2 3 2 3 2 2 2 3 2 3" xfId="10819"/>
    <cellStyle name="Normal 2 2 3 2 3 2 2 2 3 3" xfId="10820"/>
    <cellStyle name="Normal 2 2 3 2 3 2 2 2 3 3 2" xfId="10821"/>
    <cellStyle name="Normal 2 2 3 2 3 2 2 2 3 4" xfId="10822"/>
    <cellStyle name="Normal 2 2 3 2 3 2 2 2 4" xfId="10823"/>
    <cellStyle name="Normal 2 2 3 2 3 2 2 2 4 2" xfId="10824"/>
    <cellStyle name="Normal 2 2 3 2 3 2 2 2 4 2 2" xfId="10825"/>
    <cellStyle name="Normal 2 2 3 2 3 2 2 2 4 3" xfId="10826"/>
    <cellStyle name="Normal 2 2 3 2 3 2 2 2 5" xfId="10827"/>
    <cellStyle name="Normal 2 2 3 2 3 2 2 2 5 2" xfId="10828"/>
    <cellStyle name="Normal 2 2 3 2 3 2 2 2 6" xfId="10829"/>
    <cellStyle name="Normal 2 2 3 2 3 2 2 3" xfId="1876"/>
    <cellStyle name="Normal 2 2 3 2 3 2 2 3 2" xfId="4596"/>
    <cellStyle name="Normal 2 2 3 2 3 2 2 3 2 2" xfId="10830"/>
    <cellStyle name="Normal 2 2 3 2 3 2 2 3 2 2 2" xfId="10831"/>
    <cellStyle name="Normal 2 2 3 2 3 2 2 3 2 2 2 2" xfId="10832"/>
    <cellStyle name="Normal 2 2 3 2 3 2 2 3 2 2 3" xfId="10833"/>
    <cellStyle name="Normal 2 2 3 2 3 2 2 3 2 3" xfId="10834"/>
    <cellStyle name="Normal 2 2 3 2 3 2 2 3 2 3 2" xfId="10835"/>
    <cellStyle name="Normal 2 2 3 2 3 2 2 3 2 4" xfId="10836"/>
    <cellStyle name="Normal 2 2 3 2 3 2 2 3 3" xfId="10837"/>
    <cellStyle name="Normal 2 2 3 2 3 2 2 3 3 2" xfId="10838"/>
    <cellStyle name="Normal 2 2 3 2 3 2 2 3 3 2 2" xfId="10839"/>
    <cellStyle name="Normal 2 2 3 2 3 2 2 3 3 3" xfId="10840"/>
    <cellStyle name="Normal 2 2 3 2 3 2 2 3 4" xfId="10841"/>
    <cellStyle name="Normal 2 2 3 2 3 2 2 3 4 2" xfId="10842"/>
    <cellStyle name="Normal 2 2 3 2 3 2 2 3 5" xfId="10843"/>
    <cellStyle name="Normal 2 2 3 2 3 2 2 4" xfId="3236"/>
    <cellStyle name="Normal 2 2 3 2 3 2 2 4 2" xfId="10844"/>
    <cellStyle name="Normal 2 2 3 2 3 2 2 4 2 2" xfId="10845"/>
    <cellStyle name="Normal 2 2 3 2 3 2 2 4 2 2 2" xfId="10846"/>
    <cellStyle name="Normal 2 2 3 2 3 2 2 4 2 3" xfId="10847"/>
    <cellStyle name="Normal 2 2 3 2 3 2 2 4 3" xfId="10848"/>
    <cellStyle name="Normal 2 2 3 2 3 2 2 4 3 2" xfId="10849"/>
    <cellStyle name="Normal 2 2 3 2 3 2 2 4 4" xfId="10850"/>
    <cellStyle name="Normal 2 2 3 2 3 2 2 5" xfId="10851"/>
    <cellStyle name="Normal 2 2 3 2 3 2 2 5 2" xfId="10852"/>
    <cellStyle name="Normal 2 2 3 2 3 2 2 5 2 2" xfId="10853"/>
    <cellStyle name="Normal 2 2 3 2 3 2 2 5 3" xfId="10854"/>
    <cellStyle name="Normal 2 2 3 2 3 2 2 6" xfId="10855"/>
    <cellStyle name="Normal 2 2 3 2 3 2 2 6 2" xfId="10856"/>
    <cellStyle name="Normal 2 2 3 2 3 2 2 7" xfId="10857"/>
    <cellStyle name="Normal 2 2 3 2 3 2 3" xfId="924"/>
    <cellStyle name="Normal 2 2 3 2 3 2 3 2" xfId="2284"/>
    <cellStyle name="Normal 2 2 3 2 3 2 3 2 2" xfId="5004"/>
    <cellStyle name="Normal 2 2 3 2 3 2 3 2 2 2" xfId="10858"/>
    <cellStyle name="Normal 2 2 3 2 3 2 3 2 2 2 2" xfId="10859"/>
    <cellStyle name="Normal 2 2 3 2 3 2 3 2 2 2 2 2" xfId="10860"/>
    <cellStyle name="Normal 2 2 3 2 3 2 3 2 2 2 3" xfId="10861"/>
    <cellStyle name="Normal 2 2 3 2 3 2 3 2 2 3" xfId="10862"/>
    <cellStyle name="Normal 2 2 3 2 3 2 3 2 2 3 2" xfId="10863"/>
    <cellStyle name="Normal 2 2 3 2 3 2 3 2 2 4" xfId="10864"/>
    <cellStyle name="Normal 2 2 3 2 3 2 3 2 3" xfId="10865"/>
    <cellStyle name="Normal 2 2 3 2 3 2 3 2 3 2" xfId="10866"/>
    <cellStyle name="Normal 2 2 3 2 3 2 3 2 3 2 2" xfId="10867"/>
    <cellStyle name="Normal 2 2 3 2 3 2 3 2 3 3" xfId="10868"/>
    <cellStyle name="Normal 2 2 3 2 3 2 3 2 4" xfId="10869"/>
    <cellStyle name="Normal 2 2 3 2 3 2 3 2 4 2" xfId="10870"/>
    <cellStyle name="Normal 2 2 3 2 3 2 3 2 5" xfId="10871"/>
    <cellStyle name="Normal 2 2 3 2 3 2 3 3" xfId="3644"/>
    <cellStyle name="Normal 2 2 3 2 3 2 3 3 2" xfId="10872"/>
    <cellStyle name="Normal 2 2 3 2 3 2 3 3 2 2" xfId="10873"/>
    <cellStyle name="Normal 2 2 3 2 3 2 3 3 2 2 2" xfId="10874"/>
    <cellStyle name="Normal 2 2 3 2 3 2 3 3 2 3" xfId="10875"/>
    <cellStyle name="Normal 2 2 3 2 3 2 3 3 3" xfId="10876"/>
    <cellStyle name="Normal 2 2 3 2 3 2 3 3 3 2" xfId="10877"/>
    <cellStyle name="Normal 2 2 3 2 3 2 3 3 4" xfId="10878"/>
    <cellStyle name="Normal 2 2 3 2 3 2 3 4" xfId="10879"/>
    <cellStyle name="Normal 2 2 3 2 3 2 3 4 2" xfId="10880"/>
    <cellStyle name="Normal 2 2 3 2 3 2 3 4 2 2" xfId="10881"/>
    <cellStyle name="Normal 2 2 3 2 3 2 3 4 3" xfId="10882"/>
    <cellStyle name="Normal 2 2 3 2 3 2 3 5" xfId="10883"/>
    <cellStyle name="Normal 2 2 3 2 3 2 3 5 2" xfId="10884"/>
    <cellStyle name="Normal 2 2 3 2 3 2 3 6" xfId="10885"/>
    <cellStyle name="Normal 2 2 3 2 3 2 4" xfId="1604"/>
    <cellStyle name="Normal 2 2 3 2 3 2 4 2" xfId="4324"/>
    <cellStyle name="Normal 2 2 3 2 3 2 4 2 2" xfId="10886"/>
    <cellStyle name="Normal 2 2 3 2 3 2 4 2 2 2" xfId="10887"/>
    <cellStyle name="Normal 2 2 3 2 3 2 4 2 2 2 2" xfId="10888"/>
    <cellStyle name="Normal 2 2 3 2 3 2 4 2 2 3" xfId="10889"/>
    <cellStyle name="Normal 2 2 3 2 3 2 4 2 3" xfId="10890"/>
    <cellStyle name="Normal 2 2 3 2 3 2 4 2 3 2" xfId="10891"/>
    <cellStyle name="Normal 2 2 3 2 3 2 4 2 4" xfId="10892"/>
    <cellStyle name="Normal 2 2 3 2 3 2 4 3" xfId="10893"/>
    <cellStyle name="Normal 2 2 3 2 3 2 4 3 2" xfId="10894"/>
    <cellStyle name="Normal 2 2 3 2 3 2 4 3 2 2" xfId="10895"/>
    <cellStyle name="Normal 2 2 3 2 3 2 4 3 3" xfId="10896"/>
    <cellStyle name="Normal 2 2 3 2 3 2 4 4" xfId="10897"/>
    <cellStyle name="Normal 2 2 3 2 3 2 4 4 2" xfId="10898"/>
    <cellStyle name="Normal 2 2 3 2 3 2 4 5" xfId="10899"/>
    <cellStyle name="Normal 2 2 3 2 3 2 5" xfId="2964"/>
    <cellStyle name="Normal 2 2 3 2 3 2 5 2" xfId="10900"/>
    <cellStyle name="Normal 2 2 3 2 3 2 5 2 2" xfId="10901"/>
    <cellStyle name="Normal 2 2 3 2 3 2 5 2 2 2" xfId="10902"/>
    <cellStyle name="Normal 2 2 3 2 3 2 5 2 3" xfId="10903"/>
    <cellStyle name="Normal 2 2 3 2 3 2 5 3" xfId="10904"/>
    <cellStyle name="Normal 2 2 3 2 3 2 5 3 2" xfId="10905"/>
    <cellStyle name="Normal 2 2 3 2 3 2 5 4" xfId="10906"/>
    <cellStyle name="Normal 2 2 3 2 3 2 6" xfId="10907"/>
    <cellStyle name="Normal 2 2 3 2 3 2 6 2" xfId="10908"/>
    <cellStyle name="Normal 2 2 3 2 3 2 6 2 2" xfId="10909"/>
    <cellStyle name="Normal 2 2 3 2 3 2 6 3" xfId="10910"/>
    <cellStyle name="Normal 2 2 3 2 3 2 7" xfId="10911"/>
    <cellStyle name="Normal 2 2 3 2 3 2 7 2" xfId="10912"/>
    <cellStyle name="Normal 2 2 3 2 3 2 8" xfId="10913"/>
    <cellStyle name="Normal 2 2 3 2 3 3" xfId="380"/>
    <cellStyle name="Normal 2 2 3 2 3 3 2" xfId="1060"/>
    <cellStyle name="Normal 2 2 3 2 3 3 2 2" xfId="2420"/>
    <cellStyle name="Normal 2 2 3 2 3 3 2 2 2" xfId="5140"/>
    <cellStyle name="Normal 2 2 3 2 3 3 2 2 2 2" xfId="10914"/>
    <cellStyle name="Normal 2 2 3 2 3 3 2 2 2 2 2" xfId="10915"/>
    <cellStyle name="Normal 2 2 3 2 3 3 2 2 2 2 2 2" xfId="10916"/>
    <cellStyle name="Normal 2 2 3 2 3 3 2 2 2 2 3" xfId="10917"/>
    <cellStyle name="Normal 2 2 3 2 3 3 2 2 2 3" xfId="10918"/>
    <cellStyle name="Normal 2 2 3 2 3 3 2 2 2 3 2" xfId="10919"/>
    <cellStyle name="Normal 2 2 3 2 3 3 2 2 2 4" xfId="10920"/>
    <cellStyle name="Normal 2 2 3 2 3 3 2 2 3" xfId="10921"/>
    <cellStyle name="Normal 2 2 3 2 3 3 2 2 3 2" xfId="10922"/>
    <cellStyle name="Normal 2 2 3 2 3 3 2 2 3 2 2" xfId="10923"/>
    <cellStyle name="Normal 2 2 3 2 3 3 2 2 3 3" xfId="10924"/>
    <cellStyle name="Normal 2 2 3 2 3 3 2 2 4" xfId="10925"/>
    <cellStyle name="Normal 2 2 3 2 3 3 2 2 4 2" xfId="10926"/>
    <cellStyle name="Normal 2 2 3 2 3 3 2 2 5" xfId="10927"/>
    <cellStyle name="Normal 2 2 3 2 3 3 2 3" xfId="3780"/>
    <cellStyle name="Normal 2 2 3 2 3 3 2 3 2" xfId="10928"/>
    <cellStyle name="Normal 2 2 3 2 3 3 2 3 2 2" xfId="10929"/>
    <cellStyle name="Normal 2 2 3 2 3 3 2 3 2 2 2" xfId="10930"/>
    <cellStyle name="Normal 2 2 3 2 3 3 2 3 2 3" xfId="10931"/>
    <cellStyle name="Normal 2 2 3 2 3 3 2 3 3" xfId="10932"/>
    <cellStyle name="Normal 2 2 3 2 3 3 2 3 3 2" xfId="10933"/>
    <cellStyle name="Normal 2 2 3 2 3 3 2 3 4" xfId="10934"/>
    <cellStyle name="Normal 2 2 3 2 3 3 2 4" xfId="10935"/>
    <cellStyle name="Normal 2 2 3 2 3 3 2 4 2" xfId="10936"/>
    <cellStyle name="Normal 2 2 3 2 3 3 2 4 2 2" xfId="10937"/>
    <cellStyle name="Normal 2 2 3 2 3 3 2 4 3" xfId="10938"/>
    <cellStyle name="Normal 2 2 3 2 3 3 2 5" xfId="10939"/>
    <cellStyle name="Normal 2 2 3 2 3 3 2 5 2" xfId="10940"/>
    <cellStyle name="Normal 2 2 3 2 3 3 2 6" xfId="10941"/>
    <cellStyle name="Normal 2 2 3 2 3 3 3" xfId="1740"/>
    <cellStyle name="Normal 2 2 3 2 3 3 3 2" xfId="4460"/>
    <cellStyle name="Normal 2 2 3 2 3 3 3 2 2" xfId="10942"/>
    <cellStyle name="Normal 2 2 3 2 3 3 3 2 2 2" xfId="10943"/>
    <cellStyle name="Normal 2 2 3 2 3 3 3 2 2 2 2" xfId="10944"/>
    <cellStyle name="Normal 2 2 3 2 3 3 3 2 2 3" xfId="10945"/>
    <cellStyle name="Normal 2 2 3 2 3 3 3 2 3" xfId="10946"/>
    <cellStyle name="Normal 2 2 3 2 3 3 3 2 3 2" xfId="10947"/>
    <cellStyle name="Normal 2 2 3 2 3 3 3 2 4" xfId="10948"/>
    <cellStyle name="Normal 2 2 3 2 3 3 3 3" xfId="10949"/>
    <cellStyle name="Normal 2 2 3 2 3 3 3 3 2" xfId="10950"/>
    <cellStyle name="Normal 2 2 3 2 3 3 3 3 2 2" xfId="10951"/>
    <cellStyle name="Normal 2 2 3 2 3 3 3 3 3" xfId="10952"/>
    <cellStyle name="Normal 2 2 3 2 3 3 3 4" xfId="10953"/>
    <cellStyle name="Normal 2 2 3 2 3 3 3 4 2" xfId="10954"/>
    <cellStyle name="Normal 2 2 3 2 3 3 3 5" xfId="10955"/>
    <cellStyle name="Normal 2 2 3 2 3 3 4" xfId="3100"/>
    <cellStyle name="Normal 2 2 3 2 3 3 4 2" xfId="10956"/>
    <cellStyle name="Normal 2 2 3 2 3 3 4 2 2" xfId="10957"/>
    <cellStyle name="Normal 2 2 3 2 3 3 4 2 2 2" xfId="10958"/>
    <cellStyle name="Normal 2 2 3 2 3 3 4 2 3" xfId="10959"/>
    <cellStyle name="Normal 2 2 3 2 3 3 4 3" xfId="10960"/>
    <cellStyle name="Normal 2 2 3 2 3 3 4 3 2" xfId="10961"/>
    <cellStyle name="Normal 2 2 3 2 3 3 4 4" xfId="10962"/>
    <cellStyle name="Normal 2 2 3 2 3 3 5" xfId="10963"/>
    <cellStyle name="Normal 2 2 3 2 3 3 5 2" xfId="10964"/>
    <cellStyle name="Normal 2 2 3 2 3 3 5 2 2" xfId="10965"/>
    <cellStyle name="Normal 2 2 3 2 3 3 5 3" xfId="10966"/>
    <cellStyle name="Normal 2 2 3 2 3 3 6" xfId="10967"/>
    <cellStyle name="Normal 2 2 3 2 3 3 6 2" xfId="10968"/>
    <cellStyle name="Normal 2 2 3 2 3 3 7" xfId="10969"/>
    <cellStyle name="Normal 2 2 3 2 3 4" xfId="652"/>
    <cellStyle name="Normal 2 2 3 2 3 4 2" xfId="1332"/>
    <cellStyle name="Normal 2 2 3 2 3 4 2 2" xfId="2692"/>
    <cellStyle name="Normal 2 2 3 2 3 4 2 2 2" xfId="5412"/>
    <cellStyle name="Normal 2 2 3 2 3 4 2 2 2 2" xfId="10970"/>
    <cellStyle name="Normal 2 2 3 2 3 4 2 2 2 2 2" xfId="10971"/>
    <cellStyle name="Normal 2 2 3 2 3 4 2 2 2 2 2 2" xfId="10972"/>
    <cellStyle name="Normal 2 2 3 2 3 4 2 2 2 2 3" xfId="10973"/>
    <cellStyle name="Normal 2 2 3 2 3 4 2 2 2 3" xfId="10974"/>
    <cellStyle name="Normal 2 2 3 2 3 4 2 2 2 3 2" xfId="10975"/>
    <cellStyle name="Normal 2 2 3 2 3 4 2 2 2 4" xfId="10976"/>
    <cellStyle name="Normal 2 2 3 2 3 4 2 2 3" xfId="10977"/>
    <cellStyle name="Normal 2 2 3 2 3 4 2 2 3 2" xfId="10978"/>
    <cellStyle name="Normal 2 2 3 2 3 4 2 2 3 2 2" xfId="10979"/>
    <cellStyle name="Normal 2 2 3 2 3 4 2 2 3 3" xfId="10980"/>
    <cellStyle name="Normal 2 2 3 2 3 4 2 2 4" xfId="10981"/>
    <cellStyle name="Normal 2 2 3 2 3 4 2 2 4 2" xfId="10982"/>
    <cellStyle name="Normal 2 2 3 2 3 4 2 2 5" xfId="10983"/>
    <cellStyle name="Normal 2 2 3 2 3 4 2 3" xfId="4052"/>
    <cellStyle name="Normal 2 2 3 2 3 4 2 3 2" xfId="10984"/>
    <cellStyle name="Normal 2 2 3 2 3 4 2 3 2 2" xfId="10985"/>
    <cellStyle name="Normal 2 2 3 2 3 4 2 3 2 2 2" xfId="10986"/>
    <cellStyle name="Normal 2 2 3 2 3 4 2 3 2 3" xfId="10987"/>
    <cellStyle name="Normal 2 2 3 2 3 4 2 3 3" xfId="10988"/>
    <cellStyle name="Normal 2 2 3 2 3 4 2 3 3 2" xfId="10989"/>
    <cellStyle name="Normal 2 2 3 2 3 4 2 3 4" xfId="10990"/>
    <cellStyle name="Normal 2 2 3 2 3 4 2 4" xfId="10991"/>
    <cellStyle name="Normal 2 2 3 2 3 4 2 4 2" xfId="10992"/>
    <cellStyle name="Normal 2 2 3 2 3 4 2 4 2 2" xfId="10993"/>
    <cellStyle name="Normal 2 2 3 2 3 4 2 4 3" xfId="10994"/>
    <cellStyle name="Normal 2 2 3 2 3 4 2 5" xfId="10995"/>
    <cellStyle name="Normal 2 2 3 2 3 4 2 5 2" xfId="10996"/>
    <cellStyle name="Normal 2 2 3 2 3 4 2 6" xfId="10997"/>
    <cellStyle name="Normal 2 2 3 2 3 4 3" xfId="2012"/>
    <cellStyle name="Normal 2 2 3 2 3 4 3 2" xfId="4732"/>
    <cellStyle name="Normal 2 2 3 2 3 4 3 2 2" xfId="10998"/>
    <cellStyle name="Normal 2 2 3 2 3 4 3 2 2 2" xfId="10999"/>
    <cellStyle name="Normal 2 2 3 2 3 4 3 2 2 2 2" xfId="11000"/>
    <cellStyle name="Normal 2 2 3 2 3 4 3 2 2 3" xfId="11001"/>
    <cellStyle name="Normal 2 2 3 2 3 4 3 2 3" xfId="11002"/>
    <cellStyle name="Normal 2 2 3 2 3 4 3 2 3 2" xfId="11003"/>
    <cellStyle name="Normal 2 2 3 2 3 4 3 2 4" xfId="11004"/>
    <cellStyle name="Normal 2 2 3 2 3 4 3 3" xfId="11005"/>
    <cellStyle name="Normal 2 2 3 2 3 4 3 3 2" xfId="11006"/>
    <cellStyle name="Normal 2 2 3 2 3 4 3 3 2 2" xfId="11007"/>
    <cellStyle name="Normal 2 2 3 2 3 4 3 3 3" xfId="11008"/>
    <cellStyle name="Normal 2 2 3 2 3 4 3 4" xfId="11009"/>
    <cellStyle name="Normal 2 2 3 2 3 4 3 4 2" xfId="11010"/>
    <cellStyle name="Normal 2 2 3 2 3 4 3 5" xfId="11011"/>
    <cellStyle name="Normal 2 2 3 2 3 4 4" xfId="3372"/>
    <cellStyle name="Normal 2 2 3 2 3 4 4 2" xfId="11012"/>
    <cellStyle name="Normal 2 2 3 2 3 4 4 2 2" xfId="11013"/>
    <cellStyle name="Normal 2 2 3 2 3 4 4 2 2 2" xfId="11014"/>
    <cellStyle name="Normal 2 2 3 2 3 4 4 2 3" xfId="11015"/>
    <cellStyle name="Normal 2 2 3 2 3 4 4 3" xfId="11016"/>
    <cellStyle name="Normal 2 2 3 2 3 4 4 3 2" xfId="11017"/>
    <cellStyle name="Normal 2 2 3 2 3 4 4 4" xfId="11018"/>
    <cellStyle name="Normal 2 2 3 2 3 4 5" xfId="11019"/>
    <cellStyle name="Normal 2 2 3 2 3 4 5 2" xfId="11020"/>
    <cellStyle name="Normal 2 2 3 2 3 4 5 2 2" xfId="11021"/>
    <cellStyle name="Normal 2 2 3 2 3 4 5 3" xfId="11022"/>
    <cellStyle name="Normal 2 2 3 2 3 4 6" xfId="11023"/>
    <cellStyle name="Normal 2 2 3 2 3 4 6 2" xfId="11024"/>
    <cellStyle name="Normal 2 2 3 2 3 4 7" xfId="11025"/>
    <cellStyle name="Normal 2 2 3 2 3 5" xfId="788"/>
    <cellStyle name="Normal 2 2 3 2 3 5 2" xfId="2148"/>
    <cellStyle name="Normal 2 2 3 2 3 5 2 2" xfId="4868"/>
    <cellStyle name="Normal 2 2 3 2 3 5 2 2 2" xfId="11026"/>
    <cellStyle name="Normal 2 2 3 2 3 5 2 2 2 2" xfId="11027"/>
    <cellStyle name="Normal 2 2 3 2 3 5 2 2 2 2 2" xfId="11028"/>
    <cellStyle name="Normal 2 2 3 2 3 5 2 2 2 3" xfId="11029"/>
    <cellStyle name="Normal 2 2 3 2 3 5 2 2 3" xfId="11030"/>
    <cellStyle name="Normal 2 2 3 2 3 5 2 2 3 2" xfId="11031"/>
    <cellStyle name="Normal 2 2 3 2 3 5 2 2 4" xfId="11032"/>
    <cellStyle name="Normal 2 2 3 2 3 5 2 3" xfId="11033"/>
    <cellStyle name="Normal 2 2 3 2 3 5 2 3 2" xfId="11034"/>
    <cellStyle name="Normal 2 2 3 2 3 5 2 3 2 2" xfId="11035"/>
    <cellStyle name="Normal 2 2 3 2 3 5 2 3 3" xfId="11036"/>
    <cellStyle name="Normal 2 2 3 2 3 5 2 4" xfId="11037"/>
    <cellStyle name="Normal 2 2 3 2 3 5 2 4 2" xfId="11038"/>
    <cellStyle name="Normal 2 2 3 2 3 5 2 5" xfId="11039"/>
    <cellStyle name="Normal 2 2 3 2 3 5 3" xfId="3508"/>
    <cellStyle name="Normal 2 2 3 2 3 5 3 2" xfId="11040"/>
    <cellStyle name="Normal 2 2 3 2 3 5 3 2 2" xfId="11041"/>
    <cellStyle name="Normal 2 2 3 2 3 5 3 2 2 2" xfId="11042"/>
    <cellStyle name="Normal 2 2 3 2 3 5 3 2 3" xfId="11043"/>
    <cellStyle name="Normal 2 2 3 2 3 5 3 3" xfId="11044"/>
    <cellStyle name="Normal 2 2 3 2 3 5 3 3 2" xfId="11045"/>
    <cellStyle name="Normal 2 2 3 2 3 5 3 4" xfId="11046"/>
    <cellStyle name="Normal 2 2 3 2 3 5 4" xfId="11047"/>
    <cellStyle name="Normal 2 2 3 2 3 5 4 2" xfId="11048"/>
    <cellStyle name="Normal 2 2 3 2 3 5 4 2 2" xfId="11049"/>
    <cellStyle name="Normal 2 2 3 2 3 5 4 3" xfId="11050"/>
    <cellStyle name="Normal 2 2 3 2 3 5 5" xfId="11051"/>
    <cellStyle name="Normal 2 2 3 2 3 5 5 2" xfId="11052"/>
    <cellStyle name="Normal 2 2 3 2 3 5 6" xfId="11053"/>
    <cellStyle name="Normal 2 2 3 2 3 6" xfId="1468"/>
    <cellStyle name="Normal 2 2 3 2 3 6 2" xfId="4188"/>
    <cellStyle name="Normal 2 2 3 2 3 6 2 2" xfId="11054"/>
    <cellStyle name="Normal 2 2 3 2 3 6 2 2 2" xfId="11055"/>
    <cellStyle name="Normal 2 2 3 2 3 6 2 2 2 2" xfId="11056"/>
    <cellStyle name="Normal 2 2 3 2 3 6 2 2 3" xfId="11057"/>
    <cellStyle name="Normal 2 2 3 2 3 6 2 3" xfId="11058"/>
    <cellStyle name="Normal 2 2 3 2 3 6 2 3 2" xfId="11059"/>
    <cellStyle name="Normal 2 2 3 2 3 6 2 4" xfId="11060"/>
    <cellStyle name="Normal 2 2 3 2 3 6 3" xfId="11061"/>
    <cellStyle name="Normal 2 2 3 2 3 6 3 2" xfId="11062"/>
    <cellStyle name="Normal 2 2 3 2 3 6 3 2 2" xfId="11063"/>
    <cellStyle name="Normal 2 2 3 2 3 6 3 3" xfId="11064"/>
    <cellStyle name="Normal 2 2 3 2 3 6 4" xfId="11065"/>
    <cellStyle name="Normal 2 2 3 2 3 6 4 2" xfId="11066"/>
    <cellStyle name="Normal 2 2 3 2 3 6 5" xfId="11067"/>
    <cellStyle name="Normal 2 2 3 2 3 7" xfId="2828"/>
    <cellStyle name="Normal 2 2 3 2 3 7 2" xfId="11068"/>
    <cellStyle name="Normal 2 2 3 2 3 7 2 2" xfId="11069"/>
    <cellStyle name="Normal 2 2 3 2 3 7 2 2 2" xfId="11070"/>
    <cellStyle name="Normal 2 2 3 2 3 7 2 3" xfId="11071"/>
    <cellStyle name="Normal 2 2 3 2 3 7 3" xfId="11072"/>
    <cellStyle name="Normal 2 2 3 2 3 7 3 2" xfId="11073"/>
    <cellStyle name="Normal 2 2 3 2 3 7 4" xfId="11074"/>
    <cellStyle name="Normal 2 2 3 2 3 8" xfId="11075"/>
    <cellStyle name="Normal 2 2 3 2 3 8 2" xfId="11076"/>
    <cellStyle name="Normal 2 2 3 2 3 8 2 2" xfId="11077"/>
    <cellStyle name="Normal 2 2 3 2 3 8 3" xfId="11078"/>
    <cellStyle name="Normal 2 2 3 2 3 9" xfId="11079"/>
    <cellStyle name="Normal 2 2 3 2 3 9 2" xfId="11080"/>
    <cellStyle name="Normal 2 2 3 2 4" xfId="176"/>
    <cellStyle name="Normal 2 2 3 2 4 2" xfId="448"/>
    <cellStyle name="Normal 2 2 3 2 4 2 2" xfId="1128"/>
    <cellStyle name="Normal 2 2 3 2 4 2 2 2" xfId="2488"/>
    <cellStyle name="Normal 2 2 3 2 4 2 2 2 2" xfId="5208"/>
    <cellStyle name="Normal 2 2 3 2 4 2 2 2 2 2" xfId="11081"/>
    <cellStyle name="Normal 2 2 3 2 4 2 2 2 2 2 2" xfId="11082"/>
    <cellStyle name="Normal 2 2 3 2 4 2 2 2 2 2 2 2" xfId="11083"/>
    <cellStyle name="Normal 2 2 3 2 4 2 2 2 2 2 3" xfId="11084"/>
    <cellStyle name="Normal 2 2 3 2 4 2 2 2 2 3" xfId="11085"/>
    <cellStyle name="Normal 2 2 3 2 4 2 2 2 2 3 2" xfId="11086"/>
    <cellStyle name="Normal 2 2 3 2 4 2 2 2 2 4" xfId="11087"/>
    <cellStyle name="Normal 2 2 3 2 4 2 2 2 3" xfId="11088"/>
    <cellStyle name="Normal 2 2 3 2 4 2 2 2 3 2" xfId="11089"/>
    <cellStyle name="Normal 2 2 3 2 4 2 2 2 3 2 2" xfId="11090"/>
    <cellStyle name="Normal 2 2 3 2 4 2 2 2 3 3" xfId="11091"/>
    <cellStyle name="Normal 2 2 3 2 4 2 2 2 4" xfId="11092"/>
    <cellStyle name="Normal 2 2 3 2 4 2 2 2 4 2" xfId="11093"/>
    <cellStyle name="Normal 2 2 3 2 4 2 2 2 5" xfId="11094"/>
    <cellStyle name="Normal 2 2 3 2 4 2 2 3" xfId="3848"/>
    <cellStyle name="Normal 2 2 3 2 4 2 2 3 2" xfId="11095"/>
    <cellStyle name="Normal 2 2 3 2 4 2 2 3 2 2" xfId="11096"/>
    <cellStyle name="Normal 2 2 3 2 4 2 2 3 2 2 2" xfId="11097"/>
    <cellStyle name="Normal 2 2 3 2 4 2 2 3 2 3" xfId="11098"/>
    <cellStyle name="Normal 2 2 3 2 4 2 2 3 3" xfId="11099"/>
    <cellStyle name="Normal 2 2 3 2 4 2 2 3 3 2" xfId="11100"/>
    <cellStyle name="Normal 2 2 3 2 4 2 2 3 4" xfId="11101"/>
    <cellStyle name="Normal 2 2 3 2 4 2 2 4" xfId="11102"/>
    <cellStyle name="Normal 2 2 3 2 4 2 2 4 2" xfId="11103"/>
    <cellStyle name="Normal 2 2 3 2 4 2 2 4 2 2" xfId="11104"/>
    <cellStyle name="Normal 2 2 3 2 4 2 2 4 3" xfId="11105"/>
    <cellStyle name="Normal 2 2 3 2 4 2 2 5" xfId="11106"/>
    <cellStyle name="Normal 2 2 3 2 4 2 2 5 2" xfId="11107"/>
    <cellStyle name="Normal 2 2 3 2 4 2 2 6" xfId="11108"/>
    <cellStyle name="Normal 2 2 3 2 4 2 3" xfId="1808"/>
    <cellStyle name="Normal 2 2 3 2 4 2 3 2" xfId="4528"/>
    <cellStyle name="Normal 2 2 3 2 4 2 3 2 2" xfId="11109"/>
    <cellStyle name="Normal 2 2 3 2 4 2 3 2 2 2" xfId="11110"/>
    <cellStyle name="Normal 2 2 3 2 4 2 3 2 2 2 2" xfId="11111"/>
    <cellStyle name="Normal 2 2 3 2 4 2 3 2 2 3" xfId="11112"/>
    <cellStyle name="Normal 2 2 3 2 4 2 3 2 3" xfId="11113"/>
    <cellStyle name="Normal 2 2 3 2 4 2 3 2 3 2" xfId="11114"/>
    <cellStyle name="Normal 2 2 3 2 4 2 3 2 4" xfId="11115"/>
    <cellStyle name="Normal 2 2 3 2 4 2 3 3" xfId="11116"/>
    <cellStyle name="Normal 2 2 3 2 4 2 3 3 2" xfId="11117"/>
    <cellStyle name="Normal 2 2 3 2 4 2 3 3 2 2" xfId="11118"/>
    <cellStyle name="Normal 2 2 3 2 4 2 3 3 3" xfId="11119"/>
    <cellStyle name="Normal 2 2 3 2 4 2 3 4" xfId="11120"/>
    <cellStyle name="Normal 2 2 3 2 4 2 3 4 2" xfId="11121"/>
    <cellStyle name="Normal 2 2 3 2 4 2 3 5" xfId="11122"/>
    <cellStyle name="Normal 2 2 3 2 4 2 4" xfId="3168"/>
    <cellStyle name="Normal 2 2 3 2 4 2 4 2" xfId="11123"/>
    <cellStyle name="Normal 2 2 3 2 4 2 4 2 2" xfId="11124"/>
    <cellStyle name="Normal 2 2 3 2 4 2 4 2 2 2" xfId="11125"/>
    <cellStyle name="Normal 2 2 3 2 4 2 4 2 3" xfId="11126"/>
    <cellStyle name="Normal 2 2 3 2 4 2 4 3" xfId="11127"/>
    <cellStyle name="Normal 2 2 3 2 4 2 4 3 2" xfId="11128"/>
    <cellStyle name="Normal 2 2 3 2 4 2 4 4" xfId="11129"/>
    <cellStyle name="Normal 2 2 3 2 4 2 5" xfId="11130"/>
    <cellStyle name="Normal 2 2 3 2 4 2 5 2" xfId="11131"/>
    <cellStyle name="Normal 2 2 3 2 4 2 5 2 2" xfId="11132"/>
    <cellStyle name="Normal 2 2 3 2 4 2 5 3" xfId="11133"/>
    <cellStyle name="Normal 2 2 3 2 4 2 6" xfId="11134"/>
    <cellStyle name="Normal 2 2 3 2 4 2 6 2" xfId="11135"/>
    <cellStyle name="Normal 2 2 3 2 4 2 7" xfId="11136"/>
    <cellStyle name="Normal 2 2 3 2 4 3" xfId="856"/>
    <cellStyle name="Normal 2 2 3 2 4 3 2" xfId="2216"/>
    <cellStyle name="Normal 2 2 3 2 4 3 2 2" xfId="4936"/>
    <cellStyle name="Normal 2 2 3 2 4 3 2 2 2" xfId="11137"/>
    <cellStyle name="Normal 2 2 3 2 4 3 2 2 2 2" xfId="11138"/>
    <cellStyle name="Normal 2 2 3 2 4 3 2 2 2 2 2" xfId="11139"/>
    <cellStyle name="Normal 2 2 3 2 4 3 2 2 2 3" xfId="11140"/>
    <cellStyle name="Normal 2 2 3 2 4 3 2 2 3" xfId="11141"/>
    <cellStyle name="Normal 2 2 3 2 4 3 2 2 3 2" xfId="11142"/>
    <cellStyle name="Normal 2 2 3 2 4 3 2 2 4" xfId="11143"/>
    <cellStyle name="Normal 2 2 3 2 4 3 2 3" xfId="11144"/>
    <cellStyle name="Normal 2 2 3 2 4 3 2 3 2" xfId="11145"/>
    <cellStyle name="Normal 2 2 3 2 4 3 2 3 2 2" xfId="11146"/>
    <cellStyle name="Normal 2 2 3 2 4 3 2 3 3" xfId="11147"/>
    <cellStyle name="Normal 2 2 3 2 4 3 2 4" xfId="11148"/>
    <cellStyle name="Normal 2 2 3 2 4 3 2 4 2" xfId="11149"/>
    <cellStyle name="Normal 2 2 3 2 4 3 2 5" xfId="11150"/>
    <cellStyle name="Normal 2 2 3 2 4 3 3" xfId="3576"/>
    <cellStyle name="Normal 2 2 3 2 4 3 3 2" xfId="11151"/>
    <cellStyle name="Normal 2 2 3 2 4 3 3 2 2" xfId="11152"/>
    <cellStyle name="Normal 2 2 3 2 4 3 3 2 2 2" xfId="11153"/>
    <cellStyle name="Normal 2 2 3 2 4 3 3 2 3" xfId="11154"/>
    <cellStyle name="Normal 2 2 3 2 4 3 3 3" xfId="11155"/>
    <cellStyle name="Normal 2 2 3 2 4 3 3 3 2" xfId="11156"/>
    <cellStyle name="Normal 2 2 3 2 4 3 3 4" xfId="11157"/>
    <cellStyle name="Normal 2 2 3 2 4 3 4" xfId="11158"/>
    <cellStyle name="Normal 2 2 3 2 4 3 4 2" xfId="11159"/>
    <cellStyle name="Normal 2 2 3 2 4 3 4 2 2" xfId="11160"/>
    <cellStyle name="Normal 2 2 3 2 4 3 4 3" xfId="11161"/>
    <cellStyle name="Normal 2 2 3 2 4 3 5" xfId="11162"/>
    <cellStyle name="Normal 2 2 3 2 4 3 5 2" xfId="11163"/>
    <cellStyle name="Normal 2 2 3 2 4 3 6" xfId="11164"/>
    <cellStyle name="Normal 2 2 3 2 4 4" xfId="1536"/>
    <cellStyle name="Normal 2 2 3 2 4 4 2" xfId="4256"/>
    <cellStyle name="Normal 2 2 3 2 4 4 2 2" xfId="11165"/>
    <cellStyle name="Normal 2 2 3 2 4 4 2 2 2" xfId="11166"/>
    <cellStyle name="Normal 2 2 3 2 4 4 2 2 2 2" xfId="11167"/>
    <cellStyle name="Normal 2 2 3 2 4 4 2 2 3" xfId="11168"/>
    <cellStyle name="Normal 2 2 3 2 4 4 2 3" xfId="11169"/>
    <cellStyle name="Normal 2 2 3 2 4 4 2 3 2" xfId="11170"/>
    <cellStyle name="Normal 2 2 3 2 4 4 2 4" xfId="11171"/>
    <cellStyle name="Normal 2 2 3 2 4 4 3" xfId="11172"/>
    <cellStyle name="Normal 2 2 3 2 4 4 3 2" xfId="11173"/>
    <cellStyle name="Normal 2 2 3 2 4 4 3 2 2" xfId="11174"/>
    <cellStyle name="Normal 2 2 3 2 4 4 3 3" xfId="11175"/>
    <cellStyle name="Normal 2 2 3 2 4 4 4" xfId="11176"/>
    <cellStyle name="Normal 2 2 3 2 4 4 4 2" xfId="11177"/>
    <cellStyle name="Normal 2 2 3 2 4 4 5" xfId="11178"/>
    <cellStyle name="Normal 2 2 3 2 4 5" xfId="2896"/>
    <cellStyle name="Normal 2 2 3 2 4 5 2" xfId="11179"/>
    <cellStyle name="Normal 2 2 3 2 4 5 2 2" xfId="11180"/>
    <cellStyle name="Normal 2 2 3 2 4 5 2 2 2" xfId="11181"/>
    <cellStyle name="Normal 2 2 3 2 4 5 2 3" xfId="11182"/>
    <cellStyle name="Normal 2 2 3 2 4 5 3" xfId="11183"/>
    <cellStyle name="Normal 2 2 3 2 4 5 3 2" xfId="11184"/>
    <cellStyle name="Normal 2 2 3 2 4 5 4" xfId="11185"/>
    <cellStyle name="Normal 2 2 3 2 4 6" xfId="11186"/>
    <cellStyle name="Normal 2 2 3 2 4 6 2" xfId="11187"/>
    <cellStyle name="Normal 2 2 3 2 4 6 2 2" xfId="11188"/>
    <cellStyle name="Normal 2 2 3 2 4 6 3" xfId="11189"/>
    <cellStyle name="Normal 2 2 3 2 4 7" xfId="11190"/>
    <cellStyle name="Normal 2 2 3 2 4 7 2" xfId="11191"/>
    <cellStyle name="Normal 2 2 3 2 4 8" xfId="11192"/>
    <cellStyle name="Normal 2 2 3 2 5" xfId="312"/>
    <cellStyle name="Normal 2 2 3 2 5 2" xfId="992"/>
    <cellStyle name="Normal 2 2 3 2 5 2 2" xfId="2352"/>
    <cellStyle name="Normal 2 2 3 2 5 2 2 2" xfId="5072"/>
    <cellStyle name="Normal 2 2 3 2 5 2 2 2 2" xfId="11193"/>
    <cellStyle name="Normal 2 2 3 2 5 2 2 2 2 2" xfId="11194"/>
    <cellStyle name="Normal 2 2 3 2 5 2 2 2 2 2 2" xfId="11195"/>
    <cellStyle name="Normal 2 2 3 2 5 2 2 2 2 3" xfId="11196"/>
    <cellStyle name="Normal 2 2 3 2 5 2 2 2 3" xfId="11197"/>
    <cellStyle name="Normal 2 2 3 2 5 2 2 2 3 2" xfId="11198"/>
    <cellStyle name="Normal 2 2 3 2 5 2 2 2 4" xfId="11199"/>
    <cellStyle name="Normal 2 2 3 2 5 2 2 3" xfId="11200"/>
    <cellStyle name="Normal 2 2 3 2 5 2 2 3 2" xfId="11201"/>
    <cellStyle name="Normal 2 2 3 2 5 2 2 3 2 2" xfId="11202"/>
    <cellStyle name="Normal 2 2 3 2 5 2 2 3 3" xfId="11203"/>
    <cellStyle name="Normal 2 2 3 2 5 2 2 4" xfId="11204"/>
    <cellStyle name="Normal 2 2 3 2 5 2 2 4 2" xfId="11205"/>
    <cellStyle name="Normal 2 2 3 2 5 2 2 5" xfId="11206"/>
    <cellStyle name="Normal 2 2 3 2 5 2 3" xfId="3712"/>
    <cellStyle name="Normal 2 2 3 2 5 2 3 2" xfId="11207"/>
    <cellStyle name="Normal 2 2 3 2 5 2 3 2 2" xfId="11208"/>
    <cellStyle name="Normal 2 2 3 2 5 2 3 2 2 2" xfId="11209"/>
    <cellStyle name="Normal 2 2 3 2 5 2 3 2 3" xfId="11210"/>
    <cellStyle name="Normal 2 2 3 2 5 2 3 3" xfId="11211"/>
    <cellStyle name="Normal 2 2 3 2 5 2 3 3 2" xfId="11212"/>
    <cellStyle name="Normal 2 2 3 2 5 2 3 4" xfId="11213"/>
    <cellStyle name="Normal 2 2 3 2 5 2 4" xfId="11214"/>
    <cellStyle name="Normal 2 2 3 2 5 2 4 2" xfId="11215"/>
    <cellStyle name="Normal 2 2 3 2 5 2 4 2 2" xfId="11216"/>
    <cellStyle name="Normal 2 2 3 2 5 2 4 3" xfId="11217"/>
    <cellStyle name="Normal 2 2 3 2 5 2 5" xfId="11218"/>
    <cellStyle name="Normal 2 2 3 2 5 2 5 2" xfId="11219"/>
    <cellStyle name="Normal 2 2 3 2 5 2 6" xfId="11220"/>
    <cellStyle name="Normal 2 2 3 2 5 3" xfId="1672"/>
    <cellStyle name="Normal 2 2 3 2 5 3 2" xfId="4392"/>
    <cellStyle name="Normal 2 2 3 2 5 3 2 2" xfId="11221"/>
    <cellStyle name="Normal 2 2 3 2 5 3 2 2 2" xfId="11222"/>
    <cellStyle name="Normal 2 2 3 2 5 3 2 2 2 2" xfId="11223"/>
    <cellStyle name="Normal 2 2 3 2 5 3 2 2 3" xfId="11224"/>
    <cellStyle name="Normal 2 2 3 2 5 3 2 3" xfId="11225"/>
    <cellStyle name="Normal 2 2 3 2 5 3 2 3 2" xfId="11226"/>
    <cellStyle name="Normal 2 2 3 2 5 3 2 4" xfId="11227"/>
    <cellStyle name="Normal 2 2 3 2 5 3 3" xfId="11228"/>
    <cellStyle name="Normal 2 2 3 2 5 3 3 2" xfId="11229"/>
    <cellStyle name="Normal 2 2 3 2 5 3 3 2 2" xfId="11230"/>
    <cellStyle name="Normal 2 2 3 2 5 3 3 3" xfId="11231"/>
    <cellStyle name="Normal 2 2 3 2 5 3 4" xfId="11232"/>
    <cellStyle name="Normal 2 2 3 2 5 3 4 2" xfId="11233"/>
    <cellStyle name="Normal 2 2 3 2 5 3 5" xfId="11234"/>
    <cellStyle name="Normal 2 2 3 2 5 4" xfId="3032"/>
    <cellStyle name="Normal 2 2 3 2 5 4 2" xfId="11235"/>
    <cellStyle name="Normal 2 2 3 2 5 4 2 2" xfId="11236"/>
    <cellStyle name="Normal 2 2 3 2 5 4 2 2 2" xfId="11237"/>
    <cellStyle name="Normal 2 2 3 2 5 4 2 3" xfId="11238"/>
    <cellStyle name="Normal 2 2 3 2 5 4 3" xfId="11239"/>
    <cellStyle name="Normal 2 2 3 2 5 4 3 2" xfId="11240"/>
    <cellStyle name="Normal 2 2 3 2 5 4 4" xfId="11241"/>
    <cellStyle name="Normal 2 2 3 2 5 5" xfId="11242"/>
    <cellStyle name="Normal 2 2 3 2 5 5 2" xfId="11243"/>
    <cellStyle name="Normal 2 2 3 2 5 5 2 2" xfId="11244"/>
    <cellStyle name="Normal 2 2 3 2 5 5 3" xfId="11245"/>
    <cellStyle name="Normal 2 2 3 2 5 6" xfId="11246"/>
    <cellStyle name="Normal 2 2 3 2 5 6 2" xfId="11247"/>
    <cellStyle name="Normal 2 2 3 2 5 7" xfId="11248"/>
    <cellStyle name="Normal 2 2 3 2 6" xfId="584"/>
    <cellStyle name="Normal 2 2 3 2 6 2" xfId="1264"/>
    <cellStyle name="Normal 2 2 3 2 6 2 2" xfId="2624"/>
    <cellStyle name="Normal 2 2 3 2 6 2 2 2" xfId="5344"/>
    <cellStyle name="Normal 2 2 3 2 6 2 2 2 2" xfId="11249"/>
    <cellStyle name="Normal 2 2 3 2 6 2 2 2 2 2" xfId="11250"/>
    <cellStyle name="Normal 2 2 3 2 6 2 2 2 2 2 2" xfId="11251"/>
    <cellStyle name="Normal 2 2 3 2 6 2 2 2 2 3" xfId="11252"/>
    <cellStyle name="Normal 2 2 3 2 6 2 2 2 3" xfId="11253"/>
    <cellStyle name="Normal 2 2 3 2 6 2 2 2 3 2" xfId="11254"/>
    <cellStyle name="Normal 2 2 3 2 6 2 2 2 4" xfId="11255"/>
    <cellStyle name="Normal 2 2 3 2 6 2 2 3" xfId="11256"/>
    <cellStyle name="Normal 2 2 3 2 6 2 2 3 2" xfId="11257"/>
    <cellStyle name="Normal 2 2 3 2 6 2 2 3 2 2" xfId="11258"/>
    <cellStyle name="Normal 2 2 3 2 6 2 2 3 3" xfId="11259"/>
    <cellStyle name="Normal 2 2 3 2 6 2 2 4" xfId="11260"/>
    <cellStyle name="Normal 2 2 3 2 6 2 2 4 2" xfId="11261"/>
    <cellStyle name="Normal 2 2 3 2 6 2 2 5" xfId="11262"/>
    <cellStyle name="Normal 2 2 3 2 6 2 3" xfId="3984"/>
    <cellStyle name="Normal 2 2 3 2 6 2 3 2" xfId="11263"/>
    <cellStyle name="Normal 2 2 3 2 6 2 3 2 2" xfId="11264"/>
    <cellStyle name="Normal 2 2 3 2 6 2 3 2 2 2" xfId="11265"/>
    <cellStyle name="Normal 2 2 3 2 6 2 3 2 3" xfId="11266"/>
    <cellStyle name="Normal 2 2 3 2 6 2 3 3" xfId="11267"/>
    <cellStyle name="Normal 2 2 3 2 6 2 3 3 2" xfId="11268"/>
    <cellStyle name="Normal 2 2 3 2 6 2 3 4" xfId="11269"/>
    <cellStyle name="Normal 2 2 3 2 6 2 4" xfId="11270"/>
    <cellStyle name="Normal 2 2 3 2 6 2 4 2" xfId="11271"/>
    <cellStyle name="Normal 2 2 3 2 6 2 4 2 2" xfId="11272"/>
    <cellStyle name="Normal 2 2 3 2 6 2 4 3" xfId="11273"/>
    <cellStyle name="Normal 2 2 3 2 6 2 5" xfId="11274"/>
    <cellStyle name="Normal 2 2 3 2 6 2 5 2" xfId="11275"/>
    <cellStyle name="Normal 2 2 3 2 6 2 6" xfId="11276"/>
    <cellStyle name="Normal 2 2 3 2 6 3" xfId="1944"/>
    <cellStyle name="Normal 2 2 3 2 6 3 2" xfId="4664"/>
    <cellStyle name="Normal 2 2 3 2 6 3 2 2" xfId="11277"/>
    <cellStyle name="Normal 2 2 3 2 6 3 2 2 2" xfId="11278"/>
    <cellStyle name="Normal 2 2 3 2 6 3 2 2 2 2" xfId="11279"/>
    <cellStyle name="Normal 2 2 3 2 6 3 2 2 3" xfId="11280"/>
    <cellStyle name="Normal 2 2 3 2 6 3 2 3" xfId="11281"/>
    <cellStyle name="Normal 2 2 3 2 6 3 2 3 2" xfId="11282"/>
    <cellStyle name="Normal 2 2 3 2 6 3 2 4" xfId="11283"/>
    <cellStyle name="Normal 2 2 3 2 6 3 3" xfId="11284"/>
    <cellStyle name="Normal 2 2 3 2 6 3 3 2" xfId="11285"/>
    <cellStyle name="Normal 2 2 3 2 6 3 3 2 2" xfId="11286"/>
    <cellStyle name="Normal 2 2 3 2 6 3 3 3" xfId="11287"/>
    <cellStyle name="Normal 2 2 3 2 6 3 4" xfId="11288"/>
    <cellStyle name="Normal 2 2 3 2 6 3 4 2" xfId="11289"/>
    <cellStyle name="Normal 2 2 3 2 6 3 5" xfId="11290"/>
    <cellStyle name="Normal 2 2 3 2 6 4" xfId="3304"/>
    <cellStyle name="Normal 2 2 3 2 6 4 2" xfId="11291"/>
    <cellStyle name="Normal 2 2 3 2 6 4 2 2" xfId="11292"/>
    <cellStyle name="Normal 2 2 3 2 6 4 2 2 2" xfId="11293"/>
    <cellStyle name="Normal 2 2 3 2 6 4 2 3" xfId="11294"/>
    <cellStyle name="Normal 2 2 3 2 6 4 3" xfId="11295"/>
    <cellStyle name="Normal 2 2 3 2 6 4 3 2" xfId="11296"/>
    <cellStyle name="Normal 2 2 3 2 6 4 4" xfId="11297"/>
    <cellStyle name="Normal 2 2 3 2 6 5" xfId="11298"/>
    <cellStyle name="Normal 2 2 3 2 6 5 2" xfId="11299"/>
    <cellStyle name="Normal 2 2 3 2 6 5 2 2" xfId="11300"/>
    <cellStyle name="Normal 2 2 3 2 6 5 3" xfId="11301"/>
    <cellStyle name="Normal 2 2 3 2 6 6" xfId="11302"/>
    <cellStyle name="Normal 2 2 3 2 6 6 2" xfId="11303"/>
    <cellStyle name="Normal 2 2 3 2 6 7" xfId="11304"/>
    <cellStyle name="Normal 2 2 3 2 7" xfId="720"/>
    <cellStyle name="Normal 2 2 3 2 7 2" xfId="2080"/>
    <cellStyle name="Normal 2 2 3 2 7 2 2" xfId="4800"/>
    <cellStyle name="Normal 2 2 3 2 7 2 2 2" xfId="11305"/>
    <cellStyle name="Normal 2 2 3 2 7 2 2 2 2" xfId="11306"/>
    <cellStyle name="Normal 2 2 3 2 7 2 2 2 2 2" xfId="11307"/>
    <cellStyle name="Normal 2 2 3 2 7 2 2 2 3" xfId="11308"/>
    <cellStyle name="Normal 2 2 3 2 7 2 2 3" xfId="11309"/>
    <cellStyle name="Normal 2 2 3 2 7 2 2 3 2" xfId="11310"/>
    <cellStyle name="Normal 2 2 3 2 7 2 2 4" xfId="11311"/>
    <cellStyle name="Normal 2 2 3 2 7 2 3" xfId="11312"/>
    <cellStyle name="Normal 2 2 3 2 7 2 3 2" xfId="11313"/>
    <cellStyle name="Normal 2 2 3 2 7 2 3 2 2" xfId="11314"/>
    <cellStyle name="Normal 2 2 3 2 7 2 3 3" xfId="11315"/>
    <cellStyle name="Normal 2 2 3 2 7 2 4" xfId="11316"/>
    <cellStyle name="Normal 2 2 3 2 7 2 4 2" xfId="11317"/>
    <cellStyle name="Normal 2 2 3 2 7 2 5" xfId="11318"/>
    <cellStyle name="Normal 2 2 3 2 7 3" xfId="3440"/>
    <cellStyle name="Normal 2 2 3 2 7 3 2" xfId="11319"/>
    <cellStyle name="Normal 2 2 3 2 7 3 2 2" xfId="11320"/>
    <cellStyle name="Normal 2 2 3 2 7 3 2 2 2" xfId="11321"/>
    <cellStyle name="Normal 2 2 3 2 7 3 2 3" xfId="11322"/>
    <cellStyle name="Normal 2 2 3 2 7 3 3" xfId="11323"/>
    <cellStyle name="Normal 2 2 3 2 7 3 3 2" xfId="11324"/>
    <cellStyle name="Normal 2 2 3 2 7 3 4" xfId="11325"/>
    <cellStyle name="Normal 2 2 3 2 7 4" xfId="11326"/>
    <cellStyle name="Normal 2 2 3 2 7 4 2" xfId="11327"/>
    <cellStyle name="Normal 2 2 3 2 7 4 2 2" xfId="11328"/>
    <cellStyle name="Normal 2 2 3 2 7 4 3" xfId="11329"/>
    <cellStyle name="Normal 2 2 3 2 7 5" xfId="11330"/>
    <cellStyle name="Normal 2 2 3 2 7 5 2" xfId="11331"/>
    <cellStyle name="Normal 2 2 3 2 7 6" xfId="11332"/>
    <cellStyle name="Normal 2 2 3 2 8" xfId="1400"/>
    <cellStyle name="Normal 2 2 3 2 8 2" xfId="4120"/>
    <cellStyle name="Normal 2 2 3 2 8 2 2" xfId="11333"/>
    <cellStyle name="Normal 2 2 3 2 8 2 2 2" xfId="11334"/>
    <cellStyle name="Normal 2 2 3 2 8 2 2 2 2" xfId="11335"/>
    <cellStyle name="Normal 2 2 3 2 8 2 2 3" xfId="11336"/>
    <cellStyle name="Normal 2 2 3 2 8 2 3" xfId="11337"/>
    <cellStyle name="Normal 2 2 3 2 8 2 3 2" xfId="11338"/>
    <cellStyle name="Normal 2 2 3 2 8 2 4" xfId="11339"/>
    <cellStyle name="Normal 2 2 3 2 8 3" xfId="11340"/>
    <cellStyle name="Normal 2 2 3 2 8 3 2" xfId="11341"/>
    <cellStyle name="Normal 2 2 3 2 8 3 2 2" xfId="11342"/>
    <cellStyle name="Normal 2 2 3 2 8 3 3" xfId="11343"/>
    <cellStyle name="Normal 2 2 3 2 8 4" xfId="11344"/>
    <cellStyle name="Normal 2 2 3 2 8 4 2" xfId="11345"/>
    <cellStyle name="Normal 2 2 3 2 8 5" xfId="11346"/>
    <cellStyle name="Normal 2 2 3 2 9" xfId="2760"/>
    <cellStyle name="Normal 2 2 3 2 9 2" xfId="11347"/>
    <cellStyle name="Normal 2 2 3 2 9 2 2" xfId="11348"/>
    <cellStyle name="Normal 2 2 3 2 9 2 2 2" xfId="11349"/>
    <cellStyle name="Normal 2 2 3 2 9 2 3" xfId="11350"/>
    <cellStyle name="Normal 2 2 3 2 9 3" xfId="11351"/>
    <cellStyle name="Normal 2 2 3 2 9 3 2" xfId="11352"/>
    <cellStyle name="Normal 2 2 3 2 9 4" xfId="11353"/>
    <cellStyle name="Normal 2 2 3 3" xfId="56"/>
    <cellStyle name="Normal 2 2 3 3 10" xfId="11354"/>
    <cellStyle name="Normal 2 2 3 3 10 2" xfId="11355"/>
    <cellStyle name="Normal 2 2 3 3 11" xfId="11356"/>
    <cellStyle name="Normal 2 2 3 3 2" xfId="124"/>
    <cellStyle name="Normal 2 2 3 3 2 10" xfId="11357"/>
    <cellStyle name="Normal 2 2 3 3 2 2" xfId="261"/>
    <cellStyle name="Normal 2 2 3 3 2 2 2" xfId="533"/>
    <cellStyle name="Normal 2 2 3 3 2 2 2 2" xfId="1213"/>
    <cellStyle name="Normal 2 2 3 3 2 2 2 2 2" xfId="2573"/>
    <cellStyle name="Normal 2 2 3 3 2 2 2 2 2 2" xfId="5293"/>
    <cellStyle name="Normal 2 2 3 3 2 2 2 2 2 2 2" xfId="11358"/>
    <cellStyle name="Normal 2 2 3 3 2 2 2 2 2 2 2 2" xfId="11359"/>
    <cellStyle name="Normal 2 2 3 3 2 2 2 2 2 2 2 2 2" xfId="11360"/>
    <cellStyle name="Normal 2 2 3 3 2 2 2 2 2 2 2 3" xfId="11361"/>
    <cellStyle name="Normal 2 2 3 3 2 2 2 2 2 2 3" xfId="11362"/>
    <cellStyle name="Normal 2 2 3 3 2 2 2 2 2 2 3 2" xfId="11363"/>
    <cellStyle name="Normal 2 2 3 3 2 2 2 2 2 2 4" xfId="11364"/>
    <cellStyle name="Normal 2 2 3 3 2 2 2 2 2 3" xfId="11365"/>
    <cellStyle name="Normal 2 2 3 3 2 2 2 2 2 3 2" xfId="11366"/>
    <cellStyle name="Normal 2 2 3 3 2 2 2 2 2 3 2 2" xfId="11367"/>
    <cellStyle name="Normal 2 2 3 3 2 2 2 2 2 3 3" xfId="11368"/>
    <cellStyle name="Normal 2 2 3 3 2 2 2 2 2 4" xfId="11369"/>
    <cellStyle name="Normal 2 2 3 3 2 2 2 2 2 4 2" xfId="11370"/>
    <cellStyle name="Normal 2 2 3 3 2 2 2 2 2 5" xfId="11371"/>
    <cellStyle name="Normal 2 2 3 3 2 2 2 2 3" xfId="3933"/>
    <cellStyle name="Normal 2 2 3 3 2 2 2 2 3 2" xfId="11372"/>
    <cellStyle name="Normal 2 2 3 3 2 2 2 2 3 2 2" xfId="11373"/>
    <cellStyle name="Normal 2 2 3 3 2 2 2 2 3 2 2 2" xfId="11374"/>
    <cellStyle name="Normal 2 2 3 3 2 2 2 2 3 2 3" xfId="11375"/>
    <cellStyle name="Normal 2 2 3 3 2 2 2 2 3 3" xfId="11376"/>
    <cellStyle name="Normal 2 2 3 3 2 2 2 2 3 3 2" xfId="11377"/>
    <cellStyle name="Normal 2 2 3 3 2 2 2 2 3 4" xfId="11378"/>
    <cellStyle name="Normal 2 2 3 3 2 2 2 2 4" xfId="11379"/>
    <cellStyle name="Normal 2 2 3 3 2 2 2 2 4 2" xfId="11380"/>
    <cellStyle name="Normal 2 2 3 3 2 2 2 2 4 2 2" xfId="11381"/>
    <cellStyle name="Normal 2 2 3 3 2 2 2 2 4 3" xfId="11382"/>
    <cellStyle name="Normal 2 2 3 3 2 2 2 2 5" xfId="11383"/>
    <cellStyle name="Normal 2 2 3 3 2 2 2 2 5 2" xfId="11384"/>
    <cellStyle name="Normal 2 2 3 3 2 2 2 2 6" xfId="11385"/>
    <cellStyle name="Normal 2 2 3 3 2 2 2 3" xfId="1893"/>
    <cellStyle name="Normal 2 2 3 3 2 2 2 3 2" xfId="4613"/>
    <cellStyle name="Normal 2 2 3 3 2 2 2 3 2 2" xfId="11386"/>
    <cellStyle name="Normal 2 2 3 3 2 2 2 3 2 2 2" xfId="11387"/>
    <cellStyle name="Normal 2 2 3 3 2 2 2 3 2 2 2 2" xfId="11388"/>
    <cellStyle name="Normal 2 2 3 3 2 2 2 3 2 2 3" xfId="11389"/>
    <cellStyle name="Normal 2 2 3 3 2 2 2 3 2 3" xfId="11390"/>
    <cellStyle name="Normal 2 2 3 3 2 2 2 3 2 3 2" xfId="11391"/>
    <cellStyle name="Normal 2 2 3 3 2 2 2 3 2 4" xfId="11392"/>
    <cellStyle name="Normal 2 2 3 3 2 2 2 3 3" xfId="11393"/>
    <cellStyle name="Normal 2 2 3 3 2 2 2 3 3 2" xfId="11394"/>
    <cellStyle name="Normal 2 2 3 3 2 2 2 3 3 2 2" xfId="11395"/>
    <cellStyle name="Normal 2 2 3 3 2 2 2 3 3 3" xfId="11396"/>
    <cellStyle name="Normal 2 2 3 3 2 2 2 3 4" xfId="11397"/>
    <cellStyle name="Normal 2 2 3 3 2 2 2 3 4 2" xfId="11398"/>
    <cellStyle name="Normal 2 2 3 3 2 2 2 3 5" xfId="11399"/>
    <cellStyle name="Normal 2 2 3 3 2 2 2 4" xfId="3253"/>
    <cellStyle name="Normal 2 2 3 3 2 2 2 4 2" xfId="11400"/>
    <cellStyle name="Normal 2 2 3 3 2 2 2 4 2 2" xfId="11401"/>
    <cellStyle name="Normal 2 2 3 3 2 2 2 4 2 2 2" xfId="11402"/>
    <cellStyle name="Normal 2 2 3 3 2 2 2 4 2 3" xfId="11403"/>
    <cellStyle name="Normal 2 2 3 3 2 2 2 4 3" xfId="11404"/>
    <cellStyle name="Normal 2 2 3 3 2 2 2 4 3 2" xfId="11405"/>
    <cellStyle name="Normal 2 2 3 3 2 2 2 4 4" xfId="11406"/>
    <cellStyle name="Normal 2 2 3 3 2 2 2 5" xfId="11407"/>
    <cellStyle name="Normal 2 2 3 3 2 2 2 5 2" xfId="11408"/>
    <cellStyle name="Normal 2 2 3 3 2 2 2 5 2 2" xfId="11409"/>
    <cellStyle name="Normal 2 2 3 3 2 2 2 5 3" xfId="11410"/>
    <cellStyle name="Normal 2 2 3 3 2 2 2 6" xfId="11411"/>
    <cellStyle name="Normal 2 2 3 3 2 2 2 6 2" xfId="11412"/>
    <cellStyle name="Normal 2 2 3 3 2 2 2 7" xfId="11413"/>
    <cellStyle name="Normal 2 2 3 3 2 2 3" xfId="941"/>
    <cellStyle name="Normal 2 2 3 3 2 2 3 2" xfId="2301"/>
    <cellStyle name="Normal 2 2 3 3 2 2 3 2 2" xfId="5021"/>
    <cellStyle name="Normal 2 2 3 3 2 2 3 2 2 2" xfId="11414"/>
    <cellStyle name="Normal 2 2 3 3 2 2 3 2 2 2 2" xfId="11415"/>
    <cellStyle name="Normal 2 2 3 3 2 2 3 2 2 2 2 2" xfId="11416"/>
    <cellStyle name="Normal 2 2 3 3 2 2 3 2 2 2 3" xfId="11417"/>
    <cellStyle name="Normal 2 2 3 3 2 2 3 2 2 3" xfId="11418"/>
    <cellStyle name="Normal 2 2 3 3 2 2 3 2 2 3 2" xfId="11419"/>
    <cellStyle name="Normal 2 2 3 3 2 2 3 2 2 4" xfId="11420"/>
    <cellStyle name="Normal 2 2 3 3 2 2 3 2 3" xfId="11421"/>
    <cellStyle name="Normal 2 2 3 3 2 2 3 2 3 2" xfId="11422"/>
    <cellStyle name="Normal 2 2 3 3 2 2 3 2 3 2 2" xfId="11423"/>
    <cellStyle name="Normal 2 2 3 3 2 2 3 2 3 3" xfId="11424"/>
    <cellStyle name="Normal 2 2 3 3 2 2 3 2 4" xfId="11425"/>
    <cellStyle name="Normal 2 2 3 3 2 2 3 2 4 2" xfId="11426"/>
    <cellStyle name="Normal 2 2 3 3 2 2 3 2 5" xfId="11427"/>
    <cellStyle name="Normal 2 2 3 3 2 2 3 3" xfId="3661"/>
    <cellStyle name="Normal 2 2 3 3 2 2 3 3 2" xfId="11428"/>
    <cellStyle name="Normal 2 2 3 3 2 2 3 3 2 2" xfId="11429"/>
    <cellStyle name="Normal 2 2 3 3 2 2 3 3 2 2 2" xfId="11430"/>
    <cellStyle name="Normal 2 2 3 3 2 2 3 3 2 3" xfId="11431"/>
    <cellStyle name="Normal 2 2 3 3 2 2 3 3 3" xfId="11432"/>
    <cellStyle name="Normal 2 2 3 3 2 2 3 3 3 2" xfId="11433"/>
    <cellStyle name="Normal 2 2 3 3 2 2 3 3 4" xfId="11434"/>
    <cellStyle name="Normal 2 2 3 3 2 2 3 4" xfId="11435"/>
    <cellStyle name="Normal 2 2 3 3 2 2 3 4 2" xfId="11436"/>
    <cellStyle name="Normal 2 2 3 3 2 2 3 4 2 2" xfId="11437"/>
    <cellStyle name="Normal 2 2 3 3 2 2 3 4 3" xfId="11438"/>
    <cellStyle name="Normal 2 2 3 3 2 2 3 5" xfId="11439"/>
    <cellStyle name="Normal 2 2 3 3 2 2 3 5 2" xfId="11440"/>
    <cellStyle name="Normal 2 2 3 3 2 2 3 6" xfId="11441"/>
    <cellStyle name="Normal 2 2 3 3 2 2 4" xfId="1621"/>
    <cellStyle name="Normal 2 2 3 3 2 2 4 2" xfId="4341"/>
    <cellStyle name="Normal 2 2 3 3 2 2 4 2 2" xfId="11442"/>
    <cellStyle name="Normal 2 2 3 3 2 2 4 2 2 2" xfId="11443"/>
    <cellStyle name="Normal 2 2 3 3 2 2 4 2 2 2 2" xfId="11444"/>
    <cellStyle name="Normal 2 2 3 3 2 2 4 2 2 3" xfId="11445"/>
    <cellStyle name="Normal 2 2 3 3 2 2 4 2 3" xfId="11446"/>
    <cellStyle name="Normal 2 2 3 3 2 2 4 2 3 2" xfId="11447"/>
    <cellStyle name="Normal 2 2 3 3 2 2 4 2 4" xfId="11448"/>
    <cellStyle name="Normal 2 2 3 3 2 2 4 3" xfId="11449"/>
    <cellStyle name="Normal 2 2 3 3 2 2 4 3 2" xfId="11450"/>
    <cellStyle name="Normal 2 2 3 3 2 2 4 3 2 2" xfId="11451"/>
    <cellStyle name="Normal 2 2 3 3 2 2 4 3 3" xfId="11452"/>
    <cellStyle name="Normal 2 2 3 3 2 2 4 4" xfId="11453"/>
    <cellStyle name="Normal 2 2 3 3 2 2 4 4 2" xfId="11454"/>
    <cellStyle name="Normal 2 2 3 3 2 2 4 5" xfId="11455"/>
    <cellStyle name="Normal 2 2 3 3 2 2 5" xfId="2981"/>
    <cellStyle name="Normal 2 2 3 3 2 2 5 2" xfId="11456"/>
    <cellStyle name="Normal 2 2 3 3 2 2 5 2 2" xfId="11457"/>
    <cellStyle name="Normal 2 2 3 3 2 2 5 2 2 2" xfId="11458"/>
    <cellStyle name="Normal 2 2 3 3 2 2 5 2 3" xfId="11459"/>
    <cellStyle name="Normal 2 2 3 3 2 2 5 3" xfId="11460"/>
    <cellStyle name="Normal 2 2 3 3 2 2 5 3 2" xfId="11461"/>
    <cellStyle name="Normal 2 2 3 3 2 2 5 4" xfId="11462"/>
    <cellStyle name="Normal 2 2 3 3 2 2 6" xfId="11463"/>
    <cellStyle name="Normal 2 2 3 3 2 2 6 2" xfId="11464"/>
    <cellStyle name="Normal 2 2 3 3 2 2 6 2 2" xfId="11465"/>
    <cellStyle name="Normal 2 2 3 3 2 2 6 3" xfId="11466"/>
    <cellStyle name="Normal 2 2 3 3 2 2 7" xfId="11467"/>
    <cellStyle name="Normal 2 2 3 3 2 2 7 2" xfId="11468"/>
    <cellStyle name="Normal 2 2 3 3 2 2 8" xfId="11469"/>
    <cellStyle name="Normal 2 2 3 3 2 3" xfId="397"/>
    <cellStyle name="Normal 2 2 3 3 2 3 2" xfId="1077"/>
    <cellStyle name="Normal 2 2 3 3 2 3 2 2" xfId="2437"/>
    <cellStyle name="Normal 2 2 3 3 2 3 2 2 2" xfId="5157"/>
    <cellStyle name="Normal 2 2 3 3 2 3 2 2 2 2" xfId="11470"/>
    <cellStyle name="Normal 2 2 3 3 2 3 2 2 2 2 2" xfId="11471"/>
    <cellStyle name="Normal 2 2 3 3 2 3 2 2 2 2 2 2" xfId="11472"/>
    <cellStyle name="Normal 2 2 3 3 2 3 2 2 2 2 3" xfId="11473"/>
    <cellStyle name="Normal 2 2 3 3 2 3 2 2 2 3" xfId="11474"/>
    <cellStyle name="Normal 2 2 3 3 2 3 2 2 2 3 2" xfId="11475"/>
    <cellStyle name="Normal 2 2 3 3 2 3 2 2 2 4" xfId="11476"/>
    <cellStyle name="Normal 2 2 3 3 2 3 2 2 3" xfId="11477"/>
    <cellStyle name="Normal 2 2 3 3 2 3 2 2 3 2" xfId="11478"/>
    <cellStyle name="Normal 2 2 3 3 2 3 2 2 3 2 2" xfId="11479"/>
    <cellStyle name="Normal 2 2 3 3 2 3 2 2 3 3" xfId="11480"/>
    <cellStyle name="Normal 2 2 3 3 2 3 2 2 4" xfId="11481"/>
    <cellStyle name="Normal 2 2 3 3 2 3 2 2 4 2" xfId="11482"/>
    <cellStyle name="Normal 2 2 3 3 2 3 2 2 5" xfId="11483"/>
    <cellStyle name="Normal 2 2 3 3 2 3 2 3" xfId="3797"/>
    <cellStyle name="Normal 2 2 3 3 2 3 2 3 2" xfId="11484"/>
    <cellStyle name="Normal 2 2 3 3 2 3 2 3 2 2" xfId="11485"/>
    <cellStyle name="Normal 2 2 3 3 2 3 2 3 2 2 2" xfId="11486"/>
    <cellStyle name="Normal 2 2 3 3 2 3 2 3 2 3" xfId="11487"/>
    <cellStyle name="Normal 2 2 3 3 2 3 2 3 3" xfId="11488"/>
    <cellStyle name="Normal 2 2 3 3 2 3 2 3 3 2" xfId="11489"/>
    <cellStyle name="Normal 2 2 3 3 2 3 2 3 4" xfId="11490"/>
    <cellStyle name="Normal 2 2 3 3 2 3 2 4" xfId="11491"/>
    <cellStyle name="Normal 2 2 3 3 2 3 2 4 2" xfId="11492"/>
    <cellStyle name="Normal 2 2 3 3 2 3 2 4 2 2" xfId="11493"/>
    <cellStyle name="Normal 2 2 3 3 2 3 2 4 3" xfId="11494"/>
    <cellStyle name="Normal 2 2 3 3 2 3 2 5" xfId="11495"/>
    <cellStyle name="Normal 2 2 3 3 2 3 2 5 2" xfId="11496"/>
    <cellStyle name="Normal 2 2 3 3 2 3 2 6" xfId="11497"/>
    <cellStyle name="Normal 2 2 3 3 2 3 3" xfId="1757"/>
    <cellStyle name="Normal 2 2 3 3 2 3 3 2" xfId="4477"/>
    <cellStyle name="Normal 2 2 3 3 2 3 3 2 2" xfId="11498"/>
    <cellStyle name="Normal 2 2 3 3 2 3 3 2 2 2" xfId="11499"/>
    <cellStyle name="Normal 2 2 3 3 2 3 3 2 2 2 2" xfId="11500"/>
    <cellStyle name="Normal 2 2 3 3 2 3 3 2 2 3" xfId="11501"/>
    <cellStyle name="Normal 2 2 3 3 2 3 3 2 3" xfId="11502"/>
    <cellStyle name="Normal 2 2 3 3 2 3 3 2 3 2" xfId="11503"/>
    <cellStyle name="Normal 2 2 3 3 2 3 3 2 4" xfId="11504"/>
    <cellStyle name="Normal 2 2 3 3 2 3 3 3" xfId="11505"/>
    <cellStyle name="Normal 2 2 3 3 2 3 3 3 2" xfId="11506"/>
    <cellStyle name="Normal 2 2 3 3 2 3 3 3 2 2" xfId="11507"/>
    <cellStyle name="Normal 2 2 3 3 2 3 3 3 3" xfId="11508"/>
    <cellStyle name="Normal 2 2 3 3 2 3 3 4" xfId="11509"/>
    <cellStyle name="Normal 2 2 3 3 2 3 3 4 2" xfId="11510"/>
    <cellStyle name="Normal 2 2 3 3 2 3 3 5" xfId="11511"/>
    <cellStyle name="Normal 2 2 3 3 2 3 4" xfId="3117"/>
    <cellStyle name="Normal 2 2 3 3 2 3 4 2" xfId="11512"/>
    <cellStyle name="Normal 2 2 3 3 2 3 4 2 2" xfId="11513"/>
    <cellStyle name="Normal 2 2 3 3 2 3 4 2 2 2" xfId="11514"/>
    <cellStyle name="Normal 2 2 3 3 2 3 4 2 3" xfId="11515"/>
    <cellStyle name="Normal 2 2 3 3 2 3 4 3" xfId="11516"/>
    <cellStyle name="Normal 2 2 3 3 2 3 4 3 2" xfId="11517"/>
    <cellStyle name="Normal 2 2 3 3 2 3 4 4" xfId="11518"/>
    <cellStyle name="Normal 2 2 3 3 2 3 5" xfId="11519"/>
    <cellStyle name="Normal 2 2 3 3 2 3 5 2" xfId="11520"/>
    <cellStyle name="Normal 2 2 3 3 2 3 5 2 2" xfId="11521"/>
    <cellStyle name="Normal 2 2 3 3 2 3 5 3" xfId="11522"/>
    <cellStyle name="Normal 2 2 3 3 2 3 6" xfId="11523"/>
    <cellStyle name="Normal 2 2 3 3 2 3 6 2" xfId="11524"/>
    <cellStyle name="Normal 2 2 3 3 2 3 7" xfId="11525"/>
    <cellStyle name="Normal 2 2 3 3 2 4" xfId="669"/>
    <cellStyle name="Normal 2 2 3 3 2 4 2" xfId="1349"/>
    <cellStyle name="Normal 2 2 3 3 2 4 2 2" xfId="2709"/>
    <cellStyle name="Normal 2 2 3 3 2 4 2 2 2" xfId="5429"/>
    <cellStyle name="Normal 2 2 3 3 2 4 2 2 2 2" xfId="11526"/>
    <cellStyle name="Normal 2 2 3 3 2 4 2 2 2 2 2" xfId="11527"/>
    <cellStyle name="Normal 2 2 3 3 2 4 2 2 2 2 2 2" xfId="11528"/>
    <cellStyle name="Normal 2 2 3 3 2 4 2 2 2 2 3" xfId="11529"/>
    <cellStyle name="Normal 2 2 3 3 2 4 2 2 2 3" xfId="11530"/>
    <cellStyle name="Normal 2 2 3 3 2 4 2 2 2 3 2" xfId="11531"/>
    <cellStyle name="Normal 2 2 3 3 2 4 2 2 2 4" xfId="11532"/>
    <cellStyle name="Normal 2 2 3 3 2 4 2 2 3" xfId="11533"/>
    <cellStyle name="Normal 2 2 3 3 2 4 2 2 3 2" xfId="11534"/>
    <cellStyle name="Normal 2 2 3 3 2 4 2 2 3 2 2" xfId="11535"/>
    <cellStyle name="Normal 2 2 3 3 2 4 2 2 3 3" xfId="11536"/>
    <cellStyle name="Normal 2 2 3 3 2 4 2 2 4" xfId="11537"/>
    <cellStyle name="Normal 2 2 3 3 2 4 2 2 4 2" xfId="11538"/>
    <cellStyle name="Normal 2 2 3 3 2 4 2 2 5" xfId="11539"/>
    <cellStyle name="Normal 2 2 3 3 2 4 2 3" xfId="4069"/>
    <cellStyle name="Normal 2 2 3 3 2 4 2 3 2" xfId="11540"/>
    <cellStyle name="Normal 2 2 3 3 2 4 2 3 2 2" xfId="11541"/>
    <cellStyle name="Normal 2 2 3 3 2 4 2 3 2 2 2" xfId="11542"/>
    <cellStyle name="Normal 2 2 3 3 2 4 2 3 2 3" xfId="11543"/>
    <cellStyle name="Normal 2 2 3 3 2 4 2 3 3" xfId="11544"/>
    <cellStyle name="Normal 2 2 3 3 2 4 2 3 3 2" xfId="11545"/>
    <cellStyle name="Normal 2 2 3 3 2 4 2 3 4" xfId="11546"/>
    <cellStyle name="Normal 2 2 3 3 2 4 2 4" xfId="11547"/>
    <cellStyle name="Normal 2 2 3 3 2 4 2 4 2" xfId="11548"/>
    <cellStyle name="Normal 2 2 3 3 2 4 2 4 2 2" xfId="11549"/>
    <cellStyle name="Normal 2 2 3 3 2 4 2 4 3" xfId="11550"/>
    <cellStyle name="Normal 2 2 3 3 2 4 2 5" xfId="11551"/>
    <cellStyle name="Normal 2 2 3 3 2 4 2 5 2" xfId="11552"/>
    <cellStyle name="Normal 2 2 3 3 2 4 2 6" xfId="11553"/>
    <cellStyle name="Normal 2 2 3 3 2 4 3" xfId="2029"/>
    <cellStyle name="Normal 2 2 3 3 2 4 3 2" xfId="4749"/>
    <cellStyle name="Normal 2 2 3 3 2 4 3 2 2" xfId="11554"/>
    <cellStyle name="Normal 2 2 3 3 2 4 3 2 2 2" xfId="11555"/>
    <cellStyle name="Normal 2 2 3 3 2 4 3 2 2 2 2" xfId="11556"/>
    <cellStyle name="Normal 2 2 3 3 2 4 3 2 2 3" xfId="11557"/>
    <cellStyle name="Normal 2 2 3 3 2 4 3 2 3" xfId="11558"/>
    <cellStyle name="Normal 2 2 3 3 2 4 3 2 3 2" xfId="11559"/>
    <cellStyle name="Normal 2 2 3 3 2 4 3 2 4" xfId="11560"/>
    <cellStyle name="Normal 2 2 3 3 2 4 3 3" xfId="11561"/>
    <cellStyle name="Normal 2 2 3 3 2 4 3 3 2" xfId="11562"/>
    <cellStyle name="Normal 2 2 3 3 2 4 3 3 2 2" xfId="11563"/>
    <cellStyle name="Normal 2 2 3 3 2 4 3 3 3" xfId="11564"/>
    <cellStyle name="Normal 2 2 3 3 2 4 3 4" xfId="11565"/>
    <cellStyle name="Normal 2 2 3 3 2 4 3 4 2" xfId="11566"/>
    <cellStyle name="Normal 2 2 3 3 2 4 3 5" xfId="11567"/>
    <cellStyle name="Normal 2 2 3 3 2 4 4" xfId="3389"/>
    <cellStyle name="Normal 2 2 3 3 2 4 4 2" xfId="11568"/>
    <cellStyle name="Normal 2 2 3 3 2 4 4 2 2" xfId="11569"/>
    <cellStyle name="Normal 2 2 3 3 2 4 4 2 2 2" xfId="11570"/>
    <cellStyle name="Normal 2 2 3 3 2 4 4 2 3" xfId="11571"/>
    <cellStyle name="Normal 2 2 3 3 2 4 4 3" xfId="11572"/>
    <cellStyle name="Normal 2 2 3 3 2 4 4 3 2" xfId="11573"/>
    <cellStyle name="Normal 2 2 3 3 2 4 4 4" xfId="11574"/>
    <cellStyle name="Normal 2 2 3 3 2 4 5" xfId="11575"/>
    <cellStyle name="Normal 2 2 3 3 2 4 5 2" xfId="11576"/>
    <cellStyle name="Normal 2 2 3 3 2 4 5 2 2" xfId="11577"/>
    <cellStyle name="Normal 2 2 3 3 2 4 5 3" xfId="11578"/>
    <cellStyle name="Normal 2 2 3 3 2 4 6" xfId="11579"/>
    <cellStyle name="Normal 2 2 3 3 2 4 6 2" xfId="11580"/>
    <cellStyle name="Normal 2 2 3 3 2 4 7" xfId="11581"/>
    <cellStyle name="Normal 2 2 3 3 2 5" xfId="805"/>
    <cellStyle name="Normal 2 2 3 3 2 5 2" xfId="2165"/>
    <cellStyle name="Normal 2 2 3 3 2 5 2 2" xfId="4885"/>
    <cellStyle name="Normal 2 2 3 3 2 5 2 2 2" xfId="11582"/>
    <cellStyle name="Normal 2 2 3 3 2 5 2 2 2 2" xfId="11583"/>
    <cellStyle name="Normal 2 2 3 3 2 5 2 2 2 2 2" xfId="11584"/>
    <cellStyle name="Normal 2 2 3 3 2 5 2 2 2 3" xfId="11585"/>
    <cellStyle name="Normal 2 2 3 3 2 5 2 2 3" xfId="11586"/>
    <cellStyle name="Normal 2 2 3 3 2 5 2 2 3 2" xfId="11587"/>
    <cellStyle name="Normal 2 2 3 3 2 5 2 2 4" xfId="11588"/>
    <cellStyle name="Normal 2 2 3 3 2 5 2 3" xfId="11589"/>
    <cellStyle name="Normal 2 2 3 3 2 5 2 3 2" xfId="11590"/>
    <cellStyle name="Normal 2 2 3 3 2 5 2 3 2 2" xfId="11591"/>
    <cellStyle name="Normal 2 2 3 3 2 5 2 3 3" xfId="11592"/>
    <cellStyle name="Normal 2 2 3 3 2 5 2 4" xfId="11593"/>
    <cellStyle name="Normal 2 2 3 3 2 5 2 4 2" xfId="11594"/>
    <cellStyle name="Normal 2 2 3 3 2 5 2 5" xfId="11595"/>
    <cellStyle name="Normal 2 2 3 3 2 5 3" xfId="3525"/>
    <cellStyle name="Normal 2 2 3 3 2 5 3 2" xfId="11596"/>
    <cellStyle name="Normal 2 2 3 3 2 5 3 2 2" xfId="11597"/>
    <cellStyle name="Normal 2 2 3 3 2 5 3 2 2 2" xfId="11598"/>
    <cellStyle name="Normal 2 2 3 3 2 5 3 2 3" xfId="11599"/>
    <cellStyle name="Normal 2 2 3 3 2 5 3 3" xfId="11600"/>
    <cellStyle name="Normal 2 2 3 3 2 5 3 3 2" xfId="11601"/>
    <cellStyle name="Normal 2 2 3 3 2 5 3 4" xfId="11602"/>
    <cellStyle name="Normal 2 2 3 3 2 5 4" xfId="11603"/>
    <cellStyle name="Normal 2 2 3 3 2 5 4 2" xfId="11604"/>
    <cellStyle name="Normal 2 2 3 3 2 5 4 2 2" xfId="11605"/>
    <cellStyle name="Normal 2 2 3 3 2 5 4 3" xfId="11606"/>
    <cellStyle name="Normal 2 2 3 3 2 5 5" xfId="11607"/>
    <cellStyle name="Normal 2 2 3 3 2 5 5 2" xfId="11608"/>
    <cellStyle name="Normal 2 2 3 3 2 5 6" xfId="11609"/>
    <cellStyle name="Normal 2 2 3 3 2 6" xfId="1485"/>
    <cellStyle name="Normal 2 2 3 3 2 6 2" xfId="4205"/>
    <cellStyle name="Normal 2 2 3 3 2 6 2 2" xfId="11610"/>
    <cellStyle name="Normal 2 2 3 3 2 6 2 2 2" xfId="11611"/>
    <cellStyle name="Normal 2 2 3 3 2 6 2 2 2 2" xfId="11612"/>
    <cellStyle name="Normal 2 2 3 3 2 6 2 2 3" xfId="11613"/>
    <cellStyle name="Normal 2 2 3 3 2 6 2 3" xfId="11614"/>
    <cellStyle name="Normal 2 2 3 3 2 6 2 3 2" xfId="11615"/>
    <cellStyle name="Normal 2 2 3 3 2 6 2 4" xfId="11616"/>
    <cellStyle name="Normal 2 2 3 3 2 6 3" xfId="11617"/>
    <cellStyle name="Normal 2 2 3 3 2 6 3 2" xfId="11618"/>
    <cellStyle name="Normal 2 2 3 3 2 6 3 2 2" xfId="11619"/>
    <cellStyle name="Normal 2 2 3 3 2 6 3 3" xfId="11620"/>
    <cellStyle name="Normal 2 2 3 3 2 6 4" xfId="11621"/>
    <cellStyle name="Normal 2 2 3 3 2 6 4 2" xfId="11622"/>
    <cellStyle name="Normal 2 2 3 3 2 6 5" xfId="11623"/>
    <cellStyle name="Normal 2 2 3 3 2 7" xfId="2845"/>
    <cellStyle name="Normal 2 2 3 3 2 7 2" xfId="11624"/>
    <cellStyle name="Normal 2 2 3 3 2 7 2 2" xfId="11625"/>
    <cellStyle name="Normal 2 2 3 3 2 7 2 2 2" xfId="11626"/>
    <cellStyle name="Normal 2 2 3 3 2 7 2 3" xfId="11627"/>
    <cellStyle name="Normal 2 2 3 3 2 7 3" xfId="11628"/>
    <cellStyle name="Normal 2 2 3 3 2 7 3 2" xfId="11629"/>
    <cellStyle name="Normal 2 2 3 3 2 7 4" xfId="11630"/>
    <cellStyle name="Normal 2 2 3 3 2 8" xfId="11631"/>
    <cellStyle name="Normal 2 2 3 3 2 8 2" xfId="11632"/>
    <cellStyle name="Normal 2 2 3 3 2 8 2 2" xfId="11633"/>
    <cellStyle name="Normal 2 2 3 3 2 8 3" xfId="11634"/>
    <cellStyle name="Normal 2 2 3 3 2 9" xfId="11635"/>
    <cellStyle name="Normal 2 2 3 3 2 9 2" xfId="11636"/>
    <cellStyle name="Normal 2 2 3 3 3" xfId="193"/>
    <cellStyle name="Normal 2 2 3 3 3 2" xfId="465"/>
    <cellStyle name="Normal 2 2 3 3 3 2 2" xfId="1145"/>
    <cellStyle name="Normal 2 2 3 3 3 2 2 2" xfId="2505"/>
    <cellStyle name="Normal 2 2 3 3 3 2 2 2 2" xfId="5225"/>
    <cellStyle name="Normal 2 2 3 3 3 2 2 2 2 2" xfId="11637"/>
    <cellStyle name="Normal 2 2 3 3 3 2 2 2 2 2 2" xfId="11638"/>
    <cellStyle name="Normal 2 2 3 3 3 2 2 2 2 2 2 2" xfId="11639"/>
    <cellStyle name="Normal 2 2 3 3 3 2 2 2 2 2 3" xfId="11640"/>
    <cellStyle name="Normal 2 2 3 3 3 2 2 2 2 3" xfId="11641"/>
    <cellStyle name="Normal 2 2 3 3 3 2 2 2 2 3 2" xfId="11642"/>
    <cellStyle name="Normal 2 2 3 3 3 2 2 2 2 4" xfId="11643"/>
    <cellStyle name="Normal 2 2 3 3 3 2 2 2 3" xfId="11644"/>
    <cellStyle name="Normal 2 2 3 3 3 2 2 2 3 2" xfId="11645"/>
    <cellStyle name="Normal 2 2 3 3 3 2 2 2 3 2 2" xfId="11646"/>
    <cellStyle name="Normal 2 2 3 3 3 2 2 2 3 3" xfId="11647"/>
    <cellStyle name="Normal 2 2 3 3 3 2 2 2 4" xfId="11648"/>
    <cellStyle name="Normal 2 2 3 3 3 2 2 2 4 2" xfId="11649"/>
    <cellStyle name="Normal 2 2 3 3 3 2 2 2 5" xfId="11650"/>
    <cellStyle name="Normal 2 2 3 3 3 2 2 3" xfId="3865"/>
    <cellStyle name="Normal 2 2 3 3 3 2 2 3 2" xfId="11651"/>
    <cellStyle name="Normal 2 2 3 3 3 2 2 3 2 2" xfId="11652"/>
    <cellStyle name="Normal 2 2 3 3 3 2 2 3 2 2 2" xfId="11653"/>
    <cellStyle name="Normal 2 2 3 3 3 2 2 3 2 3" xfId="11654"/>
    <cellStyle name="Normal 2 2 3 3 3 2 2 3 3" xfId="11655"/>
    <cellStyle name="Normal 2 2 3 3 3 2 2 3 3 2" xfId="11656"/>
    <cellStyle name="Normal 2 2 3 3 3 2 2 3 4" xfId="11657"/>
    <cellStyle name="Normal 2 2 3 3 3 2 2 4" xfId="11658"/>
    <cellStyle name="Normal 2 2 3 3 3 2 2 4 2" xfId="11659"/>
    <cellStyle name="Normal 2 2 3 3 3 2 2 4 2 2" xfId="11660"/>
    <cellStyle name="Normal 2 2 3 3 3 2 2 4 3" xfId="11661"/>
    <cellStyle name="Normal 2 2 3 3 3 2 2 5" xfId="11662"/>
    <cellStyle name="Normal 2 2 3 3 3 2 2 5 2" xfId="11663"/>
    <cellStyle name="Normal 2 2 3 3 3 2 2 6" xfId="11664"/>
    <cellStyle name="Normal 2 2 3 3 3 2 3" xfId="1825"/>
    <cellStyle name="Normal 2 2 3 3 3 2 3 2" xfId="4545"/>
    <cellStyle name="Normal 2 2 3 3 3 2 3 2 2" xfId="11665"/>
    <cellStyle name="Normal 2 2 3 3 3 2 3 2 2 2" xfId="11666"/>
    <cellStyle name="Normal 2 2 3 3 3 2 3 2 2 2 2" xfId="11667"/>
    <cellStyle name="Normal 2 2 3 3 3 2 3 2 2 3" xfId="11668"/>
    <cellStyle name="Normal 2 2 3 3 3 2 3 2 3" xfId="11669"/>
    <cellStyle name="Normal 2 2 3 3 3 2 3 2 3 2" xfId="11670"/>
    <cellStyle name="Normal 2 2 3 3 3 2 3 2 4" xfId="11671"/>
    <cellStyle name="Normal 2 2 3 3 3 2 3 3" xfId="11672"/>
    <cellStyle name="Normal 2 2 3 3 3 2 3 3 2" xfId="11673"/>
    <cellStyle name="Normal 2 2 3 3 3 2 3 3 2 2" xfId="11674"/>
    <cellStyle name="Normal 2 2 3 3 3 2 3 3 3" xfId="11675"/>
    <cellStyle name="Normal 2 2 3 3 3 2 3 4" xfId="11676"/>
    <cellStyle name="Normal 2 2 3 3 3 2 3 4 2" xfId="11677"/>
    <cellStyle name="Normal 2 2 3 3 3 2 3 5" xfId="11678"/>
    <cellStyle name="Normal 2 2 3 3 3 2 4" xfId="3185"/>
    <cellStyle name="Normal 2 2 3 3 3 2 4 2" xfId="11679"/>
    <cellStyle name="Normal 2 2 3 3 3 2 4 2 2" xfId="11680"/>
    <cellStyle name="Normal 2 2 3 3 3 2 4 2 2 2" xfId="11681"/>
    <cellStyle name="Normal 2 2 3 3 3 2 4 2 3" xfId="11682"/>
    <cellStyle name="Normal 2 2 3 3 3 2 4 3" xfId="11683"/>
    <cellStyle name="Normal 2 2 3 3 3 2 4 3 2" xfId="11684"/>
    <cellStyle name="Normal 2 2 3 3 3 2 4 4" xfId="11685"/>
    <cellStyle name="Normal 2 2 3 3 3 2 5" xfId="11686"/>
    <cellStyle name="Normal 2 2 3 3 3 2 5 2" xfId="11687"/>
    <cellStyle name="Normal 2 2 3 3 3 2 5 2 2" xfId="11688"/>
    <cellStyle name="Normal 2 2 3 3 3 2 5 3" xfId="11689"/>
    <cellStyle name="Normal 2 2 3 3 3 2 6" xfId="11690"/>
    <cellStyle name="Normal 2 2 3 3 3 2 6 2" xfId="11691"/>
    <cellStyle name="Normal 2 2 3 3 3 2 7" xfId="11692"/>
    <cellStyle name="Normal 2 2 3 3 3 3" xfId="873"/>
    <cellStyle name="Normal 2 2 3 3 3 3 2" xfId="2233"/>
    <cellStyle name="Normal 2 2 3 3 3 3 2 2" xfId="4953"/>
    <cellStyle name="Normal 2 2 3 3 3 3 2 2 2" xfId="11693"/>
    <cellStyle name="Normal 2 2 3 3 3 3 2 2 2 2" xfId="11694"/>
    <cellStyle name="Normal 2 2 3 3 3 3 2 2 2 2 2" xfId="11695"/>
    <cellStyle name="Normal 2 2 3 3 3 3 2 2 2 3" xfId="11696"/>
    <cellStyle name="Normal 2 2 3 3 3 3 2 2 3" xfId="11697"/>
    <cellStyle name="Normal 2 2 3 3 3 3 2 2 3 2" xfId="11698"/>
    <cellStyle name="Normal 2 2 3 3 3 3 2 2 4" xfId="11699"/>
    <cellStyle name="Normal 2 2 3 3 3 3 2 3" xfId="11700"/>
    <cellStyle name="Normal 2 2 3 3 3 3 2 3 2" xfId="11701"/>
    <cellStyle name="Normal 2 2 3 3 3 3 2 3 2 2" xfId="11702"/>
    <cellStyle name="Normal 2 2 3 3 3 3 2 3 3" xfId="11703"/>
    <cellStyle name="Normal 2 2 3 3 3 3 2 4" xfId="11704"/>
    <cellStyle name="Normal 2 2 3 3 3 3 2 4 2" xfId="11705"/>
    <cellStyle name="Normal 2 2 3 3 3 3 2 5" xfId="11706"/>
    <cellStyle name="Normal 2 2 3 3 3 3 3" xfId="3593"/>
    <cellStyle name="Normal 2 2 3 3 3 3 3 2" xfId="11707"/>
    <cellStyle name="Normal 2 2 3 3 3 3 3 2 2" xfId="11708"/>
    <cellStyle name="Normal 2 2 3 3 3 3 3 2 2 2" xfId="11709"/>
    <cellStyle name="Normal 2 2 3 3 3 3 3 2 3" xfId="11710"/>
    <cellStyle name="Normal 2 2 3 3 3 3 3 3" xfId="11711"/>
    <cellStyle name="Normal 2 2 3 3 3 3 3 3 2" xfId="11712"/>
    <cellStyle name="Normal 2 2 3 3 3 3 3 4" xfId="11713"/>
    <cellStyle name="Normal 2 2 3 3 3 3 4" xfId="11714"/>
    <cellStyle name="Normal 2 2 3 3 3 3 4 2" xfId="11715"/>
    <cellStyle name="Normal 2 2 3 3 3 3 4 2 2" xfId="11716"/>
    <cellStyle name="Normal 2 2 3 3 3 3 4 3" xfId="11717"/>
    <cellStyle name="Normal 2 2 3 3 3 3 5" xfId="11718"/>
    <cellStyle name="Normal 2 2 3 3 3 3 5 2" xfId="11719"/>
    <cellStyle name="Normal 2 2 3 3 3 3 6" xfId="11720"/>
    <cellStyle name="Normal 2 2 3 3 3 4" xfId="1553"/>
    <cellStyle name="Normal 2 2 3 3 3 4 2" xfId="4273"/>
    <cellStyle name="Normal 2 2 3 3 3 4 2 2" xfId="11721"/>
    <cellStyle name="Normal 2 2 3 3 3 4 2 2 2" xfId="11722"/>
    <cellStyle name="Normal 2 2 3 3 3 4 2 2 2 2" xfId="11723"/>
    <cellStyle name="Normal 2 2 3 3 3 4 2 2 3" xfId="11724"/>
    <cellStyle name="Normal 2 2 3 3 3 4 2 3" xfId="11725"/>
    <cellStyle name="Normal 2 2 3 3 3 4 2 3 2" xfId="11726"/>
    <cellStyle name="Normal 2 2 3 3 3 4 2 4" xfId="11727"/>
    <cellStyle name="Normal 2 2 3 3 3 4 3" xfId="11728"/>
    <cellStyle name="Normal 2 2 3 3 3 4 3 2" xfId="11729"/>
    <cellStyle name="Normal 2 2 3 3 3 4 3 2 2" xfId="11730"/>
    <cellStyle name="Normal 2 2 3 3 3 4 3 3" xfId="11731"/>
    <cellStyle name="Normal 2 2 3 3 3 4 4" xfId="11732"/>
    <cellStyle name="Normal 2 2 3 3 3 4 4 2" xfId="11733"/>
    <cellStyle name="Normal 2 2 3 3 3 4 5" xfId="11734"/>
    <cellStyle name="Normal 2 2 3 3 3 5" xfId="2913"/>
    <cellStyle name="Normal 2 2 3 3 3 5 2" xfId="11735"/>
    <cellStyle name="Normal 2 2 3 3 3 5 2 2" xfId="11736"/>
    <cellStyle name="Normal 2 2 3 3 3 5 2 2 2" xfId="11737"/>
    <cellStyle name="Normal 2 2 3 3 3 5 2 3" xfId="11738"/>
    <cellStyle name="Normal 2 2 3 3 3 5 3" xfId="11739"/>
    <cellStyle name="Normal 2 2 3 3 3 5 3 2" xfId="11740"/>
    <cellStyle name="Normal 2 2 3 3 3 5 4" xfId="11741"/>
    <cellStyle name="Normal 2 2 3 3 3 6" xfId="11742"/>
    <cellStyle name="Normal 2 2 3 3 3 6 2" xfId="11743"/>
    <cellStyle name="Normal 2 2 3 3 3 6 2 2" xfId="11744"/>
    <cellStyle name="Normal 2 2 3 3 3 6 3" xfId="11745"/>
    <cellStyle name="Normal 2 2 3 3 3 7" xfId="11746"/>
    <cellStyle name="Normal 2 2 3 3 3 7 2" xfId="11747"/>
    <cellStyle name="Normal 2 2 3 3 3 8" xfId="11748"/>
    <cellStyle name="Normal 2 2 3 3 4" xfId="329"/>
    <cellStyle name="Normal 2 2 3 3 4 2" xfId="1009"/>
    <cellStyle name="Normal 2 2 3 3 4 2 2" xfId="2369"/>
    <cellStyle name="Normal 2 2 3 3 4 2 2 2" xfId="5089"/>
    <cellStyle name="Normal 2 2 3 3 4 2 2 2 2" xfId="11749"/>
    <cellStyle name="Normal 2 2 3 3 4 2 2 2 2 2" xfId="11750"/>
    <cellStyle name="Normal 2 2 3 3 4 2 2 2 2 2 2" xfId="11751"/>
    <cellStyle name="Normal 2 2 3 3 4 2 2 2 2 3" xfId="11752"/>
    <cellStyle name="Normal 2 2 3 3 4 2 2 2 3" xfId="11753"/>
    <cellStyle name="Normal 2 2 3 3 4 2 2 2 3 2" xfId="11754"/>
    <cellStyle name="Normal 2 2 3 3 4 2 2 2 4" xfId="11755"/>
    <cellStyle name="Normal 2 2 3 3 4 2 2 3" xfId="11756"/>
    <cellStyle name="Normal 2 2 3 3 4 2 2 3 2" xfId="11757"/>
    <cellStyle name="Normal 2 2 3 3 4 2 2 3 2 2" xfId="11758"/>
    <cellStyle name="Normal 2 2 3 3 4 2 2 3 3" xfId="11759"/>
    <cellStyle name="Normal 2 2 3 3 4 2 2 4" xfId="11760"/>
    <cellStyle name="Normal 2 2 3 3 4 2 2 4 2" xfId="11761"/>
    <cellStyle name="Normal 2 2 3 3 4 2 2 5" xfId="11762"/>
    <cellStyle name="Normal 2 2 3 3 4 2 3" xfId="3729"/>
    <cellStyle name="Normal 2 2 3 3 4 2 3 2" xfId="11763"/>
    <cellStyle name="Normal 2 2 3 3 4 2 3 2 2" xfId="11764"/>
    <cellStyle name="Normal 2 2 3 3 4 2 3 2 2 2" xfId="11765"/>
    <cellStyle name="Normal 2 2 3 3 4 2 3 2 3" xfId="11766"/>
    <cellStyle name="Normal 2 2 3 3 4 2 3 3" xfId="11767"/>
    <cellStyle name="Normal 2 2 3 3 4 2 3 3 2" xfId="11768"/>
    <cellStyle name="Normal 2 2 3 3 4 2 3 4" xfId="11769"/>
    <cellStyle name="Normal 2 2 3 3 4 2 4" xfId="11770"/>
    <cellStyle name="Normal 2 2 3 3 4 2 4 2" xfId="11771"/>
    <cellStyle name="Normal 2 2 3 3 4 2 4 2 2" xfId="11772"/>
    <cellStyle name="Normal 2 2 3 3 4 2 4 3" xfId="11773"/>
    <cellStyle name="Normal 2 2 3 3 4 2 5" xfId="11774"/>
    <cellStyle name="Normal 2 2 3 3 4 2 5 2" xfId="11775"/>
    <cellStyle name="Normal 2 2 3 3 4 2 6" xfId="11776"/>
    <cellStyle name="Normal 2 2 3 3 4 3" xfId="1689"/>
    <cellStyle name="Normal 2 2 3 3 4 3 2" xfId="4409"/>
    <cellStyle name="Normal 2 2 3 3 4 3 2 2" xfId="11777"/>
    <cellStyle name="Normal 2 2 3 3 4 3 2 2 2" xfId="11778"/>
    <cellStyle name="Normal 2 2 3 3 4 3 2 2 2 2" xfId="11779"/>
    <cellStyle name="Normal 2 2 3 3 4 3 2 2 3" xfId="11780"/>
    <cellStyle name="Normal 2 2 3 3 4 3 2 3" xfId="11781"/>
    <cellStyle name="Normal 2 2 3 3 4 3 2 3 2" xfId="11782"/>
    <cellStyle name="Normal 2 2 3 3 4 3 2 4" xfId="11783"/>
    <cellStyle name="Normal 2 2 3 3 4 3 3" xfId="11784"/>
    <cellStyle name="Normal 2 2 3 3 4 3 3 2" xfId="11785"/>
    <cellStyle name="Normal 2 2 3 3 4 3 3 2 2" xfId="11786"/>
    <cellStyle name="Normal 2 2 3 3 4 3 3 3" xfId="11787"/>
    <cellStyle name="Normal 2 2 3 3 4 3 4" xfId="11788"/>
    <cellStyle name="Normal 2 2 3 3 4 3 4 2" xfId="11789"/>
    <cellStyle name="Normal 2 2 3 3 4 3 5" xfId="11790"/>
    <cellStyle name="Normal 2 2 3 3 4 4" xfId="3049"/>
    <cellStyle name="Normal 2 2 3 3 4 4 2" xfId="11791"/>
    <cellStyle name="Normal 2 2 3 3 4 4 2 2" xfId="11792"/>
    <cellStyle name="Normal 2 2 3 3 4 4 2 2 2" xfId="11793"/>
    <cellStyle name="Normal 2 2 3 3 4 4 2 3" xfId="11794"/>
    <cellStyle name="Normal 2 2 3 3 4 4 3" xfId="11795"/>
    <cellStyle name="Normal 2 2 3 3 4 4 3 2" xfId="11796"/>
    <cellStyle name="Normal 2 2 3 3 4 4 4" xfId="11797"/>
    <cellStyle name="Normal 2 2 3 3 4 5" xfId="11798"/>
    <cellStyle name="Normal 2 2 3 3 4 5 2" xfId="11799"/>
    <cellStyle name="Normal 2 2 3 3 4 5 2 2" xfId="11800"/>
    <cellStyle name="Normal 2 2 3 3 4 5 3" xfId="11801"/>
    <cellStyle name="Normal 2 2 3 3 4 6" xfId="11802"/>
    <cellStyle name="Normal 2 2 3 3 4 6 2" xfId="11803"/>
    <cellStyle name="Normal 2 2 3 3 4 7" xfId="11804"/>
    <cellStyle name="Normal 2 2 3 3 5" xfId="601"/>
    <cellStyle name="Normal 2 2 3 3 5 2" xfId="1281"/>
    <cellStyle name="Normal 2 2 3 3 5 2 2" xfId="2641"/>
    <cellStyle name="Normal 2 2 3 3 5 2 2 2" xfId="5361"/>
    <cellStyle name="Normal 2 2 3 3 5 2 2 2 2" xfId="11805"/>
    <cellStyle name="Normal 2 2 3 3 5 2 2 2 2 2" xfId="11806"/>
    <cellStyle name="Normal 2 2 3 3 5 2 2 2 2 2 2" xfId="11807"/>
    <cellStyle name="Normal 2 2 3 3 5 2 2 2 2 3" xfId="11808"/>
    <cellStyle name="Normal 2 2 3 3 5 2 2 2 3" xfId="11809"/>
    <cellStyle name="Normal 2 2 3 3 5 2 2 2 3 2" xfId="11810"/>
    <cellStyle name="Normal 2 2 3 3 5 2 2 2 4" xfId="11811"/>
    <cellStyle name="Normal 2 2 3 3 5 2 2 3" xfId="11812"/>
    <cellStyle name="Normal 2 2 3 3 5 2 2 3 2" xfId="11813"/>
    <cellStyle name="Normal 2 2 3 3 5 2 2 3 2 2" xfId="11814"/>
    <cellStyle name="Normal 2 2 3 3 5 2 2 3 3" xfId="11815"/>
    <cellStyle name="Normal 2 2 3 3 5 2 2 4" xfId="11816"/>
    <cellStyle name="Normal 2 2 3 3 5 2 2 4 2" xfId="11817"/>
    <cellStyle name="Normal 2 2 3 3 5 2 2 5" xfId="11818"/>
    <cellStyle name="Normal 2 2 3 3 5 2 3" xfId="4001"/>
    <cellStyle name="Normal 2 2 3 3 5 2 3 2" xfId="11819"/>
    <cellStyle name="Normal 2 2 3 3 5 2 3 2 2" xfId="11820"/>
    <cellStyle name="Normal 2 2 3 3 5 2 3 2 2 2" xfId="11821"/>
    <cellStyle name="Normal 2 2 3 3 5 2 3 2 3" xfId="11822"/>
    <cellStyle name="Normal 2 2 3 3 5 2 3 3" xfId="11823"/>
    <cellStyle name="Normal 2 2 3 3 5 2 3 3 2" xfId="11824"/>
    <cellStyle name="Normal 2 2 3 3 5 2 3 4" xfId="11825"/>
    <cellStyle name="Normal 2 2 3 3 5 2 4" xfId="11826"/>
    <cellStyle name="Normal 2 2 3 3 5 2 4 2" xfId="11827"/>
    <cellStyle name="Normal 2 2 3 3 5 2 4 2 2" xfId="11828"/>
    <cellStyle name="Normal 2 2 3 3 5 2 4 3" xfId="11829"/>
    <cellStyle name="Normal 2 2 3 3 5 2 5" xfId="11830"/>
    <cellStyle name="Normal 2 2 3 3 5 2 5 2" xfId="11831"/>
    <cellStyle name="Normal 2 2 3 3 5 2 6" xfId="11832"/>
    <cellStyle name="Normal 2 2 3 3 5 3" xfId="1961"/>
    <cellStyle name="Normal 2 2 3 3 5 3 2" xfId="4681"/>
    <cellStyle name="Normal 2 2 3 3 5 3 2 2" xfId="11833"/>
    <cellStyle name="Normal 2 2 3 3 5 3 2 2 2" xfId="11834"/>
    <cellStyle name="Normal 2 2 3 3 5 3 2 2 2 2" xfId="11835"/>
    <cellStyle name="Normal 2 2 3 3 5 3 2 2 3" xfId="11836"/>
    <cellStyle name="Normal 2 2 3 3 5 3 2 3" xfId="11837"/>
    <cellStyle name="Normal 2 2 3 3 5 3 2 3 2" xfId="11838"/>
    <cellStyle name="Normal 2 2 3 3 5 3 2 4" xfId="11839"/>
    <cellStyle name="Normal 2 2 3 3 5 3 3" xfId="11840"/>
    <cellStyle name="Normal 2 2 3 3 5 3 3 2" xfId="11841"/>
    <cellStyle name="Normal 2 2 3 3 5 3 3 2 2" xfId="11842"/>
    <cellStyle name="Normal 2 2 3 3 5 3 3 3" xfId="11843"/>
    <cellStyle name="Normal 2 2 3 3 5 3 4" xfId="11844"/>
    <cellStyle name="Normal 2 2 3 3 5 3 4 2" xfId="11845"/>
    <cellStyle name="Normal 2 2 3 3 5 3 5" xfId="11846"/>
    <cellStyle name="Normal 2 2 3 3 5 4" xfId="3321"/>
    <cellStyle name="Normal 2 2 3 3 5 4 2" xfId="11847"/>
    <cellStyle name="Normal 2 2 3 3 5 4 2 2" xfId="11848"/>
    <cellStyle name="Normal 2 2 3 3 5 4 2 2 2" xfId="11849"/>
    <cellStyle name="Normal 2 2 3 3 5 4 2 3" xfId="11850"/>
    <cellStyle name="Normal 2 2 3 3 5 4 3" xfId="11851"/>
    <cellStyle name="Normal 2 2 3 3 5 4 3 2" xfId="11852"/>
    <cellStyle name="Normal 2 2 3 3 5 4 4" xfId="11853"/>
    <cellStyle name="Normal 2 2 3 3 5 5" xfId="11854"/>
    <cellStyle name="Normal 2 2 3 3 5 5 2" xfId="11855"/>
    <cellStyle name="Normal 2 2 3 3 5 5 2 2" xfId="11856"/>
    <cellStyle name="Normal 2 2 3 3 5 5 3" xfId="11857"/>
    <cellStyle name="Normal 2 2 3 3 5 6" xfId="11858"/>
    <cellStyle name="Normal 2 2 3 3 5 6 2" xfId="11859"/>
    <cellStyle name="Normal 2 2 3 3 5 7" xfId="11860"/>
    <cellStyle name="Normal 2 2 3 3 6" xfId="737"/>
    <cellStyle name="Normal 2 2 3 3 6 2" xfId="2097"/>
    <cellStyle name="Normal 2 2 3 3 6 2 2" xfId="4817"/>
    <cellStyle name="Normal 2 2 3 3 6 2 2 2" xfId="11861"/>
    <cellStyle name="Normal 2 2 3 3 6 2 2 2 2" xfId="11862"/>
    <cellStyle name="Normal 2 2 3 3 6 2 2 2 2 2" xfId="11863"/>
    <cellStyle name="Normal 2 2 3 3 6 2 2 2 3" xfId="11864"/>
    <cellStyle name="Normal 2 2 3 3 6 2 2 3" xfId="11865"/>
    <cellStyle name="Normal 2 2 3 3 6 2 2 3 2" xfId="11866"/>
    <cellStyle name="Normal 2 2 3 3 6 2 2 4" xfId="11867"/>
    <cellStyle name="Normal 2 2 3 3 6 2 3" xfId="11868"/>
    <cellStyle name="Normal 2 2 3 3 6 2 3 2" xfId="11869"/>
    <cellStyle name="Normal 2 2 3 3 6 2 3 2 2" xfId="11870"/>
    <cellStyle name="Normal 2 2 3 3 6 2 3 3" xfId="11871"/>
    <cellStyle name="Normal 2 2 3 3 6 2 4" xfId="11872"/>
    <cellStyle name="Normal 2 2 3 3 6 2 4 2" xfId="11873"/>
    <cellStyle name="Normal 2 2 3 3 6 2 5" xfId="11874"/>
    <cellStyle name="Normal 2 2 3 3 6 3" xfId="3457"/>
    <cellStyle name="Normal 2 2 3 3 6 3 2" xfId="11875"/>
    <cellStyle name="Normal 2 2 3 3 6 3 2 2" xfId="11876"/>
    <cellStyle name="Normal 2 2 3 3 6 3 2 2 2" xfId="11877"/>
    <cellStyle name="Normal 2 2 3 3 6 3 2 3" xfId="11878"/>
    <cellStyle name="Normal 2 2 3 3 6 3 3" xfId="11879"/>
    <cellStyle name="Normal 2 2 3 3 6 3 3 2" xfId="11880"/>
    <cellStyle name="Normal 2 2 3 3 6 3 4" xfId="11881"/>
    <cellStyle name="Normal 2 2 3 3 6 4" xfId="11882"/>
    <cellStyle name="Normal 2 2 3 3 6 4 2" xfId="11883"/>
    <cellStyle name="Normal 2 2 3 3 6 4 2 2" xfId="11884"/>
    <cellStyle name="Normal 2 2 3 3 6 4 3" xfId="11885"/>
    <cellStyle name="Normal 2 2 3 3 6 5" xfId="11886"/>
    <cellStyle name="Normal 2 2 3 3 6 5 2" xfId="11887"/>
    <cellStyle name="Normal 2 2 3 3 6 6" xfId="11888"/>
    <cellStyle name="Normal 2 2 3 3 7" xfId="1417"/>
    <cellStyle name="Normal 2 2 3 3 7 2" xfId="4137"/>
    <cellStyle name="Normal 2 2 3 3 7 2 2" xfId="11889"/>
    <cellStyle name="Normal 2 2 3 3 7 2 2 2" xfId="11890"/>
    <cellStyle name="Normal 2 2 3 3 7 2 2 2 2" xfId="11891"/>
    <cellStyle name="Normal 2 2 3 3 7 2 2 3" xfId="11892"/>
    <cellStyle name="Normal 2 2 3 3 7 2 3" xfId="11893"/>
    <cellStyle name="Normal 2 2 3 3 7 2 3 2" xfId="11894"/>
    <cellStyle name="Normal 2 2 3 3 7 2 4" xfId="11895"/>
    <cellStyle name="Normal 2 2 3 3 7 3" xfId="11896"/>
    <cellStyle name="Normal 2 2 3 3 7 3 2" xfId="11897"/>
    <cellStyle name="Normal 2 2 3 3 7 3 2 2" xfId="11898"/>
    <cellStyle name="Normal 2 2 3 3 7 3 3" xfId="11899"/>
    <cellStyle name="Normal 2 2 3 3 7 4" xfId="11900"/>
    <cellStyle name="Normal 2 2 3 3 7 4 2" xfId="11901"/>
    <cellStyle name="Normal 2 2 3 3 7 5" xfId="11902"/>
    <cellStyle name="Normal 2 2 3 3 8" xfId="2777"/>
    <cellStyle name="Normal 2 2 3 3 8 2" xfId="11903"/>
    <cellStyle name="Normal 2 2 3 3 8 2 2" xfId="11904"/>
    <cellStyle name="Normal 2 2 3 3 8 2 2 2" xfId="11905"/>
    <cellStyle name="Normal 2 2 3 3 8 2 3" xfId="11906"/>
    <cellStyle name="Normal 2 2 3 3 8 3" xfId="11907"/>
    <cellStyle name="Normal 2 2 3 3 8 3 2" xfId="11908"/>
    <cellStyle name="Normal 2 2 3 3 8 4" xfId="11909"/>
    <cellStyle name="Normal 2 2 3 3 9" xfId="11910"/>
    <cellStyle name="Normal 2 2 3 3 9 2" xfId="11911"/>
    <cellStyle name="Normal 2 2 3 3 9 2 2" xfId="11912"/>
    <cellStyle name="Normal 2 2 3 3 9 3" xfId="11913"/>
    <cellStyle name="Normal 2 2 3 4" xfId="90"/>
    <cellStyle name="Normal 2 2 3 4 10" xfId="11914"/>
    <cellStyle name="Normal 2 2 3 4 2" xfId="227"/>
    <cellStyle name="Normal 2 2 3 4 2 2" xfId="499"/>
    <cellStyle name="Normal 2 2 3 4 2 2 2" xfId="1179"/>
    <cellStyle name="Normal 2 2 3 4 2 2 2 2" xfId="2539"/>
    <cellStyle name="Normal 2 2 3 4 2 2 2 2 2" xfId="5259"/>
    <cellStyle name="Normal 2 2 3 4 2 2 2 2 2 2" xfId="11915"/>
    <cellStyle name="Normal 2 2 3 4 2 2 2 2 2 2 2" xfId="11916"/>
    <cellStyle name="Normal 2 2 3 4 2 2 2 2 2 2 2 2" xfId="11917"/>
    <cellStyle name="Normal 2 2 3 4 2 2 2 2 2 2 3" xfId="11918"/>
    <cellStyle name="Normal 2 2 3 4 2 2 2 2 2 3" xfId="11919"/>
    <cellStyle name="Normal 2 2 3 4 2 2 2 2 2 3 2" xfId="11920"/>
    <cellStyle name="Normal 2 2 3 4 2 2 2 2 2 4" xfId="11921"/>
    <cellStyle name="Normal 2 2 3 4 2 2 2 2 3" xfId="11922"/>
    <cellStyle name="Normal 2 2 3 4 2 2 2 2 3 2" xfId="11923"/>
    <cellStyle name="Normal 2 2 3 4 2 2 2 2 3 2 2" xfId="11924"/>
    <cellStyle name="Normal 2 2 3 4 2 2 2 2 3 3" xfId="11925"/>
    <cellStyle name="Normal 2 2 3 4 2 2 2 2 4" xfId="11926"/>
    <cellStyle name="Normal 2 2 3 4 2 2 2 2 4 2" xfId="11927"/>
    <cellStyle name="Normal 2 2 3 4 2 2 2 2 5" xfId="11928"/>
    <cellStyle name="Normal 2 2 3 4 2 2 2 3" xfId="3899"/>
    <cellStyle name="Normal 2 2 3 4 2 2 2 3 2" xfId="11929"/>
    <cellStyle name="Normal 2 2 3 4 2 2 2 3 2 2" xfId="11930"/>
    <cellStyle name="Normal 2 2 3 4 2 2 2 3 2 2 2" xfId="11931"/>
    <cellStyle name="Normal 2 2 3 4 2 2 2 3 2 3" xfId="11932"/>
    <cellStyle name="Normal 2 2 3 4 2 2 2 3 3" xfId="11933"/>
    <cellStyle name="Normal 2 2 3 4 2 2 2 3 3 2" xfId="11934"/>
    <cellStyle name="Normal 2 2 3 4 2 2 2 3 4" xfId="11935"/>
    <cellStyle name="Normal 2 2 3 4 2 2 2 4" xfId="11936"/>
    <cellStyle name="Normal 2 2 3 4 2 2 2 4 2" xfId="11937"/>
    <cellStyle name="Normal 2 2 3 4 2 2 2 4 2 2" xfId="11938"/>
    <cellStyle name="Normal 2 2 3 4 2 2 2 4 3" xfId="11939"/>
    <cellStyle name="Normal 2 2 3 4 2 2 2 5" xfId="11940"/>
    <cellStyle name="Normal 2 2 3 4 2 2 2 5 2" xfId="11941"/>
    <cellStyle name="Normal 2 2 3 4 2 2 2 6" xfId="11942"/>
    <cellStyle name="Normal 2 2 3 4 2 2 3" xfId="1859"/>
    <cellStyle name="Normal 2 2 3 4 2 2 3 2" xfId="4579"/>
    <cellStyle name="Normal 2 2 3 4 2 2 3 2 2" xfId="11943"/>
    <cellStyle name="Normal 2 2 3 4 2 2 3 2 2 2" xfId="11944"/>
    <cellStyle name="Normal 2 2 3 4 2 2 3 2 2 2 2" xfId="11945"/>
    <cellStyle name="Normal 2 2 3 4 2 2 3 2 2 3" xfId="11946"/>
    <cellStyle name="Normal 2 2 3 4 2 2 3 2 3" xfId="11947"/>
    <cellStyle name="Normal 2 2 3 4 2 2 3 2 3 2" xfId="11948"/>
    <cellStyle name="Normal 2 2 3 4 2 2 3 2 4" xfId="11949"/>
    <cellStyle name="Normal 2 2 3 4 2 2 3 3" xfId="11950"/>
    <cellStyle name="Normal 2 2 3 4 2 2 3 3 2" xfId="11951"/>
    <cellStyle name="Normal 2 2 3 4 2 2 3 3 2 2" xfId="11952"/>
    <cellStyle name="Normal 2 2 3 4 2 2 3 3 3" xfId="11953"/>
    <cellStyle name="Normal 2 2 3 4 2 2 3 4" xfId="11954"/>
    <cellStyle name="Normal 2 2 3 4 2 2 3 4 2" xfId="11955"/>
    <cellStyle name="Normal 2 2 3 4 2 2 3 5" xfId="11956"/>
    <cellStyle name="Normal 2 2 3 4 2 2 4" xfId="3219"/>
    <cellStyle name="Normal 2 2 3 4 2 2 4 2" xfId="11957"/>
    <cellStyle name="Normal 2 2 3 4 2 2 4 2 2" xfId="11958"/>
    <cellStyle name="Normal 2 2 3 4 2 2 4 2 2 2" xfId="11959"/>
    <cellStyle name="Normal 2 2 3 4 2 2 4 2 3" xfId="11960"/>
    <cellStyle name="Normal 2 2 3 4 2 2 4 3" xfId="11961"/>
    <cellStyle name="Normal 2 2 3 4 2 2 4 3 2" xfId="11962"/>
    <cellStyle name="Normal 2 2 3 4 2 2 4 4" xfId="11963"/>
    <cellStyle name="Normal 2 2 3 4 2 2 5" xfId="11964"/>
    <cellStyle name="Normal 2 2 3 4 2 2 5 2" xfId="11965"/>
    <cellStyle name="Normal 2 2 3 4 2 2 5 2 2" xfId="11966"/>
    <cellStyle name="Normal 2 2 3 4 2 2 5 3" xfId="11967"/>
    <cellStyle name="Normal 2 2 3 4 2 2 6" xfId="11968"/>
    <cellStyle name="Normal 2 2 3 4 2 2 6 2" xfId="11969"/>
    <cellStyle name="Normal 2 2 3 4 2 2 7" xfId="11970"/>
    <cellStyle name="Normal 2 2 3 4 2 3" xfId="907"/>
    <cellStyle name="Normal 2 2 3 4 2 3 2" xfId="2267"/>
    <cellStyle name="Normal 2 2 3 4 2 3 2 2" xfId="4987"/>
    <cellStyle name="Normal 2 2 3 4 2 3 2 2 2" xfId="11971"/>
    <cellStyle name="Normal 2 2 3 4 2 3 2 2 2 2" xfId="11972"/>
    <cellStyle name="Normal 2 2 3 4 2 3 2 2 2 2 2" xfId="11973"/>
    <cellStyle name="Normal 2 2 3 4 2 3 2 2 2 3" xfId="11974"/>
    <cellStyle name="Normal 2 2 3 4 2 3 2 2 3" xfId="11975"/>
    <cellStyle name="Normal 2 2 3 4 2 3 2 2 3 2" xfId="11976"/>
    <cellStyle name="Normal 2 2 3 4 2 3 2 2 4" xfId="11977"/>
    <cellStyle name="Normal 2 2 3 4 2 3 2 3" xfId="11978"/>
    <cellStyle name="Normal 2 2 3 4 2 3 2 3 2" xfId="11979"/>
    <cellStyle name="Normal 2 2 3 4 2 3 2 3 2 2" xfId="11980"/>
    <cellStyle name="Normal 2 2 3 4 2 3 2 3 3" xfId="11981"/>
    <cellStyle name="Normal 2 2 3 4 2 3 2 4" xfId="11982"/>
    <cellStyle name="Normal 2 2 3 4 2 3 2 4 2" xfId="11983"/>
    <cellStyle name="Normal 2 2 3 4 2 3 2 5" xfId="11984"/>
    <cellStyle name="Normal 2 2 3 4 2 3 3" xfId="3627"/>
    <cellStyle name="Normal 2 2 3 4 2 3 3 2" xfId="11985"/>
    <cellStyle name="Normal 2 2 3 4 2 3 3 2 2" xfId="11986"/>
    <cellStyle name="Normal 2 2 3 4 2 3 3 2 2 2" xfId="11987"/>
    <cellStyle name="Normal 2 2 3 4 2 3 3 2 3" xfId="11988"/>
    <cellStyle name="Normal 2 2 3 4 2 3 3 3" xfId="11989"/>
    <cellStyle name="Normal 2 2 3 4 2 3 3 3 2" xfId="11990"/>
    <cellStyle name="Normal 2 2 3 4 2 3 3 4" xfId="11991"/>
    <cellStyle name="Normal 2 2 3 4 2 3 4" xfId="11992"/>
    <cellStyle name="Normal 2 2 3 4 2 3 4 2" xfId="11993"/>
    <cellStyle name="Normal 2 2 3 4 2 3 4 2 2" xfId="11994"/>
    <cellStyle name="Normal 2 2 3 4 2 3 4 3" xfId="11995"/>
    <cellStyle name="Normal 2 2 3 4 2 3 5" xfId="11996"/>
    <cellStyle name="Normal 2 2 3 4 2 3 5 2" xfId="11997"/>
    <cellStyle name="Normal 2 2 3 4 2 3 6" xfId="11998"/>
    <cellStyle name="Normal 2 2 3 4 2 4" xfId="1587"/>
    <cellStyle name="Normal 2 2 3 4 2 4 2" xfId="4307"/>
    <cellStyle name="Normal 2 2 3 4 2 4 2 2" xfId="11999"/>
    <cellStyle name="Normal 2 2 3 4 2 4 2 2 2" xfId="12000"/>
    <cellStyle name="Normal 2 2 3 4 2 4 2 2 2 2" xfId="12001"/>
    <cellStyle name="Normal 2 2 3 4 2 4 2 2 3" xfId="12002"/>
    <cellStyle name="Normal 2 2 3 4 2 4 2 3" xfId="12003"/>
    <cellStyle name="Normal 2 2 3 4 2 4 2 3 2" xfId="12004"/>
    <cellStyle name="Normal 2 2 3 4 2 4 2 4" xfId="12005"/>
    <cellStyle name="Normal 2 2 3 4 2 4 3" xfId="12006"/>
    <cellStyle name="Normal 2 2 3 4 2 4 3 2" xfId="12007"/>
    <cellStyle name="Normal 2 2 3 4 2 4 3 2 2" xfId="12008"/>
    <cellStyle name="Normal 2 2 3 4 2 4 3 3" xfId="12009"/>
    <cellStyle name="Normal 2 2 3 4 2 4 4" xfId="12010"/>
    <cellStyle name="Normal 2 2 3 4 2 4 4 2" xfId="12011"/>
    <cellStyle name="Normal 2 2 3 4 2 4 5" xfId="12012"/>
    <cellStyle name="Normal 2 2 3 4 2 5" xfId="2947"/>
    <cellStyle name="Normal 2 2 3 4 2 5 2" xfId="12013"/>
    <cellStyle name="Normal 2 2 3 4 2 5 2 2" xfId="12014"/>
    <cellStyle name="Normal 2 2 3 4 2 5 2 2 2" xfId="12015"/>
    <cellStyle name="Normal 2 2 3 4 2 5 2 3" xfId="12016"/>
    <cellStyle name="Normal 2 2 3 4 2 5 3" xfId="12017"/>
    <cellStyle name="Normal 2 2 3 4 2 5 3 2" xfId="12018"/>
    <cellStyle name="Normal 2 2 3 4 2 5 4" xfId="12019"/>
    <cellStyle name="Normal 2 2 3 4 2 6" xfId="12020"/>
    <cellStyle name="Normal 2 2 3 4 2 6 2" xfId="12021"/>
    <cellStyle name="Normal 2 2 3 4 2 6 2 2" xfId="12022"/>
    <cellStyle name="Normal 2 2 3 4 2 6 3" xfId="12023"/>
    <cellStyle name="Normal 2 2 3 4 2 7" xfId="12024"/>
    <cellStyle name="Normal 2 2 3 4 2 7 2" xfId="12025"/>
    <cellStyle name="Normal 2 2 3 4 2 8" xfId="12026"/>
    <cellStyle name="Normal 2 2 3 4 3" xfId="363"/>
    <cellStyle name="Normal 2 2 3 4 3 2" xfId="1043"/>
    <cellStyle name="Normal 2 2 3 4 3 2 2" xfId="2403"/>
    <cellStyle name="Normal 2 2 3 4 3 2 2 2" xfId="5123"/>
    <cellStyle name="Normal 2 2 3 4 3 2 2 2 2" xfId="12027"/>
    <cellStyle name="Normal 2 2 3 4 3 2 2 2 2 2" xfId="12028"/>
    <cellStyle name="Normal 2 2 3 4 3 2 2 2 2 2 2" xfId="12029"/>
    <cellStyle name="Normal 2 2 3 4 3 2 2 2 2 3" xfId="12030"/>
    <cellStyle name="Normal 2 2 3 4 3 2 2 2 3" xfId="12031"/>
    <cellStyle name="Normal 2 2 3 4 3 2 2 2 3 2" xfId="12032"/>
    <cellStyle name="Normal 2 2 3 4 3 2 2 2 4" xfId="12033"/>
    <cellStyle name="Normal 2 2 3 4 3 2 2 3" xfId="12034"/>
    <cellStyle name="Normal 2 2 3 4 3 2 2 3 2" xfId="12035"/>
    <cellStyle name="Normal 2 2 3 4 3 2 2 3 2 2" xfId="12036"/>
    <cellStyle name="Normal 2 2 3 4 3 2 2 3 3" xfId="12037"/>
    <cellStyle name="Normal 2 2 3 4 3 2 2 4" xfId="12038"/>
    <cellStyle name="Normal 2 2 3 4 3 2 2 4 2" xfId="12039"/>
    <cellStyle name="Normal 2 2 3 4 3 2 2 5" xfId="12040"/>
    <cellStyle name="Normal 2 2 3 4 3 2 3" xfId="3763"/>
    <cellStyle name="Normal 2 2 3 4 3 2 3 2" xfId="12041"/>
    <cellStyle name="Normal 2 2 3 4 3 2 3 2 2" xfId="12042"/>
    <cellStyle name="Normal 2 2 3 4 3 2 3 2 2 2" xfId="12043"/>
    <cellStyle name="Normal 2 2 3 4 3 2 3 2 3" xfId="12044"/>
    <cellStyle name="Normal 2 2 3 4 3 2 3 3" xfId="12045"/>
    <cellStyle name="Normal 2 2 3 4 3 2 3 3 2" xfId="12046"/>
    <cellStyle name="Normal 2 2 3 4 3 2 3 4" xfId="12047"/>
    <cellStyle name="Normal 2 2 3 4 3 2 4" xfId="12048"/>
    <cellStyle name="Normal 2 2 3 4 3 2 4 2" xfId="12049"/>
    <cellStyle name="Normal 2 2 3 4 3 2 4 2 2" xfId="12050"/>
    <cellStyle name="Normal 2 2 3 4 3 2 4 3" xfId="12051"/>
    <cellStyle name="Normal 2 2 3 4 3 2 5" xfId="12052"/>
    <cellStyle name="Normal 2 2 3 4 3 2 5 2" xfId="12053"/>
    <cellStyle name="Normal 2 2 3 4 3 2 6" xfId="12054"/>
    <cellStyle name="Normal 2 2 3 4 3 3" xfId="1723"/>
    <cellStyle name="Normal 2 2 3 4 3 3 2" xfId="4443"/>
    <cellStyle name="Normal 2 2 3 4 3 3 2 2" xfId="12055"/>
    <cellStyle name="Normal 2 2 3 4 3 3 2 2 2" xfId="12056"/>
    <cellStyle name="Normal 2 2 3 4 3 3 2 2 2 2" xfId="12057"/>
    <cellStyle name="Normal 2 2 3 4 3 3 2 2 3" xfId="12058"/>
    <cellStyle name="Normal 2 2 3 4 3 3 2 3" xfId="12059"/>
    <cellStyle name="Normal 2 2 3 4 3 3 2 3 2" xfId="12060"/>
    <cellStyle name="Normal 2 2 3 4 3 3 2 4" xfId="12061"/>
    <cellStyle name="Normal 2 2 3 4 3 3 3" xfId="12062"/>
    <cellStyle name="Normal 2 2 3 4 3 3 3 2" xfId="12063"/>
    <cellStyle name="Normal 2 2 3 4 3 3 3 2 2" xfId="12064"/>
    <cellStyle name="Normal 2 2 3 4 3 3 3 3" xfId="12065"/>
    <cellStyle name="Normal 2 2 3 4 3 3 4" xfId="12066"/>
    <cellStyle name="Normal 2 2 3 4 3 3 4 2" xfId="12067"/>
    <cellStyle name="Normal 2 2 3 4 3 3 5" xfId="12068"/>
    <cellStyle name="Normal 2 2 3 4 3 4" xfId="3083"/>
    <cellStyle name="Normal 2 2 3 4 3 4 2" xfId="12069"/>
    <cellStyle name="Normal 2 2 3 4 3 4 2 2" xfId="12070"/>
    <cellStyle name="Normal 2 2 3 4 3 4 2 2 2" xfId="12071"/>
    <cellStyle name="Normal 2 2 3 4 3 4 2 3" xfId="12072"/>
    <cellStyle name="Normal 2 2 3 4 3 4 3" xfId="12073"/>
    <cellStyle name="Normal 2 2 3 4 3 4 3 2" xfId="12074"/>
    <cellStyle name="Normal 2 2 3 4 3 4 4" xfId="12075"/>
    <cellStyle name="Normal 2 2 3 4 3 5" xfId="12076"/>
    <cellStyle name="Normal 2 2 3 4 3 5 2" xfId="12077"/>
    <cellStyle name="Normal 2 2 3 4 3 5 2 2" xfId="12078"/>
    <cellStyle name="Normal 2 2 3 4 3 5 3" xfId="12079"/>
    <cellStyle name="Normal 2 2 3 4 3 6" xfId="12080"/>
    <cellStyle name="Normal 2 2 3 4 3 6 2" xfId="12081"/>
    <cellStyle name="Normal 2 2 3 4 3 7" xfId="12082"/>
    <cellStyle name="Normal 2 2 3 4 4" xfId="635"/>
    <cellStyle name="Normal 2 2 3 4 4 2" xfId="1315"/>
    <cellStyle name="Normal 2 2 3 4 4 2 2" xfId="2675"/>
    <cellStyle name="Normal 2 2 3 4 4 2 2 2" xfId="5395"/>
    <cellStyle name="Normal 2 2 3 4 4 2 2 2 2" xfId="12083"/>
    <cellStyle name="Normal 2 2 3 4 4 2 2 2 2 2" xfId="12084"/>
    <cellStyle name="Normal 2 2 3 4 4 2 2 2 2 2 2" xfId="12085"/>
    <cellStyle name="Normal 2 2 3 4 4 2 2 2 2 3" xfId="12086"/>
    <cellStyle name="Normal 2 2 3 4 4 2 2 2 3" xfId="12087"/>
    <cellStyle name="Normal 2 2 3 4 4 2 2 2 3 2" xfId="12088"/>
    <cellStyle name="Normal 2 2 3 4 4 2 2 2 4" xfId="12089"/>
    <cellStyle name="Normal 2 2 3 4 4 2 2 3" xfId="12090"/>
    <cellStyle name="Normal 2 2 3 4 4 2 2 3 2" xfId="12091"/>
    <cellStyle name="Normal 2 2 3 4 4 2 2 3 2 2" xfId="12092"/>
    <cellStyle name="Normal 2 2 3 4 4 2 2 3 3" xfId="12093"/>
    <cellStyle name="Normal 2 2 3 4 4 2 2 4" xfId="12094"/>
    <cellStyle name="Normal 2 2 3 4 4 2 2 4 2" xfId="12095"/>
    <cellStyle name="Normal 2 2 3 4 4 2 2 5" xfId="12096"/>
    <cellStyle name="Normal 2 2 3 4 4 2 3" xfId="4035"/>
    <cellStyle name="Normal 2 2 3 4 4 2 3 2" xfId="5459"/>
    <cellStyle name="Normal 2 2 3 4 4 2 3 2 2" xfId="12097"/>
    <cellStyle name="Normal 2 2 3 4 4 2 3 2 2 2" xfId="12098"/>
    <cellStyle name="Normal 2 2 3 4 4 2 3 2 3" xfId="12099"/>
    <cellStyle name="Normal 2 2 3 4 4 2 3 3" xfId="12100"/>
    <cellStyle name="Normal 2 2 3 4 4 2 3 3 2" xfId="12101"/>
    <cellStyle name="Normal 2 2 3 4 4 2 3 4" xfId="12102"/>
    <cellStyle name="Normal 2 2 3 4 4 2 4" xfId="12103"/>
    <cellStyle name="Normal 2 2 3 4 4 2 4 2" xfId="12104"/>
    <cellStyle name="Normal 2 2 3 4 4 2 4 2 2" xfId="12105"/>
    <cellStyle name="Normal 2 2 3 4 4 2 4 3" xfId="12106"/>
    <cellStyle name="Normal 2 2 3 4 4 2 5" xfId="12107"/>
    <cellStyle name="Normal 2 2 3 4 4 2 5 2" xfId="12108"/>
    <cellStyle name="Normal 2 2 3 4 4 2 6" xfId="12109"/>
    <cellStyle name="Normal 2 2 3 4 4 3" xfId="1995"/>
    <cellStyle name="Normal 2 2 3 4 4 3 2" xfId="4715"/>
    <cellStyle name="Normal 2 2 3 4 4 3 2 2" xfId="12110"/>
    <cellStyle name="Normal 2 2 3 4 4 3 2 2 2" xfId="12111"/>
    <cellStyle name="Normal 2 2 3 4 4 3 2 2 2 2" xfId="12112"/>
    <cellStyle name="Normal 2 2 3 4 4 3 2 2 3" xfId="12113"/>
    <cellStyle name="Normal 2 2 3 4 4 3 2 3" xfId="12114"/>
    <cellStyle name="Normal 2 2 3 4 4 3 2 3 2" xfId="12115"/>
    <cellStyle name="Normal 2 2 3 4 4 3 2 4" xfId="12116"/>
    <cellStyle name="Normal 2 2 3 4 4 3 3" xfId="12117"/>
    <cellStyle name="Normal 2 2 3 4 4 3 3 2" xfId="12118"/>
    <cellStyle name="Normal 2 2 3 4 4 3 3 2 2" xfId="12119"/>
    <cellStyle name="Normal 2 2 3 4 4 3 3 3" xfId="12120"/>
    <cellStyle name="Normal 2 2 3 4 4 3 4" xfId="12121"/>
    <cellStyle name="Normal 2 2 3 4 4 3 4 2" xfId="12122"/>
    <cellStyle name="Normal 2 2 3 4 4 3 5" xfId="12123"/>
    <cellStyle name="Normal 2 2 3 4 4 4" xfId="3355"/>
    <cellStyle name="Normal 2 2 3 4 4 4 2" xfId="12124"/>
    <cellStyle name="Normal 2 2 3 4 4 4 2 2" xfId="12125"/>
    <cellStyle name="Normal 2 2 3 4 4 4 2 2 2" xfId="12126"/>
    <cellStyle name="Normal 2 2 3 4 4 4 2 3" xfId="12127"/>
    <cellStyle name="Normal 2 2 3 4 4 4 3" xfId="12128"/>
    <cellStyle name="Normal 2 2 3 4 4 4 3 2" xfId="12129"/>
    <cellStyle name="Normal 2 2 3 4 4 4 4" xfId="12130"/>
    <cellStyle name="Normal 2 2 3 4 4 5" xfId="12131"/>
    <cellStyle name="Normal 2 2 3 4 4 5 2" xfId="12132"/>
    <cellStyle name="Normal 2 2 3 4 4 5 2 2" xfId="12133"/>
    <cellStyle name="Normal 2 2 3 4 4 5 3" xfId="12134"/>
    <cellStyle name="Normal 2 2 3 4 4 6" xfId="12135"/>
    <cellStyle name="Normal 2 2 3 4 4 6 2" xfId="12136"/>
    <cellStyle name="Normal 2 2 3 4 4 7" xfId="12137"/>
    <cellStyle name="Normal 2 2 3 4 5" xfId="771"/>
    <cellStyle name="Normal 2 2 3 4 5 2" xfId="2131"/>
    <cellStyle name="Normal 2 2 3 4 5 2 2" xfId="4851"/>
    <cellStyle name="Normal 2 2 3 4 5 2 2 2" xfId="12138"/>
    <cellStyle name="Normal 2 2 3 4 5 2 2 2 2" xfId="12139"/>
    <cellStyle name="Normal 2 2 3 4 5 2 2 2 2 2" xfId="12140"/>
    <cellStyle name="Normal 2 2 3 4 5 2 2 2 3" xfId="12141"/>
    <cellStyle name="Normal 2 2 3 4 5 2 2 3" xfId="12142"/>
    <cellStyle name="Normal 2 2 3 4 5 2 2 3 2" xfId="12143"/>
    <cellStyle name="Normal 2 2 3 4 5 2 2 4" xfId="12144"/>
    <cellStyle name="Normal 2 2 3 4 5 2 3" xfId="12145"/>
    <cellStyle name="Normal 2 2 3 4 5 2 3 2" xfId="12146"/>
    <cellStyle name="Normal 2 2 3 4 5 2 3 2 2" xfId="12147"/>
    <cellStyle name="Normal 2 2 3 4 5 2 3 3" xfId="12148"/>
    <cellStyle name="Normal 2 2 3 4 5 2 4" xfId="12149"/>
    <cellStyle name="Normal 2 2 3 4 5 2 4 2" xfId="12150"/>
    <cellStyle name="Normal 2 2 3 4 5 2 5" xfId="12151"/>
    <cellStyle name="Normal 2 2 3 4 5 3" xfId="3491"/>
    <cellStyle name="Normal 2 2 3 4 5 3 2" xfId="12152"/>
    <cellStyle name="Normal 2 2 3 4 5 3 2 2" xfId="12153"/>
    <cellStyle name="Normal 2 2 3 4 5 3 2 2 2" xfId="12154"/>
    <cellStyle name="Normal 2 2 3 4 5 3 2 3" xfId="12155"/>
    <cellStyle name="Normal 2 2 3 4 5 3 3" xfId="12156"/>
    <cellStyle name="Normal 2 2 3 4 5 3 3 2" xfId="12157"/>
    <cellStyle name="Normal 2 2 3 4 5 3 4" xfId="12158"/>
    <cellStyle name="Normal 2 2 3 4 5 4" xfId="12159"/>
    <cellStyle name="Normal 2 2 3 4 5 4 2" xfId="12160"/>
    <cellStyle name="Normal 2 2 3 4 5 4 2 2" xfId="12161"/>
    <cellStyle name="Normal 2 2 3 4 5 4 3" xfId="12162"/>
    <cellStyle name="Normal 2 2 3 4 5 5" xfId="12163"/>
    <cellStyle name="Normal 2 2 3 4 5 5 2" xfId="12164"/>
    <cellStyle name="Normal 2 2 3 4 5 6" xfId="12165"/>
    <cellStyle name="Normal 2 2 3 4 6" xfId="1451"/>
    <cellStyle name="Normal 2 2 3 4 6 2" xfId="4171"/>
    <cellStyle name="Normal 2 2 3 4 6 2 2" xfId="12166"/>
    <cellStyle name="Normal 2 2 3 4 6 2 2 2" xfId="12167"/>
    <cellStyle name="Normal 2 2 3 4 6 2 2 2 2" xfId="12168"/>
    <cellStyle name="Normal 2 2 3 4 6 2 2 3" xfId="12169"/>
    <cellStyle name="Normal 2 2 3 4 6 2 3" xfId="12170"/>
    <cellStyle name="Normal 2 2 3 4 6 2 3 2" xfId="12171"/>
    <cellStyle name="Normal 2 2 3 4 6 2 4" xfId="12172"/>
    <cellStyle name="Normal 2 2 3 4 6 3" xfId="12173"/>
    <cellStyle name="Normal 2 2 3 4 6 3 2" xfId="12174"/>
    <cellStyle name="Normal 2 2 3 4 6 3 2 2" xfId="12175"/>
    <cellStyle name="Normal 2 2 3 4 6 3 3" xfId="12176"/>
    <cellStyle name="Normal 2 2 3 4 6 4" xfId="12177"/>
    <cellStyle name="Normal 2 2 3 4 6 4 2" xfId="12178"/>
    <cellStyle name="Normal 2 2 3 4 6 5" xfId="12179"/>
    <cellStyle name="Normal 2 2 3 4 7" xfId="2811"/>
    <cellStyle name="Normal 2 2 3 4 7 2" xfId="12180"/>
    <cellStyle name="Normal 2 2 3 4 7 2 2" xfId="12181"/>
    <cellStyle name="Normal 2 2 3 4 7 2 2 2" xfId="12182"/>
    <cellStyle name="Normal 2 2 3 4 7 2 3" xfId="12183"/>
    <cellStyle name="Normal 2 2 3 4 7 3" xfId="12184"/>
    <cellStyle name="Normal 2 2 3 4 7 3 2" xfId="12185"/>
    <cellStyle name="Normal 2 2 3 4 7 4" xfId="12186"/>
    <cellStyle name="Normal 2 2 3 4 8" xfId="12187"/>
    <cellStyle name="Normal 2 2 3 4 8 2" xfId="12188"/>
    <cellStyle name="Normal 2 2 3 4 8 2 2" xfId="12189"/>
    <cellStyle name="Normal 2 2 3 4 8 3" xfId="12190"/>
    <cellStyle name="Normal 2 2 3 4 9" xfId="12191"/>
    <cellStyle name="Normal 2 2 3 4 9 2" xfId="12192"/>
    <cellStyle name="Normal 2 2 3 5" xfId="159"/>
    <cellStyle name="Normal 2 2 3 5 2" xfId="431"/>
    <cellStyle name="Normal 2 2 3 5 2 2" xfId="1111"/>
    <cellStyle name="Normal 2 2 3 5 2 2 2" xfId="2471"/>
    <cellStyle name="Normal 2 2 3 5 2 2 2 2" xfId="5191"/>
    <cellStyle name="Normal 2 2 3 5 2 2 2 2 2" xfId="12193"/>
    <cellStyle name="Normal 2 2 3 5 2 2 2 2 2 2" xfId="12194"/>
    <cellStyle name="Normal 2 2 3 5 2 2 2 2 2 2 2" xfId="12195"/>
    <cellStyle name="Normal 2 2 3 5 2 2 2 2 2 3" xfId="12196"/>
    <cellStyle name="Normal 2 2 3 5 2 2 2 2 3" xfId="12197"/>
    <cellStyle name="Normal 2 2 3 5 2 2 2 2 3 2" xfId="12198"/>
    <cellStyle name="Normal 2 2 3 5 2 2 2 2 4" xfId="12199"/>
    <cellStyle name="Normal 2 2 3 5 2 2 2 3" xfId="12200"/>
    <cellStyle name="Normal 2 2 3 5 2 2 2 3 2" xfId="12201"/>
    <cellStyle name="Normal 2 2 3 5 2 2 2 3 2 2" xfId="12202"/>
    <cellStyle name="Normal 2 2 3 5 2 2 2 3 3" xfId="12203"/>
    <cellStyle name="Normal 2 2 3 5 2 2 2 4" xfId="12204"/>
    <cellStyle name="Normal 2 2 3 5 2 2 2 4 2" xfId="12205"/>
    <cellStyle name="Normal 2 2 3 5 2 2 2 5" xfId="12206"/>
    <cellStyle name="Normal 2 2 3 5 2 2 3" xfId="3831"/>
    <cellStyle name="Normal 2 2 3 5 2 2 3 2" xfId="12207"/>
    <cellStyle name="Normal 2 2 3 5 2 2 3 2 2" xfId="12208"/>
    <cellStyle name="Normal 2 2 3 5 2 2 3 2 2 2" xfId="12209"/>
    <cellStyle name="Normal 2 2 3 5 2 2 3 2 3" xfId="12210"/>
    <cellStyle name="Normal 2 2 3 5 2 2 3 3" xfId="12211"/>
    <cellStyle name="Normal 2 2 3 5 2 2 3 3 2" xfId="12212"/>
    <cellStyle name="Normal 2 2 3 5 2 2 3 4" xfId="12213"/>
    <cellStyle name="Normal 2 2 3 5 2 2 4" xfId="12214"/>
    <cellStyle name="Normal 2 2 3 5 2 2 4 2" xfId="12215"/>
    <cellStyle name="Normal 2 2 3 5 2 2 4 2 2" xfId="12216"/>
    <cellStyle name="Normal 2 2 3 5 2 2 4 3" xfId="12217"/>
    <cellStyle name="Normal 2 2 3 5 2 2 5" xfId="12218"/>
    <cellStyle name="Normal 2 2 3 5 2 2 5 2" xfId="12219"/>
    <cellStyle name="Normal 2 2 3 5 2 2 6" xfId="12220"/>
    <cellStyle name="Normal 2 2 3 5 2 3" xfId="1791"/>
    <cellStyle name="Normal 2 2 3 5 2 3 2" xfId="4511"/>
    <cellStyle name="Normal 2 2 3 5 2 3 2 2" xfId="12221"/>
    <cellStyle name="Normal 2 2 3 5 2 3 2 2 2" xfId="12222"/>
    <cellStyle name="Normal 2 2 3 5 2 3 2 2 2 2" xfId="12223"/>
    <cellStyle name="Normal 2 2 3 5 2 3 2 2 3" xfId="12224"/>
    <cellStyle name="Normal 2 2 3 5 2 3 2 3" xfId="12225"/>
    <cellStyle name="Normal 2 2 3 5 2 3 2 3 2" xfId="12226"/>
    <cellStyle name="Normal 2 2 3 5 2 3 2 4" xfId="12227"/>
    <cellStyle name="Normal 2 2 3 5 2 3 3" xfId="12228"/>
    <cellStyle name="Normal 2 2 3 5 2 3 3 2" xfId="12229"/>
    <cellStyle name="Normal 2 2 3 5 2 3 3 2 2" xfId="12230"/>
    <cellStyle name="Normal 2 2 3 5 2 3 3 3" xfId="12231"/>
    <cellStyle name="Normal 2 2 3 5 2 3 4" xfId="12232"/>
    <cellStyle name="Normal 2 2 3 5 2 3 4 2" xfId="12233"/>
    <cellStyle name="Normal 2 2 3 5 2 3 5" xfId="12234"/>
    <cellStyle name="Normal 2 2 3 5 2 4" xfId="3151"/>
    <cellStyle name="Normal 2 2 3 5 2 4 2" xfId="12235"/>
    <cellStyle name="Normal 2 2 3 5 2 4 2 2" xfId="12236"/>
    <cellStyle name="Normal 2 2 3 5 2 4 2 2 2" xfId="12237"/>
    <cellStyle name="Normal 2 2 3 5 2 4 2 3" xfId="12238"/>
    <cellStyle name="Normal 2 2 3 5 2 4 3" xfId="12239"/>
    <cellStyle name="Normal 2 2 3 5 2 4 3 2" xfId="12240"/>
    <cellStyle name="Normal 2 2 3 5 2 4 4" xfId="12241"/>
    <cellStyle name="Normal 2 2 3 5 2 5" xfId="12242"/>
    <cellStyle name="Normal 2 2 3 5 2 5 2" xfId="12243"/>
    <cellStyle name="Normal 2 2 3 5 2 5 2 2" xfId="12244"/>
    <cellStyle name="Normal 2 2 3 5 2 5 3" xfId="12245"/>
    <cellStyle name="Normal 2 2 3 5 2 6" xfId="12246"/>
    <cellStyle name="Normal 2 2 3 5 2 6 2" xfId="12247"/>
    <cellStyle name="Normal 2 2 3 5 2 7" xfId="12248"/>
    <cellStyle name="Normal 2 2 3 5 3" xfId="839"/>
    <cellStyle name="Normal 2 2 3 5 3 2" xfId="2199"/>
    <cellStyle name="Normal 2 2 3 5 3 2 2" xfId="4919"/>
    <cellStyle name="Normal 2 2 3 5 3 2 2 2" xfId="12249"/>
    <cellStyle name="Normal 2 2 3 5 3 2 2 2 2" xfId="12250"/>
    <cellStyle name="Normal 2 2 3 5 3 2 2 2 2 2" xfId="12251"/>
    <cellStyle name="Normal 2 2 3 5 3 2 2 2 3" xfId="12252"/>
    <cellStyle name="Normal 2 2 3 5 3 2 2 3" xfId="12253"/>
    <cellStyle name="Normal 2 2 3 5 3 2 2 3 2" xfId="12254"/>
    <cellStyle name="Normal 2 2 3 5 3 2 2 4" xfId="12255"/>
    <cellStyle name="Normal 2 2 3 5 3 2 3" xfId="12256"/>
    <cellStyle name="Normal 2 2 3 5 3 2 3 2" xfId="12257"/>
    <cellStyle name="Normal 2 2 3 5 3 2 3 2 2" xfId="12258"/>
    <cellStyle name="Normal 2 2 3 5 3 2 3 3" xfId="12259"/>
    <cellStyle name="Normal 2 2 3 5 3 2 4" xfId="12260"/>
    <cellStyle name="Normal 2 2 3 5 3 2 4 2" xfId="12261"/>
    <cellStyle name="Normal 2 2 3 5 3 2 5" xfId="12262"/>
    <cellStyle name="Normal 2 2 3 5 3 3" xfId="3559"/>
    <cellStyle name="Normal 2 2 3 5 3 3 2" xfId="12263"/>
    <cellStyle name="Normal 2 2 3 5 3 3 2 2" xfId="12264"/>
    <cellStyle name="Normal 2 2 3 5 3 3 2 2 2" xfId="12265"/>
    <cellStyle name="Normal 2 2 3 5 3 3 2 3" xfId="12266"/>
    <cellStyle name="Normal 2 2 3 5 3 3 3" xfId="12267"/>
    <cellStyle name="Normal 2 2 3 5 3 3 3 2" xfId="12268"/>
    <cellStyle name="Normal 2 2 3 5 3 3 4" xfId="12269"/>
    <cellStyle name="Normal 2 2 3 5 3 4" xfId="12270"/>
    <cellStyle name="Normal 2 2 3 5 3 4 2" xfId="12271"/>
    <cellStyle name="Normal 2 2 3 5 3 4 2 2" xfId="12272"/>
    <cellStyle name="Normal 2 2 3 5 3 4 3" xfId="12273"/>
    <cellStyle name="Normal 2 2 3 5 3 5" xfId="12274"/>
    <cellStyle name="Normal 2 2 3 5 3 5 2" xfId="12275"/>
    <cellStyle name="Normal 2 2 3 5 3 6" xfId="12276"/>
    <cellStyle name="Normal 2 2 3 5 4" xfId="1519"/>
    <cellStyle name="Normal 2 2 3 5 4 2" xfId="4239"/>
    <cellStyle name="Normal 2 2 3 5 4 2 2" xfId="12277"/>
    <cellStyle name="Normal 2 2 3 5 4 2 2 2" xfId="12278"/>
    <cellStyle name="Normal 2 2 3 5 4 2 2 2 2" xfId="12279"/>
    <cellStyle name="Normal 2 2 3 5 4 2 2 3" xfId="12280"/>
    <cellStyle name="Normal 2 2 3 5 4 2 3" xfId="12281"/>
    <cellStyle name="Normal 2 2 3 5 4 2 3 2" xfId="12282"/>
    <cellStyle name="Normal 2 2 3 5 4 2 4" xfId="12283"/>
    <cellStyle name="Normal 2 2 3 5 4 3" xfId="12284"/>
    <cellStyle name="Normal 2 2 3 5 4 3 2" xfId="12285"/>
    <cellStyle name="Normal 2 2 3 5 4 3 2 2" xfId="12286"/>
    <cellStyle name="Normal 2 2 3 5 4 3 3" xfId="12287"/>
    <cellStyle name="Normal 2 2 3 5 4 4" xfId="12288"/>
    <cellStyle name="Normal 2 2 3 5 4 4 2" xfId="12289"/>
    <cellStyle name="Normal 2 2 3 5 4 5" xfId="12290"/>
    <cellStyle name="Normal 2 2 3 5 5" xfId="2879"/>
    <cellStyle name="Normal 2 2 3 5 5 2" xfId="12291"/>
    <cellStyle name="Normal 2 2 3 5 5 2 2" xfId="12292"/>
    <cellStyle name="Normal 2 2 3 5 5 2 2 2" xfId="12293"/>
    <cellStyle name="Normal 2 2 3 5 5 2 3" xfId="12294"/>
    <cellStyle name="Normal 2 2 3 5 5 3" xfId="12295"/>
    <cellStyle name="Normal 2 2 3 5 5 3 2" xfId="12296"/>
    <cellStyle name="Normal 2 2 3 5 5 4" xfId="12297"/>
    <cellStyle name="Normal 2 2 3 5 6" xfId="12298"/>
    <cellStyle name="Normal 2 2 3 5 6 2" xfId="12299"/>
    <cellStyle name="Normal 2 2 3 5 6 2 2" xfId="12300"/>
    <cellStyle name="Normal 2 2 3 5 6 3" xfId="12301"/>
    <cellStyle name="Normal 2 2 3 5 7" xfId="12302"/>
    <cellStyle name="Normal 2 2 3 5 7 2" xfId="12303"/>
    <cellStyle name="Normal 2 2 3 5 8" xfId="12304"/>
    <cellStyle name="Normal 2 2 3 6" xfId="295"/>
    <cellStyle name="Normal 2 2 3 6 2" xfId="975"/>
    <cellStyle name="Normal 2 2 3 6 2 2" xfId="2335"/>
    <cellStyle name="Normal 2 2 3 6 2 2 2" xfId="5055"/>
    <cellStyle name="Normal 2 2 3 6 2 2 2 2" xfId="12305"/>
    <cellStyle name="Normal 2 2 3 6 2 2 2 2 2" xfId="12306"/>
    <cellStyle name="Normal 2 2 3 6 2 2 2 2 2 2" xfId="12307"/>
    <cellStyle name="Normal 2 2 3 6 2 2 2 2 3" xfId="12308"/>
    <cellStyle name="Normal 2 2 3 6 2 2 2 3" xfId="12309"/>
    <cellStyle name="Normal 2 2 3 6 2 2 2 3 2" xfId="12310"/>
    <cellStyle name="Normal 2 2 3 6 2 2 2 4" xfId="12311"/>
    <cellStyle name="Normal 2 2 3 6 2 2 3" xfId="12312"/>
    <cellStyle name="Normal 2 2 3 6 2 2 3 2" xfId="12313"/>
    <cellStyle name="Normal 2 2 3 6 2 2 3 2 2" xfId="12314"/>
    <cellStyle name="Normal 2 2 3 6 2 2 3 3" xfId="12315"/>
    <cellStyle name="Normal 2 2 3 6 2 2 4" xfId="12316"/>
    <cellStyle name="Normal 2 2 3 6 2 2 4 2" xfId="12317"/>
    <cellStyle name="Normal 2 2 3 6 2 2 5" xfId="12318"/>
    <cellStyle name="Normal 2 2 3 6 2 3" xfId="3695"/>
    <cellStyle name="Normal 2 2 3 6 2 3 2" xfId="12319"/>
    <cellStyle name="Normal 2 2 3 6 2 3 2 2" xfId="12320"/>
    <cellStyle name="Normal 2 2 3 6 2 3 2 2 2" xfId="12321"/>
    <cellStyle name="Normal 2 2 3 6 2 3 2 3" xfId="12322"/>
    <cellStyle name="Normal 2 2 3 6 2 3 3" xfId="12323"/>
    <cellStyle name="Normal 2 2 3 6 2 3 3 2" xfId="12324"/>
    <cellStyle name="Normal 2 2 3 6 2 3 4" xfId="12325"/>
    <cellStyle name="Normal 2 2 3 6 2 4" xfId="12326"/>
    <cellStyle name="Normal 2 2 3 6 2 4 2" xfId="12327"/>
    <cellStyle name="Normal 2 2 3 6 2 4 2 2" xfId="12328"/>
    <cellStyle name="Normal 2 2 3 6 2 4 3" xfId="12329"/>
    <cellStyle name="Normal 2 2 3 6 2 5" xfId="12330"/>
    <cellStyle name="Normal 2 2 3 6 2 5 2" xfId="12331"/>
    <cellStyle name="Normal 2 2 3 6 2 6" xfId="12332"/>
    <cellStyle name="Normal 2 2 3 6 3" xfId="1655"/>
    <cellStyle name="Normal 2 2 3 6 3 2" xfId="4375"/>
    <cellStyle name="Normal 2 2 3 6 3 2 2" xfId="12333"/>
    <cellStyle name="Normal 2 2 3 6 3 2 2 2" xfId="12334"/>
    <cellStyle name="Normal 2 2 3 6 3 2 2 2 2" xfId="12335"/>
    <cellStyle name="Normal 2 2 3 6 3 2 2 3" xfId="12336"/>
    <cellStyle name="Normal 2 2 3 6 3 2 3" xfId="12337"/>
    <cellStyle name="Normal 2 2 3 6 3 2 3 2" xfId="12338"/>
    <cellStyle name="Normal 2 2 3 6 3 2 4" xfId="12339"/>
    <cellStyle name="Normal 2 2 3 6 3 3" xfId="12340"/>
    <cellStyle name="Normal 2 2 3 6 3 3 2" xfId="12341"/>
    <cellStyle name="Normal 2 2 3 6 3 3 2 2" xfId="12342"/>
    <cellStyle name="Normal 2 2 3 6 3 3 3" xfId="12343"/>
    <cellStyle name="Normal 2 2 3 6 3 4" xfId="12344"/>
    <cellStyle name="Normal 2 2 3 6 3 4 2" xfId="12345"/>
    <cellStyle name="Normal 2 2 3 6 3 5" xfId="12346"/>
    <cellStyle name="Normal 2 2 3 6 4" xfId="3015"/>
    <cellStyle name="Normal 2 2 3 6 4 2" xfId="12347"/>
    <cellStyle name="Normal 2 2 3 6 4 2 2" xfId="12348"/>
    <cellStyle name="Normal 2 2 3 6 4 2 2 2" xfId="12349"/>
    <cellStyle name="Normal 2 2 3 6 4 2 3" xfId="12350"/>
    <cellStyle name="Normal 2 2 3 6 4 3" xfId="12351"/>
    <cellStyle name="Normal 2 2 3 6 4 3 2" xfId="12352"/>
    <cellStyle name="Normal 2 2 3 6 4 4" xfId="12353"/>
    <cellStyle name="Normal 2 2 3 6 5" xfId="12354"/>
    <cellStyle name="Normal 2 2 3 6 5 2" xfId="12355"/>
    <cellStyle name="Normal 2 2 3 6 5 2 2" xfId="12356"/>
    <cellStyle name="Normal 2 2 3 6 5 3" xfId="12357"/>
    <cellStyle name="Normal 2 2 3 6 6" xfId="12358"/>
    <cellStyle name="Normal 2 2 3 6 6 2" xfId="12359"/>
    <cellStyle name="Normal 2 2 3 6 7" xfId="12360"/>
    <cellStyle name="Normal 2 2 3 7" xfId="567"/>
    <cellStyle name="Normal 2 2 3 7 2" xfId="1247"/>
    <cellStyle name="Normal 2 2 3 7 2 2" xfId="2607"/>
    <cellStyle name="Normal 2 2 3 7 2 2 2" xfId="5327"/>
    <cellStyle name="Normal 2 2 3 7 2 2 2 2" xfId="12361"/>
    <cellStyle name="Normal 2 2 3 7 2 2 2 2 2" xfId="12362"/>
    <cellStyle name="Normal 2 2 3 7 2 2 2 2 2 2" xfId="12363"/>
    <cellStyle name="Normal 2 2 3 7 2 2 2 2 3" xfId="12364"/>
    <cellStyle name="Normal 2 2 3 7 2 2 2 3" xfId="12365"/>
    <cellStyle name="Normal 2 2 3 7 2 2 2 3 2" xfId="12366"/>
    <cellStyle name="Normal 2 2 3 7 2 2 2 4" xfId="12367"/>
    <cellStyle name="Normal 2 2 3 7 2 2 3" xfId="12368"/>
    <cellStyle name="Normal 2 2 3 7 2 2 3 2" xfId="12369"/>
    <cellStyle name="Normal 2 2 3 7 2 2 3 2 2" xfId="12370"/>
    <cellStyle name="Normal 2 2 3 7 2 2 3 3" xfId="12371"/>
    <cellStyle name="Normal 2 2 3 7 2 2 4" xfId="12372"/>
    <cellStyle name="Normal 2 2 3 7 2 2 4 2" xfId="12373"/>
    <cellStyle name="Normal 2 2 3 7 2 2 5" xfId="12374"/>
    <cellStyle name="Normal 2 2 3 7 2 3" xfId="3967"/>
    <cellStyle name="Normal 2 2 3 7 2 3 2" xfId="12375"/>
    <cellStyle name="Normal 2 2 3 7 2 3 2 2" xfId="12376"/>
    <cellStyle name="Normal 2 2 3 7 2 3 2 2 2" xfId="12377"/>
    <cellStyle name="Normal 2 2 3 7 2 3 2 3" xfId="12378"/>
    <cellStyle name="Normal 2 2 3 7 2 3 3" xfId="12379"/>
    <cellStyle name="Normal 2 2 3 7 2 3 3 2" xfId="12380"/>
    <cellStyle name="Normal 2 2 3 7 2 3 4" xfId="12381"/>
    <cellStyle name="Normal 2 2 3 7 2 4" xfId="12382"/>
    <cellStyle name="Normal 2 2 3 7 2 4 2" xfId="12383"/>
    <cellStyle name="Normal 2 2 3 7 2 4 2 2" xfId="12384"/>
    <cellStyle name="Normal 2 2 3 7 2 4 3" xfId="12385"/>
    <cellStyle name="Normal 2 2 3 7 2 5" xfId="12386"/>
    <cellStyle name="Normal 2 2 3 7 2 5 2" xfId="12387"/>
    <cellStyle name="Normal 2 2 3 7 2 6" xfId="12388"/>
    <cellStyle name="Normal 2 2 3 7 3" xfId="1927"/>
    <cellStyle name="Normal 2 2 3 7 3 2" xfId="4647"/>
    <cellStyle name="Normal 2 2 3 7 3 2 2" xfId="12389"/>
    <cellStyle name="Normal 2 2 3 7 3 2 2 2" xfId="12390"/>
    <cellStyle name="Normal 2 2 3 7 3 2 2 2 2" xfId="12391"/>
    <cellStyle name="Normal 2 2 3 7 3 2 2 3" xfId="12392"/>
    <cellStyle name="Normal 2 2 3 7 3 2 3" xfId="12393"/>
    <cellStyle name="Normal 2 2 3 7 3 2 3 2" xfId="12394"/>
    <cellStyle name="Normal 2 2 3 7 3 2 4" xfId="12395"/>
    <cellStyle name="Normal 2 2 3 7 3 3" xfId="12396"/>
    <cellStyle name="Normal 2 2 3 7 3 3 2" xfId="12397"/>
    <cellStyle name="Normal 2 2 3 7 3 3 2 2" xfId="12398"/>
    <cellStyle name="Normal 2 2 3 7 3 3 3" xfId="12399"/>
    <cellStyle name="Normal 2 2 3 7 3 4" xfId="12400"/>
    <cellStyle name="Normal 2 2 3 7 3 4 2" xfId="12401"/>
    <cellStyle name="Normal 2 2 3 7 3 5" xfId="12402"/>
    <cellStyle name="Normal 2 2 3 7 4" xfId="3287"/>
    <cellStyle name="Normal 2 2 3 7 4 2" xfId="12403"/>
    <cellStyle name="Normal 2 2 3 7 4 2 2" xfId="12404"/>
    <cellStyle name="Normal 2 2 3 7 4 2 2 2" xfId="12405"/>
    <cellStyle name="Normal 2 2 3 7 4 2 3" xfId="12406"/>
    <cellStyle name="Normal 2 2 3 7 4 3" xfId="12407"/>
    <cellStyle name="Normal 2 2 3 7 4 3 2" xfId="12408"/>
    <cellStyle name="Normal 2 2 3 7 4 4" xfId="12409"/>
    <cellStyle name="Normal 2 2 3 7 5" xfId="12410"/>
    <cellStyle name="Normal 2 2 3 7 5 2" xfId="12411"/>
    <cellStyle name="Normal 2 2 3 7 5 2 2" xfId="12412"/>
    <cellStyle name="Normal 2 2 3 7 5 3" xfId="12413"/>
    <cellStyle name="Normal 2 2 3 7 6" xfId="12414"/>
    <cellStyle name="Normal 2 2 3 7 6 2" xfId="12415"/>
    <cellStyle name="Normal 2 2 3 7 7" xfId="12416"/>
    <cellStyle name="Normal 2 2 3 8" xfId="703"/>
    <cellStyle name="Normal 2 2 3 8 2" xfId="2063"/>
    <cellStyle name="Normal 2 2 3 8 2 2" xfId="4783"/>
    <cellStyle name="Normal 2 2 3 8 2 2 2" xfId="12417"/>
    <cellStyle name="Normal 2 2 3 8 2 2 2 2" xfId="12418"/>
    <cellStyle name="Normal 2 2 3 8 2 2 2 2 2" xfId="12419"/>
    <cellStyle name="Normal 2 2 3 8 2 2 2 3" xfId="12420"/>
    <cellStyle name="Normal 2 2 3 8 2 2 3" xfId="12421"/>
    <cellStyle name="Normal 2 2 3 8 2 2 3 2" xfId="12422"/>
    <cellStyle name="Normal 2 2 3 8 2 2 4" xfId="12423"/>
    <cellStyle name="Normal 2 2 3 8 2 3" xfId="12424"/>
    <cellStyle name="Normal 2 2 3 8 2 3 2" xfId="12425"/>
    <cellStyle name="Normal 2 2 3 8 2 3 2 2" xfId="12426"/>
    <cellStyle name="Normal 2 2 3 8 2 3 3" xfId="12427"/>
    <cellStyle name="Normal 2 2 3 8 2 4" xfId="12428"/>
    <cellStyle name="Normal 2 2 3 8 2 4 2" xfId="12429"/>
    <cellStyle name="Normal 2 2 3 8 2 5" xfId="12430"/>
    <cellStyle name="Normal 2 2 3 8 3" xfId="3423"/>
    <cellStyle name="Normal 2 2 3 8 3 2" xfId="12431"/>
    <cellStyle name="Normal 2 2 3 8 3 2 2" xfId="12432"/>
    <cellStyle name="Normal 2 2 3 8 3 2 2 2" xfId="12433"/>
    <cellStyle name="Normal 2 2 3 8 3 2 3" xfId="12434"/>
    <cellStyle name="Normal 2 2 3 8 3 3" xfId="12435"/>
    <cellStyle name="Normal 2 2 3 8 3 3 2" xfId="12436"/>
    <cellStyle name="Normal 2 2 3 8 3 4" xfId="12437"/>
    <cellStyle name="Normal 2 2 3 8 4" xfId="12438"/>
    <cellStyle name="Normal 2 2 3 8 4 2" xfId="12439"/>
    <cellStyle name="Normal 2 2 3 8 4 2 2" xfId="12440"/>
    <cellStyle name="Normal 2 2 3 8 4 3" xfId="12441"/>
    <cellStyle name="Normal 2 2 3 8 5" xfId="12442"/>
    <cellStyle name="Normal 2 2 3 8 5 2" xfId="12443"/>
    <cellStyle name="Normal 2 2 3 8 6" xfId="12444"/>
    <cellStyle name="Normal 2 2 3 9" xfId="1383"/>
    <cellStyle name="Normal 2 2 3 9 2" xfId="4103"/>
    <cellStyle name="Normal 2 2 3 9 2 2" xfId="12445"/>
    <cellStyle name="Normal 2 2 3 9 2 2 2" xfId="12446"/>
    <cellStyle name="Normal 2 2 3 9 2 2 2 2" xfId="12447"/>
    <cellStyle name="Normal 2 2 3 9 2 2 3" xfId="12448"/>
    <cellStyle name="Normal 2 2 3 9 2 3" xfId="12449"/>
    <cellStyle name="Normal 2 2 3 9 2 3 2" xfId="12450"/>
    <cellStyle name="Normal 2 2 3 9 2 4" xfId="12451"/>
    <cellStyle name="Normal 2 2 3 9 3" xfId="12452"/>
    <cellStyle name="Normal 2 2 3 9 3 2" xfId="12453"/>
    <cellStyle name="Normal 2 2 3 9 3 2 2" xfId="12454"/>
    <cellStyle name="Normal 2 2 3 9 3 3" xfId="12455"/>
    <cellStyle name="Normal 2 2 3 9 4" xfId="12456"/>
    <cellStyle name="Normal 2 2 3 9 4 2" xfId="12457"/>
    <cellStyle name="Normal 2 2 3 9 5" xfId="12458"/>
    <cellStyle name="Normal 2 2 4" xfId="26"/>
    <cellStyle name="Normal 2 2 4 10" xfId="2750"/>
    <cellStyle name="Normal 2 2 4 10 2" xfId="12459"/>
    <cellStyle name="Normal 2 2 4 10 2 2" xfId="12460"/>
    <cellStyle name="Normal 2 2 4 10 2 2 2" xfId="12461"/>
    <cellStyle name="Normal 2 2 4 10 2 3" xfId="12462"/>
    <cellStyle name="Normal 2 2 4 10 3" xfId="12463"/>
    <cellStyle name="Normal 2 2 4 10 3 2" xfId="12464"/>
    <cellStyle name="Normal 2 2 4 10 4" xfId="12465"/>
    <cellStyle name="Normal 2 2 4 11" xfId="12466"/>
    <cellStyle name="Normal 2 2 4 11 2" xfId="12467"/>
    <cellStyle name="Normal 2 2 4 11 2 2" xfId="12468"/>
    <cellStyle name="Normal 2 2 4 11 3" xfId="12469"/>
    <cellStyle name="Normal 2 2 4 12" xfId="12470"/>
    <cellStyle name="Normal 2 2 4 12 2" xfId="12471"/>
    <cellStyle name="Normal 2 2 4 13" xfId="12472"/>
    <cellStyle name="Normal 2 2 4 2" xfId="45"/>
    <cellStyle name="Normal 2 2 4 2 10" xfId="12473"/>
    <cellStyle name="Normal 2 2 4 2 10 2" xfId="12474"/>
    <cellStyle name="Normal 2 2 4 2 10 2 2" xfId="12475"/>
    <cellStyle name="Normal 2 2 4 2 10 3" xfId="12476"/>
    <cellStyle name="Normal 2 2 4 2 11" xfId="12477"/>
    <cellStyle name="Normal 2 2 4 2 11 2" xfId="12478"/>
    <cellStyle name="Normal 2 2 4 2 12" xfId="12479"/>
    <cellStyle name="Normal 2 2 4 2 2" xfId="80"/>
    <cellStyle name="Normal 2 2 4 2 2 10" xfId="12480"/>
    <cellStyle name="Normal 2 2 4 2 2 10 2" xfId="12481"/>
    <cellStyle name="Normal 2 2 4 2 2 11" xfId="12482"/>
    <cellStyle name="Normal 2 2 4 2 2 2" xfId="148"/>
    <cellStyle name="Normal 2 2 4 2 2 2 10" xfId="12483"/>
    <cellStyle name="Normal 2 2 4 2 2 2 2" xfId="285"/>
    <cellStyle name="Normal 2 2 4 2 2 2 2 2" xfId="557"/>
    <cellStyle name="Normal 2 2 4 2 2 2 2 2 2" xfId="1237"/>
    <cellStyle name="Normal 2 2 4 2 2 2 2 2 2 2" xfId="2597"/>
    <cellStyle name="Normal 2 2 4 2 2 2 2 2 2 2 2" xfId="5317"/>
    <cellStyle name="Normal 2 2 4 2 2 2 2 2 2 2 2 2" xfId="12484"/>
    <cellStyle name="Normal 2 2 4 2 2 2 2 2 2 2 2 2 2" xfId="12485"/>
    <cellStyle name="Normal 2 2 4 2 2 2 2 2 2 2 2 2 2 2" xfId="12486"/>
    <cellStyle name="Normal 2 2 4 2 2 2 2 2 2 2 2 2 3" xfId="12487"/>
    <cellStyle name="Normal 2 2 4 2 2 2 2 2 2 2 2 3" xfId="12488"/>
    <cellStyle name="Normal 2 2 4 2 2 2 2 2 2 2 2 3 2" xfId="12489"/>
    <cellStyle name="Normal 2 2 4 2 2 2 2 2 2 2 2 4" xfId="12490"/>
    <cellStyle name="Normal 2 2 4 2 2 2 2 2 2 2 3" xfId="12491"/>
    <cellStyle name="Normal 2 2 4 2 2 2 2 2 2 2 3 2" xfId="12492"/>
    <cellStyle name="Normal 2 2 4 2 2 2 2 2 2 2 3 2 2" xfId="12493"/>
    <cellStyle name="Normal 2 2 4 2 2 2 2 2 2 2 3 3" xfId="12494"/>
    <cellStyle name="Normal 2 2 4 2 2 2 2 2 2 2 4" xfId="12495"/>
    <cellStyle name="Normal 2 2 4 2 2 2 2 2 2 2 4 2" xfId="12496"/>
    <cellStyle name="Normal 2 2 4 2 2 2 2 2 2 2 5" xfId="12497"/>
    <cellStyle name="Normal 2 2 4 2 2 2 2 2 2 3" xfId="3957"/>
    <cellStyle name="Normal 2 2 4 2 2 2 2 2 2 3 2" xfId="12498"/>
    <cellStyle name="Normal 2 2 4 2 2 2 2 2 2 3 2 2" xfId="12499"/>
    <cellStyle name="Normal 2 2 4 2 2 2 2 2 2 3 2 2 2" xfId="12500"/>
    <cellStyle name="Normal 2 2 4 2 2 2 2 2 2 3 2 3" xfId="12501"/>
    <cellStyle name="Normal 2 2 4 2 2 2 2 2 2 3 3" xfId="12502"/>
    <cellStyle name="Normal 2 2 4 2 2 2 2 2 2 3 3 2" xfId="12503"/>
    <cellStyle name="Normal 2 2 4 2 2 2 2 2 2 3 4" xfId="12504"/>
    <cellStyle name="Normal 2 2 4 2 2 2 2 2 2 4" xfId="12505"/>
    <cellStyle name="Normal 2 2 4 2 2 2 2 2 2 4 2" xfId="12506"/>
    <cellStyle name="Normal 2 2 4 2 2 2 2 2 2 4 2 2" xfId="12507"/>
    <cellStyle name="Normal 2 2 4 2 2 2 2 2 2 4 3" xfId="12508"/>
    <cellStyle name="Normal 2 2 4 2 2 2 2 2 2 5" xfId="12509"/>
    <cellStyle name="Normal 2 2 4 2 2 2 2 2 2 5 2" xfId="12510"/>
    <cellStyle name="Normal 2 2 4 2 2 2 2 2 2 6" xfId="12511"/>
    <cellStyle name="Normal 2 2 4 2 2 2 2 2 3" xfId="1917"/>
    <cellStyle name="Normal 2 2 4 2 2 2 2 2 3 2" xfId="4637"/>
    <cellStyle name="Normal 2 2 4 2 2 2 2 2 3 2 2" xfId="12512"/>
    <cellStyle name="Normal 2 2 4 2 2 2 2 2 3 2 2 2" xfId="12513"/>
    <cellStyle name="Normal 2 2 4 2 2 2 2 2 3 2 2 2 2" xfId="12514"/>
    <cellStyle name="Normal 2 2 4 2 2 2 2 2 3 2 2 3" xfId="12515"/>
    <cellStyle name="Normal 2 2 4 2 2 2 2 2 3 2 3" xfId="12516"/>
    <cellStyle name="Normal 2 2 4 2 2 2 2 2 3 2 3 2" xfId="12517"/>
    <cellStyle name="Normal 2 2 4 2 2 2 2 2 3 2 4" xfId="12518"/>
    <cellStyle name="Normal 2 2 4 2 2 2 2 2 3 3" xfId="12519"/>
    <cellStyle name="Normal 2 2 4 2 2 2 2 2 3 3 2" xfId="12520"/>
    <cellStyle name="Normal 2 2 4 2 2 2 2 2 3 3 2 2" xfId="12521"/>
    <cellStyle name="Normal 2 2 4 2 2 2 2 2 3 3 3" xfId="12522"/>
    <cellStyle name="Normal 2 2 4 2 2 2 2 2 3 4" xfId="12523"/>
    <cellStyle name="Normal 2 2 4 2 2 2 2 2 3 4 2" xfId="12524"/>
    <cellStyle name="Normal 2 2 4 2 2 2 2 2 3 5" xfId="12525"/>
    <cellStyle name="Normal 2 2 4 2 2 2 2 2 4" xfId="3277"/>
    <cellStyle name="Normal 2 2 4 2 2 2 2 2 4 2" xfId="12526"/>
    <cellStyle name="Normal 2 2 4 2 2 2 2 2 4 2 2" xfId="12527"/>
    <cellStyle name="Normal 2 2 4 2 2 2 2 2 4 2 2 2" xfId="12528"/>
    <cellStyle name="Normal 2 2 4 2 2 2 2 2 4 2 3" xfId="12529"/>
    <cellStyle name="Normal 2 2 4 2 2 2 2 2 4 3" xfId="12530"/>
    <cellStyle name="Normal 2 2 4 2 2 2 2 2 4 3 2" xfId="12531"/>
    <cellStyle name="Normal 2 2 4 2 2 2 2 2 4 4" xfId="12532"/>
    <cellStyle name="Normal 2 2 4 2 2 2 2 2 5" xfId="12533"/>
    <cellStyle name="Normal 2 2 4 2 2 2 2 2 5 2" xfId="12534"/>
    <cellStyle name="Normal 2 2 4 2 2 2 2 2 5 2 2" xfId="12535"/>
    <cellStyle name="Normal 2 2 4 2 2 2 2 2 5 3" xfId="12536"/>
    <cellStyle name="Normal 2 2 4 2 2 2 2 2 6" xfId="12537"/>
    <cellStyle name="Normal 2 2 4 2 2 2 2 2 6 2" xfId="12538"/>
    <cellStyle name="Normal 2 2 4 2 2 2 2 2 7" xfId="12539"/>
    <cellStyle name="Normal 2 2 4 2 2 2 2 3" xfId="965"/>
    <cellStyle name="Normal 2 2 4 2 2 2 2 3 2" xfId="2325"/>
    <cellStyle name="Normal 2 2 4 2 2 2 2 3 2 2" xfId="5045"/>
    <cellStyle name="Normal 2 2 4 2 2 2 2 3 2 2 2" xfId="12540"/>
    <cellStyle name="Normal 2 2 4 2 2 2 2 3 2 2 2 2" xfId="12541"/>
    <cellStyle name="Normal 2 2 4 2 2 2 2 3 2 2 2 2 2" xfId="12542"/>
    <cellStyle name="Normal 2 2 4 2 2 2 2 3 2 2 2 3" xfId="12543"/>
    <cellStyle name="Normal 2 2 4 2 2 2 2 3 2 2 3" xfId="12544"/>
    <cellStyle name="Normal 2 2 4 2 2 2 2 3 2 2 3 2" xfId="12545"/>
    <cellStyle name="Normal 2 2 4 2 2 2 2 3 2 2 4" xfId="12546"/>
    <cellStyle name="Normal 2 2 4 2 2 2 2 3 2 3" xfId="12547"/>
    <cellStyle name="Normal 2 2 4 2 2 2 2 3 2 3 2" xfId="12548"/>
    <cellStyle name="Normal 2 2 4 2 2 2 2 3 2 3 2 2" xfId="12549"/>
    <cellStyle name="Normal 2 2 4 2 2 2 2 3 2 3 3" xfId="12550"/>
    <cellStyle name="Normal 2 2 4 2 2 2 2 3 2 4" xfId="12551"/>
    <cellStyle name="Normal 2 2 4 2 2 2 2 3 2 4 2" xfId="12552"/>
    <cellStyle name="Normal 2 2 4 2 2 2 2 3 2 5" xfId="12553"/>
    <cellStyle name="Normal 2 2 4 2 2 2 2 3 3" xfId="3685"/>
    <cellStyle name="Normal 2 2 4 2 2 2 2 3 3 2" xfId="12554"/>
    <cellStyle name="Normal 2 2 4 2 2 2 2 3 3 2 2" xfId="12555"/>
    <cellStyle name="Normal 2 2 4 2 2 2 2 3 3 2 2 2" xfId="12556"/>
    <cellStyle name="Normal 2 2 4 2 2 2 2 3 3 2 3" xfId="12557"/>
    <cellStyle name="Normal 2 2 4 2 2 2 2 3 3 3" xfId="12558"/>
    <cellStyle name="Normal 2 2 4 2 2 2 2 3 3 3 2" xfId="12559"/>
    <cellStyle name="Normal 2 2 4 2 2 2 2 3 3 4" xfId="12560"/>
    <cellStyle name="Normal 2 2 4 2 2 2 2 3 4" xfId="12561"/>
    <cellStyle name="Normal 2 2 4 2 2 2 2 3 4 2" xfId="12562"/>
    <cellStyle name="Normal 2 2 4 2 2 2 2 3 4 2 2" xfId="12563"/>
    <cellStyle name="Normal 2 2 4 2 2 2 2 3 4 3" xfId="12564"/>
    <cellStyle name="Normal 2 2 4 2 2 2 2 3 5" xfId="12565"/>
    <cellStyle name="Normal 2 2 4 2 2 2 2 3 5 2" xfId="12566"/>
    <cellStyle name="Normal 2 2 4 2 2 2 2 3 6" xfId="12567"/>
    <cellStyle name="Normal 2 2 4 2 2 2 2 4" xfId="1645"/>
    <cellStyle name="Normal 2 2 4 2 2 2 2 4 2" xfId="4365"/>
    <cellStyle name="Normal 2 2 4 2 2 2 2 4 2 2" xfId="12568"/>
    <cellStyle name="Normal 2 2 4 2 2 2 2 4 2 2 2" xfId="12569"/>
    <cellStyle name="Normal 2 2 4 2 2 2 2 4 2 2 2 2" xfId="12570"/>
    <cellStyle name="Normal 2 2 4 2 2 2 2 4 2 2 3" xfId="12571"/>
    <cellStyle name="Normal 2 2 4 2 2 2 2 4 2 3" xfId="12572"/>
    <cellStyle name="Normal 2 2 4 2 2 2 2 4 2 3 2" xfId="12573"/>
    <cellStyle name="Normal 2 2 4 2 2 2 2 4 2 4" xfId="12574"/>
    <cellStyle name="Normal 2 2 4 2 2 2 2 4 3" xfId="12575"/>
    <cellStyle name="Normal 2 2 4 2 2 2 2 4 3 2" xfId="12576"/>
    <cellStyle name="Normal 2 2 4 2 2 2 2 4 3 2 2" xfId="12577"/>
    <cellStyle name="Normal 2 2 4 2 2 2 2 4 3 3" xfId="12578"/>
    <cellStyle name="Normal 2 2 4 2 2 2 2 4 4" xfId="12579"/>
    <cellStyle name="Normal 2 2 4 2 2 2 2 4 4 2" xfId="12580"/>
    <cellStyle name="Normal 2 2 4 2 2 2 2 4 5" xfId="12581"/>
    <cellStyle name="Normal 2 2 4 2 2 2 2 5" xfId="3005"/>
    <cellStyle name="Normal 2 2 4 2 2 2 2 5 2" xfId="12582"/>
    <cellStyle name="Normal 2 2 4 2 2 2 2 5 2 2" xfId="12583"/>
    <cellStyle name="Normal 2 2 4 2 2 2 2 5 2 2 2" xfId="12584"/>
    <cellStyle name="Normal 2 2 4 2 2 2 2 5 2 3" xfId="12585"/>
    <cellStyle name="Normal 2 2 4 2 2 2 2 5 3" xfId="12586"/>
    <cellStyle name="Normal 2 2 4 2 2 2 2 5 3 2" xfId="12587"/>
    <cellStyle name="Normal 2 2 4 2 2 2 2 5 4" xfId="12588"/>
    <cellStyle name="Normal 2 2 4 2 2 2 2 6" xfId="12589"/>
    <cellStyle name="Normal 2 2 4 2 2 2 2 6 2" xfId="12590"/>
    <cellStyle name="Normal 2 2 4 2 2 2 2 6 2 2" xfId="12591"/>
    <cellStyle name="Normal 2 2 4 2 2 2 2 6 3" xfId="12592"/>
    <cellStyle name="Normal 2 2 4 2 2 2 2 7" xfId="12593"/>
    <cellStyle name="Normal 2 2 4 2 2 2 2 7 2" xfId="12594"/>
    <cellStyle name="Normal 2 2 4 2 2 2 2 8" xfId="12595"/>
    <cellStyle name="Normal 2 2 4 2 2 2 3" xfId="421"/>
    <cellStyle name="Normal 2 2 4 2 2 2 3 2" xfId="1101"/>
    <cellStyle name="Normal 2 2 4 2 2 2 3 2 2" xfId="2461"/>
    <cellStyle name="Normal 2 2 4 2 2 2 3 2 2 2" xfId="5181"/>
    <cellStyle name="Normal 2 2 4 2 2 2 3 2 2 2 2" xfId="12596"/>
    <cellStyle name="Normal 2 2 4 2 2 2 3 2 2 2 2 2" xfId="12597"/>
    <cellStyle name="Normal 2 2 4 2 2 2 3 2 2 2 2 2 2" xfId="12598"/>
    <cellStyle name="Normal 2 2 4 2 2 2 3 2 2 2 2 3" xfId="12599"/>
    <cellStyle name="Normal 2 2 4 2 2 2 3 2 2 2 3" xfId="12600"/>
    <cellStyle name="Normal 2 2 4 2 2 2 3 2 2 2 3 2" xfId="12601"/>
    <cellStyle name="Normal 2 2 4 2 2 2 3 2 2 2 4" xfId="12602"/>
    <cellStyle name="Normal 2 2 4 2 2 2 3 2 2 3" xfId="12603"/>
    <cellStyle name="Normal 2 2 4 2 2 2 3 2 2 3 2" xfId="12604"/>
    <cellStyle name="Normal 2 2 4 2 2 2 3 2 2 3 2 2" xfId="12605"/>
    <cellStyle name="Normal 2 2 4 2 2 2 3 2 2 3 3" xfId="12606"/>
    <cellStyle name="Normal 2 2 4 2 2 2 3 2 2 4" xfId="12607"/>
    <cellStyle name="Normal 2 2 4 2 2 2 3 2 2 4 2" xfId="12608"/>
    <cellStyle name="Normal 2 2 4 2 2 2 3 2 2 5" xfId="12609"/>
    <cellStyle name="Normal 2 2 4 2 2 2 3 2 3" xfId="3821"/>
    <cellStyle name="Normal 2 2 4 2 2 2 3 2 3 2" xfId="12610"/>
    <cellStyle name="Normal 2 2 4 2 2 2 3 2 3 2 2" xfId="12611"/>
    <cellStyle name="Normal 2 2 4 2 2 2 3 2 3 2 2 2" xfId="12612"/>
    <cellStyle name="Normal 2 2 4 2 2 2 3 2 3 2 3" xfId="12613"/>
    <cellStyle name="Normal 2 2 4 2 2 2 3 2 3 3" xfId="12614"/>
    <cellStyle name="Normal 2 2 4 2 2 2 3 2 3 3 2" xfId="12615"/>
    <cellStyle name="Normal 2 2 4 2 2 2 3 2 3 4" xfId="12616"/>
    <cellStyle name="Normal 2 2 4 2 2 2 3 2 4" xfId="12617"/>
    <cellStyle name="Normal 2 2 4 2 2 2 3 2 4 2" xfId="12618"/>
    <cellStyle name="Normal 2 2 4 2 2 2 3 2 4 2 2" xfId="12619"/>
    <cellStyle name="Normal 2 2 4 2 2 2 3 2 4 3" xfId="12620"/>
    <cellStyle name="Normal 2 2 4 2 2 2 3 2 5" xfId="12621"/>
    <cellStyle name="Normal 2 2 4 2 2 2 3 2 5 2" xfId="12622"/>
    <cellStyle name="Normal 2 2 4 2 2 2 3 2 6" xfId="12623"/>
    <cellStyle name="Normal 2 2 4 2 2 2 3 3" xfId="1781"/>
    <cellStyle name="Normal 2 2 4 2 2 2 3 3 2" xfId="4501"/>
    <cellStyle name="Normal 2 2 4 2 2 2 3 3 2 2" xfId="12624"/>
    <cellStyle name="Normal 2 2 4 2 2 2 3 3 2 2 2" xfId="12625"/>
    <cellStyle name="Normal 2 2 4 2 2 2 3 3 2 2 2 2" xfId="12626"/>
    <cellStyle name="Normal 2 2 4 2 2 2 3 3 2 2 3" xfId="12627"/>
    <cellStyle name="Normal 2 2 4 2 2 2 3 3 2 3" xfId="12628"/>
    <cellStyle name="Normal 2 2 4 2 2 2 3 3 2 3 2" xfId="12629"/>
    <cellStyle name="Normal 2 2 4 2 2 2 3 3 2 4" xfId="12630"/>
    <cellStyle name="Normal 2 2 4 2 2 2 3 3 3" xfId="12631"/>
    <cellStyle name="Normal 2 2 4 2 2 2 3 3 3 2" xfId="12632"/>
    <cellStyle name="Normal 2 2 4 2 2 2 3 3 3 2 2" xfId="12633"/>
    <cellStyle name="Normal 2 2 4 2 2 2 3 3 3 3" xfId="12634"/>
    <cellStyle name="Normal 2 2 4 2 2 2 3 3 4" xfId="12635"/>
    <cellStyle name="Normal 2 2 4 2 2 2 3 3 4 2" xfId="12636"/>
    <cellStyle name="Normal 2 2 4 2 2 2 3 3 5" xfId="12637"/>
    <cellStyle name="Normal 2 2 4 2 2 2 3 4" xfId="3141"/>
    <cellStyle name="Normal 2 2 4 2 2 2 3 4 2" xfId="12638"/>
    <cellStyle name="Normal 2 2 4 2 2 2 3 4 2 2" xfId="12639"/>
    <cellStyle name="Normal 2 2 4 2 2 2 3 4 2 2 2" xfId="12640"/>
    <cellStyle name="Normal 2 2 4 2 2 2 3 4 2 3" xfId="12641"/>
    <cellStyle name="Normal 2 2 4 2 2 2 3 4 3" xfId="12642"/>
    <cellStyle name="Normal 2 2 4 2 2 2 3 4 3 2" xfId="12643"/>
    <cellStyle name="Normal 2 2 4 2 2 2 3 4 4" xfId="12644"/>
    <cellStyle name="Normal 2 2 4 2 2 2 3 5" xfId="12645"/>
    <cellStyle name="Normal 2 2 4 2 2 2 3 5 2" xfId="12646"/>
    <cellStyle name="Normal 2 2 4 2 2 2 3 5 2 2" xfId="12647"/>
    <cellStyle name="Normal 2 2 4 2 2 2 3 5 3" xfId="12648"/>
    <cellStyle name="Normal 2 2 4 2 2 2 3 6" xfId="12649"/>
    <cellStyle name="Normal 2 2 4 2 2 2 3 6 2" xfId="12650"/>
    <cellStyle name="Normal 2 2 4 2 2 2 3 7" xfId="12651"/>
    <cellStyle name="Normal 2 2 4 2 2 2 4" xfId="693"/>
    <cellStyle name="Normal 2 2 4 2 2 2 4 2" xfId="1373"/>
    <cellStyle name="Normal 2 2 4 2 2 2 4 2 2" xfId="2733"/>
    <cellStyle name="Normal 2 2 4 2 2 2 4 2 2 2" xfId="5453"/>
    <cellStyle name="Normal 2 2 4 2 2 2 4 2 2 2 2" xfId="12652"/>
    <cellStyle name="Normal 2 2 4 2 2 2 4 2 2 2 2 2" xfId="12653"/>
    <cellStyle name="Normal 2 2 4 2 2 2 4 2 2 2 2 2 2" xfId="12654"/>
    <cellStyle name="Normal 2 2 4 2 2 2 4 2 2 2 2 3" xfId="12655"/>
    <cellStyle name="Normal 2 2 4 2 2 2 4 2 2 2 3" xfId="12656"/>
    <cellStyle name="Normal 2 2 4 2 2 2 4 2 2 2 3 2" xfId="12657"/>
    <cellStyle name="Normal 2 2 4 2 2 2 4 2 2 2 4" xfId="12658"/>
    <cellStyle name="Normal 2 2 4 2 2 2 4 2 2 3" xfId="12659"/>
    <cellStyle name="Normal 2 2 4 2 2 2 4 2 2 3 2" xfId="12660"/>
    <cellStyle name="Normal 2 2 4 2 2 2 4 2 2 3 2 2" xfId="12661"/>
    <cellStyle name="Normal 2 2 4 2 2 2 4 2 2 3 3" xfId="12662"/>
    <cellStyle name="Normal 2 2 4 2 2 2 4 2 2 4" xfId="12663"/>
    <cellStyle name="Normal 2 2 4 2 2 2 4 2 2 4 2" xfId="12664"/>
    <cellStyle name="Normal 2 2 4 2 2 2 4 2 2 5" xfId="12665"/>
    <cellStyle name="Normal 2 2 4 2 2 2 4 2 3" xfId="4093"/>
    <cellStyle name="Normal 2 2 4 2 2 2 4 2 3 2" xfId="12666"/>
    <cellStyle name="Normal 2 2 4 2 2 2 4 2 3 2 2" xfId="12667"/>
    <cellStyle name="Normal 2 2 4 2 2 2 4 2 3 2 2 2" xfId="12668"/>
    <cellStyle name="Normal 2 2 4 2 2 2 4 2 3 2 3" xfId="12669"/>
    <cellStyle name="Normal 2 2 4 2 2 2 4 2 3 3" xfId="12670"/>
    <cellStyle name="Normal 2 2 4 2 2 2 4 2 3 3 2" xfId="12671"/>
    <cellStyle name="Normal 2 2 4 2 2 2 4 2 3 4" xfId="12672"/>
    <cellStyle name="Normal 2 2 4 2 2 2 4 2 4" xfId="12673"/>
    <cellStyle name="Normal 2 2 4 2 2 2 4 2 4 2" xfId="12674"/>
    <cellStyle name="Normal 2 2 4 2 2 2 4 2 4 2 2" xfId="12675"/>
    <cellStyle name="Normal 2 2 4 2 2 2 4 2 4 3" xfId="12676"/>
    <cellStyle name="Normal 2 2 4 2 2 2 4 2 5" xfId="12677"/>
    <cellStyle name="Normal 2 2 4 2 2 2 4 2 5 2" xfId="12678"/>
    <cellStyle name="Normal 2 2 4 2 2 2 4 2 6" xfId="12679"/>
    <cellStyle name="Normal 2 2 4 2 2 2 4 3" xfId="2053"/>
    <cellStyle name="Normal 2 2 4 2 2 2 4 3 2" xfId="4773"/>
    <cellStyle name="Normal 2 2 4 2 2 2 4 3 2 2" xfId="12680"/>
    <cellStyle name="Normal 2 2 4 2 2 2 4 3 2 2 2" xfId="12681"/>
    <cellStyle name="Normal 2 2 4 2 2 2 4 3 2 2 2 2" xfId="12682"/>
    <cellStyle name="Normal 2 2 4 2 2 2 4 3 2 2 3" xfId="12683"/>
    <cellStyle name="Normal 2 2 4 2 2 2 4 3 2 3" xfId="12684"/>
    <cellStyle name="Normal 2 2 4 2 2 2 4 3 2 3 2" xfId="12685"/>
    <cellStyle name="Normal 2 2 4 2 2 2 4 3 2 4" xfId="12686"/>
    <cellStyle name="Normal 2 2 4 2 2 2 4 3 3" xfId="12687"/>
    <cellStyle name="Normal 2 2 4 2 2 2 4 3 3 2" xfId="12688"/>
    <cellStyle name="Normal 2 2 4 2 2 2 4 3 3 2 2" xfId="12689"/>
    <cellStyle name="Normal 2 2 4 2 2 2 4 3 3 3" xfId="12690"/>
    <cellStyle name="Normal 2 2 4 2 2 2 4 3 4" xfId="12691"/>
    <cellStyle name="Normal 2 2 4 2 2 2 4 3 4 2" xfId="12692"/>
    <cellStyle name="Normal 2 2 4 2 2 2 4 3 5" xfId="12693"/>
    <cellStyle name="Normal 2 2 4 2 2 2 4 4" xfId="3413"/>
    <cellStyle name="Normal 2 2 4 2 2 2 4 4 2" xfId="12694"/>
    <cellStyle name="Normal 2 2 4 2 2 2 4 4 2 2" xfId="12695"/>
    <cellStyle name="Normal 2 2 4 2 2 2 4 4 2 2 2" xfId="12696"/>
    <cellStyle name="Normal 2 2 4 2 2 2 4 4 2 3" xfId="12697"/>
    <cellStyle name="Normal 2 2 4 2 2 2 4 4 3" xfId="12698"/>
    <cellStyle name="Normal 2 2 4 2 2 2 4 4 3 2" xfId="12699"/>
    <cellStyle name="Normal 2 2 4 2 2 2 4 4 4" xfId="12700"/>
    <cellStyle name="Normal 2 2 4 2 2 2 4 5" xfId="12701"/>
    <cellStyle name="Normal 2 2 4 2 2 2 4 5 2" xfId="12702"/>
    <cellStyle name="Normal 2 2 4 2 2 2 4 5 2 2" xfId="12703"/>
    <cellStyle name="Normal 2 2 4 2 2 2 4 5 3" xfId="12704"/>
    <cellStyle name="Normal 2 2 4 2 2 2 4 6" xfId="12705"/>
    <cellStyle name="Normal 2 2 4 2 2 2 4 6 2" xfId="12706"/>
    <cellStyle name="Normal 2 2 4 2 2 2 4 7" xfId="12707"/>
    <cellStyle name="Normal 2 2 4 2 2 2 5" xfId="829"/>
    <cellStyle name="Normal 2 2 4 2 2 2 5 2" xfId="2189"/>
    <cellStyle name="Normal 2 2 4 2 2 2 5 2 2" xfId="4909"/>
    <cellStyle name="Normal 2 2 4 2 2 2 5 2 2 2" xfId="12708"/>
    <cellStyle name="Normal 2 2 4 2 2 2 5 2 2 2 2" xfId="12709"/>
    <cellStyle name="Normal 2 2 4 2 2 2 5 2 2 2 2 2" xfId="12710"/>
    <cellStyle name="Normal 2 2 4 2 2 2 5 2 2 2 3" xfId="12711"/>
    <cellStyle name="Normal 2 2 4 2 2 2 5 2 2 3" xfId="12712"/>
    <cellStyle name="Normal 2 2 4 2 2 2 5 2 2 3 2" xfId="12713"/>
    <cellStyle name="Normal 2 2 4 2 2 2 5 2 2 4" xfId="12714"/>
    <cellStyle name="Normal 2 2 4 2 2 2 5 2 3" xfId="12715"/>
    <cellStyle name="Normal 2 2 4 2 2 2 5 2 3 2" xfId="12716"/>
    <cellStyle name="Normal 2 2 4 2 2 2 5 2 3 2 2" xfId="12717"/>
    <cellStyle name="Normal 2 2 4 2 2 2 5 2 3 3" xfId="12718"/>
    <cellStyle name="Normal 2 2 4 2 2 2 5 2 4" xfId="12719"/>
    <cellStyle name="Normal 2 2 4 2 2 2 5 2 4 2" xfId="12720"/>
    <cellStyle name="Normal 2 2 4 2 2 2 5 2 5" xfId="12721"/>
    <cellStyle name="Normal 2 2 4 2 2 2 5 3" xfId="3549"/>
    <cellStyle name="Normal 2 2 4 2 2 2 5 3 2" xfId="12722"/>
    <cellStyle name="Normal 2 2 4 2 2 2 5 3 2 2" xfId="12723"/>
    <cellStyle name="Normal 2 2 4 2 2 2 5 3 2 2 2" xfId="12724"/>
    <cellStyle name="Normal 2 2 4 2 2 2 5 3 2 3" xfId="12725"/>
    <cellStyle name="Normal 2 2 4 2 2 2 5 3 3" xfId="12726"/>
    <cellStyle name="Normal 2 2 4 2 2 2 5 3 3 2" xfId="12727"/>
    <cellStyle name="Normal 2 2 4 2 2 2 5 3 4" xfId="12728"/>
    <cellStyle name="Normal 2 2 4 2 2 2 5 4" xfId="12729"/>
    <cellStyle name="Normal 2 2 4 2 2 2 5 4 2" xfId="12730"/>
    <cellStyle name="Normal 2 2 4 2 2 2 5 4 2 2" xfId="12731"/>
    <cellStyle name="Normal 2 2 4 2 2 2 5 4 3" xfId="12732"/>
    <cellStyle name="Normal 2 2 4 2 2 2 5 5" xfId="12733"/>
    <cellStyle name="Normal 2 2 4 2 2 2 5 5 2" xfId="12734"/>
    <cellStyle name="Normal 2 2 4 2 2 2 5 6" xfId="12735"/>
    <cellStyle name="Normal 2 2 4 2 2 2 6" xfId="1509"/>
    <cellStyle name="Normal 2 2 4 2 2 2 6 2" xfId="4229"/>
    <cellStyle name="Normal 2 2 4 2 2 2 6 2 2" xfId="12736"/>
    <cellStyle name="Normal 2 2 4 2 2 2 6 2 2 2" xfId="12737"/>
    <cellStyle name="Normal 2 2 4 2 2 2 6 2 2 2 2" xfId="12738"/>
    <cellStyle name="Normal 2 2 4 2 2 2 6 2 2 3" xfId="12739"/>
    <cellStyle name="Normal 2 2 4 2 2 2 6 2 3" xfId="12740"/>
    <cellStyle name="Normal 2 2 4 2 2 2 6 2 3 2" xfId="12741"/>
    <cellStyle name="Normal 2 2 4 2 2 2 6 2 4" xfId="12742"/>
    <cellStyle name="Normal 2 2 4 2 2 2 6 3" xfId="12743"/>
    <cellStyle name="Normal 2 2 4 2 2 2 6 3 2" xfId="12744"/>
    <cellStyle name="Normal 2 2 4 2 2 2 6 3 2 2" xfId="12745"/>
    <cellStyle name="Normal 2 2 4 2 2 2 6 3 3" xfId="12746"/>
    <cellStyle name="Normal 2 2 4 2 2 2 6 4" xfId="12747"/>
    <cellStyle name="Normal 2 2 4 2 2 2 6 4 2" xfId="12748"/>
    <cellStyle name="Normal 2 2 4 2 2 2 6 5" xfId="12749"/>
    <cellStyle name="Normal 2 2 4 2 2 2 7" xfId="2869"/>
    <cellStyle name="Normal 2 2 4 2 2 2 7 2" xfId="12750"/>
    <cellStyle name="Normal 2 2 4 2 2 2 7 2 2" xfId="12751"/>
    <cellStyle name="Normal 2 2 4 2 2 2 7 2 2 2" xfId="12752"/>
    <cellStyle name="Normal 2 2 4 2 2 2 7 2 3" xfId="12753"/>
    <cellStyle name="Normal 2 2 4 2 2 2 7 3" xfId="12754"/>
    <cellStyle name="Normal 2 2 4 2 2 2 7 3 2" xfId="12755"/>
    <cellStyle name="Normal 2 2 4 2 2 2 7 4" xfId="12756"/>
    <cellStyle name="Normal 2 2 4 2 2 2 8" xfId="12757"/>
    <cellStyle name="Normal 2 2 4 2 2 2 8 2" xfId="12758"/>
    <cellStyle name="Normal 2 2 4 2 2 2 8 2 2" xfId="12759"/>
    <cellStyle name="Normal 2 2 4 2 2 2 8 3" xfId="12760"/>
    <cellStyle name="Normal 2 2 4 2 2 2 9" xfId="12761"/>
    <cellStyle name="Normal 2 2 4 2 2 2 9 2" xfId="12762"/>
    <cellStyle name="Normal 2 2 4 2 2 3" xfId="217"/>
    <cellStyle name="Normal 2 2 4 2 2 3 2" xfId="489"/>
    <cellStyle name="Normal 2 2 4 2 2 3 2 2" xfId="1169"/>
    <cellStyle name="Normal 2 2 4 2 2 3 2 2 2" xfId="2529"/>
    <cellStyle name="Normal 2 2 4 2 2 3 2 2 2 2" xfId="5249"/>
    <cellStyle name="Normal 2 2 4 2 2 3 2 2 2 2 2" xfId="12763"/>
    <cellStyle name="Normal 2 2 4 2 2 3 2 2 2 2 2 2" xfId="12764"/>
    <cellStyle name="Normal 2 2 4 2 2 3 2 2 2 2 2 2 2" xfId="12765"/>
    <cellStyle name="Normal 2 2 4 2 2 3 2 2 2 2 2 3" xfId="12766"/>
    <cellStyle name="Normal 2 2 4 2 2 3 2 2 2 2 3" xfId="12767"/>
    <cellStyle name="Normal 2 2 4 2 2 3 2 2 2 2 3 2" xfId="12768"/>
    <cellStyle name="Normal 2 2 4 2 2 3 2 2 2 2 4" xfId="12769"/>
    <cellStyle name="Normal 2 2 4 2 2 3 2 2 2 3" xfId="12770"/>
    <cellStyle name="Normal 2 2 4 2 2 3 2 2 2 3 2" xfId="12771"/>
    <cellStyle name="Normal 2 2 4 2 2 3 2 2 2 3 2 2" xfId="12772"/>
    <cellStyle name="Normal 2 2 4 2 2 3 2 2 2 3 3" xfId="12773"/>
    <cellStyle name="Normal 2 2 4 2 2 3 2 2 2 4" xfId="12774"/>
    <cellStyle name="Normal 2 2 4 2 2 3 2 2 2 4 2" xfId="12775"/>
    <cellStyle name="Normal 2 2 4 2 2 3 2 2 2 5" xfId="12776"/>
    <cellStyle name="Normal 2 2 4 2 2 3 2 2 3" xfId="3889"/>
    <cellStyle name="Normal 2 2 4 2 2 3 2 2 3 2" xfId="12777"/>
    <cellStyle name="Normal 2 2 4 2 2 3 2 2 3 2 2" xfId="12778"/>
    <cellStyle name="Normal 2 2 4 2 2 3 2 2 3 2 2 2" xfId="12779"/>
    <cellStyle name="Normal 2 2 4 2 2 3 2 2 3 2 3" xfId="12780"/>
    <cellStyle name="Normal 2 2 4 2 2 3 2 2 3 3" xfId="12781"/>
    <cellStyle name="Normal 2 2 4 2 2 3 2 2 3 3 2" xfId="12782"/>
    <cellStyle name="Normal 2 2 4 2 2 3 2 2 3 4" xfId="12783"/>
    <cellStyle name="Normal 2 2 4 2 2 3 2 2 4" xfId="12784"/>
    <cellStyle name="Normal 2 2 4 2 2 3 2 2 4 2" xfId="12785"/>
    <cellStyle name="Normal 2 2 4 2 2 3 2 2 4 2 2" xfId="12786"/>
    <cellStyle name="Normal 2 2 4 2 2 3 2 2 4 3" xfId="12787"/>
    <cellStyle name="Normal 2 2 4 2 2 3 2 2 5" xfId="12788"/>
    <cellStyle name="Normal 2 2 4 2 2 3 2 2 5 2" xfId="12789"/>
    <cellStyle name="Normal 2 2 4 2 2 3 2 2 6" xfId="12790"/>
    <cellStyle name="Normal 2 2 4 2 2 3 2 3" xfId="1849"/>
    <cellStyle name="Normal 2 2 4 2 2 3 2 3 2" xfId="4569"/>
    <cellStyle name="Normal 2 2 4 2 2 3 2 3 2 2" xfId="12791"/>
    <cellStyle name="Normal 2 2 4 2 2 3 2 3 2 2 2" xfId="12792"/>
    <cellStyle name="Normal 2 2 4 2 2 3 2 3 2 2 2 2" xfId="12793"/>
    <cellStyle name="Normal 2 2 4 2 2 3 2 3 2 2 3" xfId="12794"/>
    <cellStyle name="Normal 2 2 4 2 2 3 2 3 2 3" xfId="12795"/>
    <cellStyle name="Normal 2 2 4 2 2 3 2 3 2 3 2" xfId="12796"/>
    <cellStyle name="Normal 2 2 4 2 2 3 2 3 2 4" xfId="12797"/>
    <cellStyle name="Normal 2 2 4 2 2 3 2 3 3" xfId="12798"/>
    <cellStyle name="Normal 2 2 4 2 2 3 2 3 3 2" xfId="12799"/>
    <cellStyle name="Normal 2 2 4 2 2 3 2 3 3 2 2" xfId="12800"/>
    <cellStyle name="Normal 2 2 4 2 2 3 2 3 3 3" xfId="12801"/>
    <cellStyle name="Normal 2 2 4 2 2 3 2 3 4" xfId="12802"/>
    <cellStyle name="Normal 2 2 4 2 2 3 2 3 4 2" xfId="12803"/>
    <cellStyle name="Normal 2 2 4 2 2 3 2 3 5" xfId="12804"/>
    <cellStyle name="Normal 2 2 4 2 2 3 2 4" xfId="3209"/>
    <cellStyle name="Normal 2 2 4 2 2 3 2 4 2" xfId="12805"/>
    <cellStyle name="Normal 2 2 4 2 2 3 2 4 2 2" xfId="12806"/>
    <cellStyle name="Normal 2 2 4 2 2 3 2 4 2 2 2" xfId="12807"/>
    <cellStyle name="Normal 2 2 4 2 2 3 2 4 2 3" xfId="12808"/>
    <cellStyle name="Normal 2 2 4 2 2 3 2 4 3" xfId="12809"/>
    <cellStyle name="Normal 2 2 4 2 2 3 2 4 3 2" xfId="12810"/>
    <cellStyle name="Normal 2 2 4 2 2 3 2 4 4" xfId="12811"/>
    <cellStyle name="Normal 2 2 4 2 2 3 2 5" xfId="12812"/>
    <cellStyle name="Normal 2 2 4 2 2 3 2 5 2" xfId="12813"/>
    <cellStyle name="Normal 2 2 4 2 2 3 2 5 2 2" xfId="12814"/>
    <cellStyle name="Normal 2 2 4 2 2 3 2 5 3" xfId="12815"/>
    <cellStyle name="Normal 2 2 4 2 2 3 2 6" xfId="12816"/>
    <cellStyle name="Normal 2 2 4 2 2 3 2 6 2" xfId="12817"/>
    <cellStyle name="Normal 2 2 4 2 2 3 2 7" xfId="12818"/>
    <cellStyle name="Normal 2 2 4 2 2 3 3" xfId="897"/>
    <cellStyle name="Normal 2 2 4 2 2 3 3 2" xfId="2257"/>
    <cellStyle name="Normal 2 2 4 2 2 3 3 2 2" xfId="4977"/>
    <cellStyle name="Normal 2 2 4 2 2 3 3 2 2 2" xfId="12819"/>
    <cellStyle name="Normal 2 2 4 2 2 3 3 2 2 2 2" xfId="12820"/>
    <cellStyle name="Normal 2 2 4 2 2 3 3 2 2 2 2 2" xfId="12821"/>
    <cellStyle name="Normal 2 2 4 2 2 3 3 2 2 2 3" xfId="12822"/>
    <cellStyle name="Normal 2 2 4 2 2 3 3 2 2 3" xfId="12823"/>
    <cellStyle name="Normal 2 2 4 2 2 3 3 2 2 3 2" xfId="12824"/>
    <cellStyle name="Normal 2 2 4 2 2 3 3 2 2 4" xfId="12825"/>
    <cellStyle name="Normal 2 2 4 2 2 3 3 2 3" xfId="12826"/>
    <cellStyle name="Normal 2 2 4 2 2 3 3 2 3 2" xfId="12827"/>
    <cellStyle name="Normal 2 2 4 2 2 3 3 2 3 2 2" xfId="12828"/>
    <cellStyle name="Normal 2 2 4 2 2 3 3 2 3 3" xfId="12829"/>
    <cellStyle name="Normal 2 2 4 2 2 3 3 2 4" xfId="12830"/>
    <cellStyle name="Normal 2 2 4 2 2 3 3 2 4 2" xfId="12831"/>
    <cellStyle name="Normal 2 2 4 2 2 3 3 2 5" xfId="12832"/>
    <cellStyle name="Normal 2 2 4 2 2 3 3 3" xfId="3617"/>
    <cellStyle name="Normal 2 2 4 2 2 3 3 3 2" xfId="12833"/>
    <cellStyle name="Normal 2 2 4 2 2 3 3 3 2 2" xfId="12834"/>
    <cellStyle name="Normal 2 2 4 2 2 3 3 3 2 2 2" xfId="12835"/>
    <cellStyle name="Normal 2 2 4 2 2 3 3 3 2 3" xfId="12836"/>
    <cellStyle name="Normal 2 2 4 2 2 3 3 3 3" xfId="12837"/>
    <cellStyle name="Normal 2 2 4 2 2 3 3 3 3 2" xfId="12838"/>
    <cellStyle name="Normal 2 2 4 2 2 3 3 3 4" xfId="12839"/>
    <cellStyle name="Normal 2 2 4 2 2 3 3 4" xfId="12840"/>
    <cellStyle name="Normal 2 2 4 2 2 3 3 4 2" xfId="12841"/>
    <cellStyle name="Normal 2 2 4 2 2 3 3 4 2 2" xfId="12842"/>
    <cellStyle name="Normal 2 2 4 2 2 3 3 4 3" xfId="12843"/>
    <cellStyle name="Normal 2 2 4 2 2 3 3 5" xfId="12844"/>
    <cellStyle name="Normal 2 2 4 2 2 3 3 5 2" xfId="12845"/>
    <cellStyle name="Normal 2 2 4 2 2 3 3 6" xfId="12846"/>
    <cellStyle name="Normal 2 2 4 2 2 3 4" xfId="1577"/>
    <cellStyle name="Normal 2 2 4 2 2 3 4 2" xfId="4297"/>
    <cellStyle name="Normal 2 2 4 2 2 3 4 2 2" xfId="12847"/>
    <cellStyle name="Normal 2 2 4 2 2 3 4 2 2 2" xfId="12848"/>
    <cellStyle name="Normal 2 2 4 2 2 3 4 2 2 2 2" xfId="12849"/>
    <cellStyle name="Normal 2 2 4 2 2 3 4 2 2 3" xfId="12850"/>
    <cellStyle name="Normal 2 2 4 2 2 3 4 2 3" xfId="12851"/>
    <cellStyle name="Normal 2 2 4 2 2 3 4 2 3 2" xfId="12852"/>
    <cellStyle name="Normal 2 2 4 2 2 3 4 2 4" xfId="12853"/>
    <cellStyle name="Normal 2 2 4 2 2 3 4 3" xfId="12854"/>
    <cellStyle name="Normal 2 2 4 2 2 3 4 3 2" xfId="12855"/>
    <cellStyle name="Normal 2 2 4 2 2 3 4 3 2 2" xfId="12856"/>
    <cellStyle name="Normal 2 2 4 2 2 3 4 3 3" xfId="12857"/>
    <cellStyle name="Normal 2 2 4 2 2 3 4 4" xfId="12858"/>
    <cellStyle name="Normal 2 2 4 2 2 3 4 4 2" xfId="12859"/>
    <cellStyle name="Normal 2 2 4 2 2 3 4 5" xfId="12860"/>
    <cellStyle name="Normal 2 2 4 2 2 3 5" xfId="2937"/>
    <cellStyle name="Normal 2 2 4 2 2 3 5 2" xfId="12861"/>
    <cellStyle name="Normal 2 2 4 2 2 3 5 2 2" xfId="12862"/>
    <cellStyle name="Normal 2 2 4 2 2 3 5 2 2 2" xfId="12863"/>
    <cellStyle name="Normal 2 2 4 2 2 3 5 2 3" xfId="12864"/>
    <cellStyle name="Normal 2 2 4 2 2 3 5 3" xfId="12865"/>
    <cellStyle name="Normal 2 2 4 2 2 3 5 3 2" xfId="12866"/>
    <cellStyle name="Normal 2 2 4 2 2 3 5 4" xfId="12867"/>
    <cellStyle name="Normal 2 2 4 2 2 3 6" xfId="12868"/>
    <cellStyle name="Normal 2 2 4 2 2 3 6 2" xfId="12869"/>
    <cellStyle name="Normal 2 2 4 2 2 3 6 2 2" xfId="12870"/>
    <cellStyle name="Normal 2 2 4 2 2 3 6 3" xfId="12871"/>
    <cellStyle name="Normal 2 2 4 2 2 3 7" xfId="12872"/>
    <cellStyle name="Normal 2 2 4 2 2 3 7 2" xfId="12873"/>
    <cellStyle name="Normal 2 2 4 2 2 3 8" xfId="12874"/>
    <cellStyle name="Normal 2 2 4 2 2 4" xfId="353"/>
    <cellStyle name="Normal 2 2 4 2 2 4 2" xfId="1033"/>
    <cellStyle name="Normal 2 2 4 2 2 4 2 2" xfId="2393"/>
    <cellStyle name="Normal 2 2 4 2 2 4 2 2 2" xfId="5113"/>
    <cellStyle name="Normal 2 2 4 2 2 4 2 2 2 2" xfId="12875"/>
    <cellStyle name="Normal 2 2 4 2 2 4 2 2 2 2 2" xfId="12876"/>
    <cellStyle name="Normal 2 2 4 2 2 4 2 2 2 2 2 2" xfId="12877"/>
    <cellStyle name="Normal 2 2 4 2 2 4 2 2 2 2 3" xfId="12878"/>
    <cellStyle name="Normal 2 2 4 2 2 4 2 2 2 3" xfId="12879"/>
    <cellStyle name="Normal 2 2 4 2 2 4 2 2 2 3 2" xfId="12880"/>
    <cellStyle name="Normal 2 2 4 2 2 4 2 2 2 4" xfId="12881"/>
    <cellStyle name="Normal 2 2 4 2 2 4 2 2 3" xfId="12882"/>
    <cellStyle name="Normal 2 2 4 2 2 4 2 2 3 2" xfId="12883"/>
    <cellStyle name="Normal 2 2 4 2 2 4 2 2 3 2 2" xfId="12884"/>
    <cellStyle name="Normal 2 2 4 2 2 4 2 2 3 3" xfId="12885"/>
    <cellStyle name="Normal 2 2 4 2 2 4 2 2 4" xfId="12886"/>
    <cellStyle name="Normal 2 2 4 2 2 4 2 2 4 2" xfId="12887"/>
    <cellStyle name="Normal 2 2 4 2 2 4 2 2 5" xfId="12888"/>
    <cellStyle name="Normal 2 2 4 2 2 4 2 3" xfId="3753"/>
    <cellStyle name="Normal 2 2 4 2 2 4 2 3 2" xfId="12889"/>
    <cellStyle name="Normal 2 2 4 2 2 4 2 3 2 2" xfId="12890"/>
    <cellStyle name="Normal 2 2 4 2 2 4 2 3 2 2 2" xfId="12891"/>
    <cellStyle name="Normal 2 2 4 2 2 4 2 3 2 3" xfId="12892"/>
    <cellStyle name="Normal 2 2 4 2 2 4 2 3 3" xfId="12893"/>
    <cellStyle name="Normal 2 2 4 2 2 4 2 3 3 2" xfId="12894"/>
    <cellStyle name="Normal 2 2 4 2 2 4 2 3 4" xfId="12895"/>
    <cellStyle name="Normal 2 2 4 2 2 4 2 4" xfId="12896"/>
    <cellStyle name="Normal 2 2 4 2 2 4 2 4 2" xfId="12897"/>
    <cellStyle name="Normal 2 2 4 2 2 4 2 4 2 2" xfId="12898"/>
    <cellStyle name="Normal 2 2 4 2 2 4 2 4 3" xfId="12899"/>
    <cellStyle name="Normal 2 2 4 2 2 4 2 5" xfId="12900"/>
    <cellStyle name="Normal 2 2 4 2 2 4 2 5 2" xfId="12901"/>
    <cellStyle name="Normal 2 2 4 2 2 4 2 6" xfId="12902"/>
    <cellStyle name="Normal 2 2 4 2 2 4 3" xfId="1713"/>
    <cellStyle name="Normal 2 2 4 2 2 4 3 2" xfId="4433"/>
    <cellStyle name="Normal 2 2 4 2 2 4 3 2 2" xfId="12903"/>
    <cellStyle name="Normal 2 2 4 2 2 4 3 2 2 2" xfId="12904"/>
    <cellStyle name="Normal 2 2 4 2 2 4 3 2 2 2 2" xfId="12905"/>
    <cellStyle name="Normal 2 2 4 2 2 4 3 2 2 3" xfId="12906"/>
    <cellStyle name="Normal 2 2 4 2 2 4 3 2 3" xfId="12907"/>
    <cellStyle name="Normal 2 2 4 2 2 4 3 2 3 2" xfId="12908"/>
    <cellStyle name="Normal 2 2 4 2 2 4 3 2 4" xfId="12909"/>
    <cellStyle name="Normal 2 2 4 2 2 4 3 3" xfId="12910"/>
    <cellStyle name="Normal 2 2 4 2 2 4 3 3 2" xfId="12911"/>
    <cellStyle name="Normal 2 2 4 2 2 4 3 3 2 2" xfId="12912"/>
    <cellStyle name="Normal 2 2 4 2 2 4 3 3 3" xfId="12913"/>
    <cellStyle name="Normal 2 2 4 2 2 4 3 4" xfId="12914"/>
    <cellStyle name="Normal 2 2 4 2 2 4 3 4 2" xfId="12915"/>
    <cellStyle name="Normal 2 2 4 2 2 4 3 5" xfId="12916"/>
    <cellStyle name="Normal 2 2 4 2 2 4 4" xfId="3073"/>
    <cellStyle name="Normal 2 2 4 2 2 4 4 2" xfId="12917"/>
    <cellStyle name="Normal 2 2 4 2 2 4 4 2 2" xfId="12918"/>
    <cellStyle name="Normal 2 2 4 2 2 4 4 2 2 2" xfId="12919"/>
    <cellStyle name="Normal 2 2 4 2 2 4 4 2 3" xfId="12920"/>
    <cellStyle name="Normal 2 2 4 2 2 4 4 3" xfId="12921"/>
    <cellStyle name="Normal 2 2 4 2 2 4 4 3 2" xfId="12922"/>
    <cellStyle name="Normal 2 2 4 2 2 4 4 4" xfId="12923"/>
    <cellStyle name="Normal 2 2 4 2 2 4 5" xfId="12924"/>
    <cellStyle name="Normal 2 2 4 2 2 4 5 2" xfId="12925"/>
    <cellStyle name="Normal 2 2 4 2 2 4 5 2 2" xfId="12926"/>
    <cellStyle name="Normal 2 2 4 2 2 4 5 3" xfId="12927"/>
    <cellStyle name="Normal 2 2 4 2 2 4 6" xfId="12928"/>
    <cellStyle name="Normal 2 2 4 2 2 4 6 2" xfId="12929"/>
    <cellStyle name="Normal 2 2 4 2 2 4 7" xfId="12930"/>
    <cellStyle name="Normal 2 2 4 2 2 5" xfId="625"/>
    <cellStyle name="Normal 2 2 4 2 2 5 2" xfId="1305"/>
    <cellStyle name="Normal 2 2 4 2 2 5 2 2" xfId="2665"/>
    <cellStyle name="Normal 2 2 4 2 2 5 2 2 2" xfId="5385"/>
    <cellStyle name="Normal 2 2 4 2 2 5 2 2 2 2" xfId="12931"/>
    <cellStyle name="Normal 2 2 4 2 2 5 2 2 2 2 2" xfId="12932"/>
    <cellStyle name="Normal 2 2 4 2 2 5 2 2 2 2 2 2" xfId="12933"/>
    <cellStyle name="Normal 2 2 4 2 2 5 2 2 2 2 3" xfId="12934"/>
    <cellStyle name="Normal 2 2 4 2 2 5 2 2 2 3" xfId="12935"/>
    <cellStyle name="Normal 2 2 4 2 2 5 2 2 2 3 2" xfId="12936"/>
    <cellStyle name="Normal 2 2 4 2 2 5 2 2 2 4" xfId="12937"/>
    <cellStyle name="Normal 2 2 4 2 2 5 2 2 3" xfId="12938"/>
    <cellStyle name="Normal 2 2 4 2 2 5 2 2 3 2" xfId="12939"/>
    <cellStyle name="Normal 2 2 4 2 2 5 2 2 3 2 2" xfId="12940"/>
    <cellStyle name="Normal 2 2 4 2 2 5 2 2 3 3" xfId="12941"/>
    <cellStyle name="Normal 2 2 4 2 2 5 2 2 4" xfId="12942"/>
    <cellStyle name="Normal 2 2 4 2 2 5 2 2 4 2" xfId="12943"/>
    <cellStyle name="Normal 2 2 4 2 2 5 2 2 5" xfId="12944"/>
    <cellStyle name="Normal 2 2 4 2 2 5 2 3" xfId="4025"/>
    <cellStyle name="Normal 2 2 4 2 2 5 2 3 2" xfId="12945"/>
    <cellStyle name="Normal 2 2 4 2 2 5 2 3 2 2" xfId="12946"/>
    <cellStyle name="Normal 2 2 4 2 2 5 2 3 2 2 2" xfId="12947"/>
    <cellStyle name="Normal 2 2 4 2 2 5 2 3 2 3" xfId="12948"/>
    <cellStyle name="Normal 2 2 4 2 2 5 2 3 3" xfId="12949"/>
    <cellStyle name="Normal 2 2 4 2 2 5 2 3 3 2" xfId="12950"/>
    <cellStyle name="Normal 2 2 4 2 2 5 2 3 4" xfId="12951"/>
    <cellStyle name="Normal 2 2 4 2 2 5 2 4" xfId="12952"/>
    <cellStyle name="Normal 2 2 4 2 2 5 2 4 2" xfId="12953"/>
    <cellStyle name="Normal 2 2 4 2 2 5 2 4 2 2" xfId="12954"/>
    <cellStyle name="Normal 2 2 4 2 2 5 2 4 3" xfId="12955"/>
    <cellStyle name="Normal 2 2 4 2 2 5 2 5" xfId="12956"/>
    <cellStyle name="Normal 2 2 4 2 2 5 2 5 2" xfId="12957"/>
    <cellStyle name="Normal 2 2 4 2 2 5 2 6" xfId="12958"/>
    <cellStyle name="Normal 2 2 4 2 2 5 3" xfId="1985"/>
    <cellStyle name="Normal 2 2 4 2 2 5 3 2" xfId="4705"/>
    <cellStyle name="Normal 2 2 4 2 2 5 3 2 2" xfId="12959"/>
    <cellStyle name="Normal 2 2 4 2 2 5 3 2 2 2" xfId="12960"/>
    <cellStyle name="Normal 2 2 4 2 2 5 3 2 2 2 2" xfId="12961"/>
    <cellStyle name="Normal 2 2 4 2 2 5 3 2 2 3" xfId="12962"/>
    <cellStyle name="Normal 2 2 4 2 2 5 3 2 3" xfId="12963"/>
    <cellStyle name="Normal 2 2 4 2 2 5 3 2 3 2" xfId="12964"/>
    <cellStyle name="Normal 2 2 4 2 2 5 3 2 4" xfId="12965"/>
    <cellStyle name="Normal 2 2 4 2 2 5 3 3" xfId="12966"/>
    <cellStyle name="Normal 2 2 4 2 2 5 3 3 2" xfId="12967"/>
    <cellStyle name="Normal 2 2 4 2 2 5 3 3 2 2" xfId="12968"/>
    <cellStyle name="Normal 2 2 4 2 2 5 3 3 3" xfId="12969"/>
    <cellStyle name="Normal 2 2 4 2 2 5 3 4" xfId="12970"/>
    <cellStyle name="Normal 2 2 4 2 2 5 3 4 2" xfId="12971"/>
    <cellStyle name="Normal 2 2 4 2 2 5 3 5" xfId="12972"/>
    <cellStyle name="Normal 2 2 4 2 2 5 4" xfId="3345"/>
    <cellStyle name="Normal 2 2 4 2 2 5 4 2" xfId="12973"/>
    <cellStyle name="Normal 2 2 4 2 2 5 4 2 2" xfId="12974"/>
    <cellStyle name="Normal 2 2 4 2 2 5 4 2 2 2" xfId="12975"/>
    <cellStyle name="Normal 2 2 4 2 2 5 4 2 3" xfId="12976"/>
    <cellStyle name="Normal 2 2 4 2 2 5 4 3" xfId="12977"/>
    <cellStyle name="Normal 2 2 4 2 2 5 4 3 2" xfId="12978"/>
    <cellStyle name="Normal 2 2 4 2 2 5 4 4" xfId="12979"/>
    <cellStyle name="Normal 2 2 4 2 2 5 5" xfId="12980"/>
    <cellStyle name="Normal 2 2 4 2 2 5 5 2" xfId="12981"/>
    <cellStyle name="Normal 2 2 4 2 2 5 5 2 2" xfId="12982"/>
    <cellStyle name="Normal 2 2 4 2 2 5 5 3" xfId="12983"/>
    <cellStyle name="Normal 2 2 4 2 2 5 6" xfId="12984"/>
    <cellStyle name="Normal 2 2 4 2 2 5 6 2" xfId="12985"/>
    <cellStyle name="Normal 2 2 4 2 2 5 7" xfId="12986"/>
    <cellStyle name="Normal 2 2 4 2 2 6" xfId="761"/>
    <cellStyle name="Normal 2 2 4 2 2 6 2" xfId="2121"/>
    <cellStyle name="Normal 2 2 4 2 2 6 2 2" xfId="4841"/>
    <cellStyle name="Normal 2 2 4 2 2 6 2 2 2" xfId="12987"/>
    <cellStyle name="Normal 2 2 4 2 2 6 2 2 2 2" xfId="12988"/>
    <cellStyle name="Normal 2 2 4 2 2 6 2 2 2 2 2" xfId="12989"/>
    <cellStyle name="Normal 2 2 4 2 2 6 2 2 2 3" xfId="12990"/>
    <cellStyle name="Normal 2 2 4 2 2 6 2 2 3" xfId="12991"/>
    <cellStyle name="Normal 2 2 4 2 2 6 2 2 3 2" xfId="12992"/>
    <cellStyle name="Normal 2 2 4 2 2 6 2 2 4" xfId="12993"/>
    <cellStyle name="Normal 2 2 4 2 2 6 2 3" xfId="12994"/>
    <cellStyle name="Normal 2 2 4 2 2 6 2 3 2" xfId="12995"/>
    <cellStyle name="Normal 2 2 4 2 2 6 2 3 2 2" xfId="12996"/>
    <cellStyle name="Normal 2 2 4 2 2 6 2 3 3" xfId="12997"/>
    <cellStyle name="Normal 2 2 4 2 2 6 2 4" xfId="12998"/>
    <cellStyle name="Normal 2 2 4 2 2 6 2 4 2" xfId="12999"/>
    <cellStyle name="Normal 2 2 4 2 2 6 2 5" xfId="13000"/>
    <cellStyle name="Normal 2 2 4 2 2 6 3" xfId="3481"/>
    <cellStyle name="Normal 2 2 4 2 2 6 3 2" xfId="13001"/>
    <cellStyle name="Normal 2 2 4 2 2 6 3 2 2" xfId="13002"/>
    <cellStyle name="Normal 2 2 4 2 2 6 3 2 2 2" xfId="13003"/>
    <cellStyle name="Normal 2 2 4 2 2 6 3 2 3" xfId="13004"/>
    <cellStyle name="Normal 2 2 4 2 2 6 3 3" xfId="13005"/>
    <cellStyle name="Normal 2 2 4 2 2 6 3 3 2" xfId="13006"/>
    <cellStyle name="Normal 2 2 4 2 2 6 3 4" xfId="13007"/>
    <cellStyle name="Normal 2 2 4 2 2 6 4" xfId="13008"/>
    <cellStyle name="Normal 2 2 4 2 2 6 4 2" xfId="13009"/>
    <cellStyle name="Normal 2 2 4 2 2 6 4 2 2" xfId="13010"/>
    <cellStyle name="Normal 2 2 4 2 2 6 4 3" xfId="13011"/>
    <cellStyle name="Normal 2 2 4 2 2 6 5" xfId="13012"/>
    <cellStyle name="Normal 2 2 4 2 2 6 5 2" xfId="13013"/>
    <cellStyle name="Normal 2 2 4 2 2 6 6" xfId="13014"/>
    <cellStyle name="Normal 2 2 4 2 2 7" xfId="1441"/>
    <cellStyle name="Normal 2 2 4 2 2 7 2" xfId="4161"/>
    <cellStyle name="Normal 2 2 4 2 2 7 2 2" xfId="13015"/>
    <cellStyle name="Normal 2 2 4 2 2 7 2 2 2" xfId="13016"/>
    <cellStyle name="Normal 2 2 4 2 2 7 2 2 2 2" xfId="13017"/>
    <cellStyle name="Normal 2 2 4 2 2 7 2 2 3" xfId="13018"/>
    <cellStyle name="Normal 2 2 4 2 2 7 2 3" xfId="13019"/>
    <cellStyle name="Normal 2 2 4 2 2 7 2 3 2" xfId="13020"/>
    <cellStyle name="Normal 2 2 4 2 2 7 2 4" xfId="13021"/>
    <cellStyle name="Normal 2 2 4 2 2 7 3" xfId="13022"/>
    <cellStyle name="Normal 2 2 4 2 2 7 3 2" xfId="13023"/>
    <cellStyle name="Normal 2 2 4 2 2 7 3 2 2" xfId="13024"/>
    <cellStyle name="Normal 2 2 4 2 2 7 3 3" xfId="13025"/>
    <cellStyle name="Normal 2 2 4 2 2 7 4" xfId="13026"/>
    <cellStyle name="Normal 2 2 4 2 2 7 4 2" xfId="13027"/>
    <cellStyle name="Normal 2 2 4 2 2 7 5" xfId="13028"/>
    <cellStyle name="Normal 2 2 4 2 2 8" xfId="2801"/>
    <cellStyle name="Normal 2 2 4 2 2 8 2" xfId="13029"/>
    <cellStyle name="Normal 2 2 4 2 2 8 2 2" xfId="13030"/>
    <cellStyle name="Normal 2 2 4 2 2 8 2 2 2" xfId="13031"/>
    <cellStyle name="Normal 2 2 4 2 2 8 2 3" xfId="13032"/>
    <cellStyle name="Normal 2 2 4 2 2 8 3" xfId="13033"/>
    <cellStyle name="Normal 2 2 4 2 2 8 3 2" xfId="13034"/>
    <cellStyle name="Normal 2 2 4 2 2 8 4" xfId="13035"/>
    <cellStyle name="Normal 2 2 4 2 2 9" xfId="13036"/>
    <cellStyle name="Normal 2 2 4 2 2 9 2" xfId="13037"/>
    <cellStyle name="Normal 2 2 4 2 2 9 2 2" xfId="13038"/>
    <cellStyle name="Normal 2 2 4 2 2 9 3" xfId="13039"/>
    <cellStyle name="Normal 2 2 4 2 3" xfId="114"/>
    <cellStyle name="Normal 2 2 4 2 3 10" xfId="13040"/>
    <cellStyle name="Normal 2 2 4 2 3 2" xfId="251"/>
    <cellStyle name="Normal 2 2 4 2 3 2 2" xfId="523"/>
    <cellStyle name="Normal 2 2 4 2 3 2 2 2" xfId="1203"/>
    <cellStyle name="Normal 2 2 4 2 3 2 2 2 2" xfId="2563"/>
    <cellStyle name="Normal 2 2 4 2 3 2 2 2 2 2" xfId="5283"/>
    <cellStyle name="Normal 2 2 4 2 3 2 2 2 2 2 2" xfId="13041"/>
    <cellStyle name="Normal 2 2 4 2 3 2 2 2 2 2 2 2" xfId="13042"/>
    <cellStyle name="Normal 2 2 4 2 3 2 2 2 2 2 2 2 2" xfId="13043"/>
    <cellStyle name="Normal 2 2 4 2 3 2 2 2 2 2 2 3" xfId="13044"/>
    <cellStyle name="Normal 2 2 4 2 3 2 2 2 2 2 3" xfId="13045"/>
    <cellStyle name="Normal 2 2 4 2 3 2 2 2 2 2 3 2" xfId="13046"/>
    <cellStyle name="Normal 2 2 4 2 3 2 2 2 2 2 4" xfId="13047"/>
    <cellStyle name="Normal 2 2 4 2 3 2 2 2 2 3" xfId="13048"/>
    <cellStyle name="Normal 2 2 4 2 3 2 2 2 2 3 2" xfId="13049"/>
    <cellStyle name="Normal 2 2 4 2 3 2 2 2 2 3 2 2" xfId="13050"/>
    <cellStyle name="Normal 2 2 4 2 3 2 2 2 2 3 3" xfId="13051"/>
    <cellStyle name="Normal 2 2 4 2 3 2 2 2 2 4" xfId="13052"/>
    <cellStyle name="Normal 2 2 4 2 3 2 2 2 2 4 2" xfId="13053"/>
    <cellStyle name="Normal 2 2 4 2 3 2 2 2 2 5" xfId="13054"/>
    <cellStyle name="Normal 2 2 4 2 3 2 2 2 3" xfId="3923"/>
    <cellStyle name="Normal 2 2 4 2 3 2 2 2 3 2" xfId="13055"/>
    <cellStyle name="Normal 2 2 4 2 3 2 2 2 3 2 2" xfId="13056"/>
    <cellStyle name="Normal 2 2 4 2 3 2 2 2 3 2 2 2" xfId="13057"/>
    <cellStyle name="Normal 2 2 4 2 3 2 2 2 3 2 3" xfId="13058"/>
    <cellStyle name="Normal 2 2 4 2 3 2 2 2 3 3" xfId="13059"/>
    <cellStyle name="Normal 2 2 4 2 3 2 2 2 3 3 2" xfId="13060"/>
    <cellStyle name="Normal 2 2 4 2 3 2 2 2 3 4" xfId="13061"/>
    <cellStyle name="Normal 2 2 4 2 3 2 2 2 4" xfId="13062"/>
    <cellStyle name="Normal 2 2 4 2 3 2 2 2 4 2" xfId="13063"/>
    <cellStyle name="Normal 2 2 4 2 3 2 2 2 4 2 2" xfId="13064"/>
    <cellStyle name="Normal 2 2 4 2 3 2 2 2 4 3" xfId="13065"/>
    <cellStyle name="Normal 2 2 4 2 3 2 2 2 5" xfId="13066"/>
    <cellStyle name="Normal 2 2 4 2 3 2 2 2 5 2" xfId="13067"/>
    <cellStyle name="Normal 2 2 4 2 3 2 2 2 6" xfId="13068"/>
    <cellStyle name="Normal 2 2 4 2 3 2 2 3" xfId="1883"/>
    <cellStyle name="Normal 2 2 4 2 3 2 2 3 2" xfId="4603"/>
    <cellStyle name="Normal 2 2 4 2 3 2 2 3 2 2" xfId="13069"/>
    <cellStyle name="Normal 2 2 4 2 3 2 2 3 2 2 2" xfId="13070"/>
    <cellStyle name="Normal 2 2 4 2 3 2 2 3 2 2 2 2" xfId="13071"/>
    <cellStyle name="Normal 2 2 4 2 3 2 2 3 2 2 3" xfId="13072"/>
    <cellStyle name="Normal 2 2 4 2 3 2 2 3 2 3" xfId="13073"/>
    <cellStyle name="Normal 2 2 4 2 3 2 2 3 2 3 2" xfId="13074"/>
    <cellStyle name="Normal 2 2 4 2 3 2 2 3 2 4" xfId="13075"/>
    <cellStyle name="Normal 2 2 4 2 3 2 2 3 3" xfId="13076"/>
    <cellStyle name="Normal 2 2 4 2 3 2 2 3 3 2" xfId="13077"/>
    <cellStyle name="Normal 2 2 4 2 3 2 2 3 3 2 2" xfId="13078"/>
    <cellStyle name="Normal 2 2 4 2 3 2 2 3 3 3" xfId="13079"/>
    <cellStyle name="Normal 2 2 4 2 3 2 2 3 4" xfId="13080"/>
    <cellStyle name="Normal 2 2 4 2 3 2 2 3 4 2" xfId="13081"/>
    <cellStyle name="Normal 2 2 4 2 3 2 2 3 5" xfId="13082"/>
    <cellStyle name="Normal 2 2 4 2 3 2 2 4" xfId="3243"/>
    <cellStyle name="Normal 2 2 4 2 3 2 2 4 2" xfId="13083"/>
    <cellStyle name="Normal 2 2 4 2 3 2 2 4 2 2" xfId="13084"/>
    <cellStyle name="Normal 2 2 4 2 3 2 2 4 2 2 2" xfId="13085"/>
    <cellStyle name="Normal 2 2 4 2 3 2 2 4 2 3" xfId="13086"/>
    <cellStyle name="Normal 2 2 4 2 3 2 2 4 3" xfId="13087"/>
    <cellStyle name="Normal 2 2 4 2 3 2 2 4 3 2" xfId="13088"/>
    <cellStyle name="Normal 2 2 4 2 3 2 2 4 4" xfId="13089"/>
    <cellStyle name="Normal 2 2 4 2 3 2 2 5" xfId="13090"/>
    <cellStyle name="Normal 2 2 4 2 3 2 2 5 2" xfId="13091"/>
    <cellStyle name="Normal 2 2 4 2 3 2 2 5 2 2" xfId="13092"/>
    <cellStyle name="Normal 2 2 4 2 3 2 2 5 3" xfId="13093"/>
    <cellStyle name="Normal 2 2 4 2 3 2 2 6" xfId="13094"/>
    <cellStyle name="Normal 2 2 4 2 3 2 2 6 2" xfId="13095"/>
    <cellStyle name="Normal 2 2 4 2 3 2 2 7" xfId="13096"/>
    <cellStyle name="Normal 2 2 4 2 3 2 3" xfId="931"/>
    <cellStyle name="Normal 2 2 4 2 3 2 3 2" xfId="2291"/>
    <cellStyle name="Normal 2 2 4 2 3 2 3 2 2" xfId="5011"/>
    <cellStyle name="Normal 2 2 4 2 3 2 3 2 2 2" xfId="13097"/>
    <cellStyle name="Normal 2 2 4 2 3 2 3 2 2 2 2" xfId="13098"/>
    <cellStyle name="Normal 2 2 4 2 3 2 3 2 2 2 2 2" xfId="13099"/>
    <cellStyle name="Normal 2 2 4 2 3 2 3 2 2 2 3" xfId="13100"/>
    <cellStyle name="Normal 2 2 4 2 3 2 3 2 2 3" xfId="13101"/>
    <cellStyle name="Normal 2 2 4 2 3 2 3 2 2 3 2" xfId="13102"/>
    <cellStyle name="Normal 2 2 4 2 3 2 3 2 2 4" xfId="13103"/>
    <cellStyle name="Normal 2 2 4 2 3 2 3 2 3" xfId="13104"/>
    <cellStyle name="Normal 2 2 4 2 3 2 3 2 3 2" xfId="13105"/>
    <cellStyle name="Normal 2 2 4 2 3 2 3 2 3 2 2" xfId="13106"/>
    <cellStyle name="Normal 2 2 4 2 3 2 3 2 3 3" xfId="13107"/>
    <cellStyle name="Normal 2 2 4 2 3 2 3 2 4" xfId="13108"/>
    <cellStyle name="Normal 2 2 4 2 3 2 3 2 4 2" xfId="13109"/>
    <cellStyle name="Normal 2 2 4 2 3 2 3 2 5" xfId="13110"/>
    <cellStyle name="Normal 2 2 4 2 3 2 3 3" xfId="3651"/>
    <cellStyle name="Normal 2 2 4 2 3 2 3 3 2" xfId="13111"/>
    <cellStyle name="Normal 2 2 4 2 3 2 3 3 2 2" xfId="13112"/>
    <cellStyle name="Normal 2 2 4 2 3 2 3 3 2 2 2" xfId="13113"/>
    <cellStyle name="Normal 2 2 4 2 3 2 3 3 2 3" xfId="13114"/>
    <cellStyle name="Normal 2 2 4 2 3 2 3 3 3" xfId="13115"/>
    <cellStyle name="Normal 2 2 4 2 3 2 3 3 3 2" xfId="13116"/>
    <cellStyle name="Normal 2 2 4 2 3 2 3 3 4" xfId="13117"/>
    <cellStyle name="Normal 2 2 4 2 3 2 3 4" xfId="13118"/>
    <cellStyle name="Normal 2 2 4 2 3 2 3 4 2" xfId="13119"/>
    <cellStyle name="Normal 2 2 4 2 3 2 3 4 2 2" xfId="13120"/>
    <cellStyle name="Normal 2 2 4 2 3 2 3 4 3" xfId="13121"/>
    <cellStyle name="Normal 2 2 4 2 3 2 3 5" xfId="13122"/>
    <cellStyle name="Normal 2 2 4 2 3 2 3 5 2" xfId="13123"/>
    <cellStyle name="Normal 2 2 4 2 3 2 3 6" xfId="13124"/>
    <cellStyle name="Normal 2 2 4 2 3 2 4" xfId="1611"/>
    <cellStyle name="Normal 2 2 4 2 3 2 4 2" xfId="4331"/>
    <cellStyle name="Normal 2 2 4 2 3 2 4 2 2" xfId="13125"/>
    <cellStyle name="Normal 2 2 4 2 3 2 4 2 2 2" xfId="13126"/>
    <cellStyle name="Normal 2 2 4 2 3 2 4 2 2 2 2" xfId="13127"/>
    <cellStyle name="Normal 2 2 4 2 3 2 4 2 2 3" xfId="13128"/>
    <cellStyle name="Normal 2 2 4 2 3 2 4 2 3" xfId="13129"/>
    <cellStyle name="Normal 2 2 4 2 3 2 4 2 3 2" xfId="13130"/>
    <cellStyle name="Normal 2 2 4 2 3 2 4 2 4" xfId="13131"/>
    <cellStyle name="Normal 2 2 4 2 3 2 4 3" xfId="13132"/>
    <cellStyle name="Normal 2 2 4 2 3 2 4 3 2" xfId="13133"/>
    <cellStyle name="Normal 2 2 4 2 3 2 4 3 2 2" xfId="13134"/>
    <cellStyle name="Normal 2 2 4 2 3 2 4 3 3" xfId="13135"/>
    <cellStyle name="Normal 2 2 4 2 3 2 4 4" xfId="13136"/>
    <cellStyle name="Normal 2 2 4 2 3 2 4 4 2" xfId="13137"/>
    <cellStyle name="Normal 2 2 4 2 3 2 4 5" xfId="13138"/>
    <cellStyle name="Normal 2 2 4 2 3 2 5" xfId="2971"/>
    <cellStyle name="Normal 2 2 4 2 3 2 5 2" xfId="13139"/>
    <cellStyle name="Normal 2 2 4 2 3 2 5 2 2" xfId="13140"/>
    <cellStyle name="Normal 2 2 4 2 3 2 5 2 2 2" xfId="13141"/>
    <cellStyle name="Normal 2 2 4 2 3 2 5 2 3" xfId="13142"/>
    <cellStyle name="Normal 2 2 4 2 3 2 5 3" xfId="13143"/>
    <cellStyle name="Normal 2 2 4 2 3 2 5 3 2" xfId="13144"/>
    <cellStyle name="Normal 2 2 4 2 3 2 5 4" xfId="13145"/>
    <cellStyle name="Normal 2 2 4 2 3 2 6" xfId="13146"/>
    <cellStyle name="Normal 2 2 4 2 3 2 6 2" xfId="13147"/>
    <cellStyle name="Normal 2 2 4 2 3 2 6 2 2" xfId="13148"/>
    <cellStyle name="Normal 2 2 4 2 3 2 6 3" xfId="13149"/>
    <cellStyle name="Normal 2 2 4 2 3 2 7" xfId="13150"/>
    <cellStyle name="Normal 2 2 4 2 3 2 7 2" xfId="13151"/>
    <cellStyle name="Normal 2 2 4 2 3 2 8" xfId="13152"/>
    <cellStyle name="Normal 2 2 4 2 3 3" xfId="387"/>
    <cellStyle name="Normal 2 2 4 2 3 3 2" xfId="1067"/>
    <cellStyle name="Normal 2 2 4 2 3 3 2 2" xfId="2427"/>
    <cellStyle name="Normal 2 2 4 2 3 3 2 2 2" xfId="5147"/>
    <cellStyle name="Normal 2 2 4 2 3 3 2 2 2 2" xfId="13153"/>
    <cellStyle name="Normal 2 2 4 2 3 3 2 2 2 2 2" xfId="13154"/>
    <cellStyle name="Normal 2 2 4 2 3 3 2 2 2 2 2 2" xfId="13155"/>
    <cellStyle name="Normal 2 2 4 2 3 3 2 2 2 2 3" xfId="13156"/>
    <cellStyle name="Normal 2 2 4 2 3 3 2 2 2 3" xfId="13157"/>
    <cellStyle name="Normal 2 2 4 2 3 3 2 2 2 3 2" xfId="13158"/>
    <cellStyle name="Normal 2 2 4 2 3 3 2 2 2 4" xfId="13159"/>
    <cellStyle name="Normal 2 2 4 2 3 3 2 2 3" xfId="13160"/>
    <cellStyle name="Normal 2 2 4 2 3 3 2 2 3 2" xfId="13161"/>
    <cellStyle name="Normal 2 2 4 2 3 3 2 2 3 2 2" xfId="13162"/>
    <cellStyle name="Normal 2 2 4 2 3 3 2 2 3 3" xfId="13163"/>
    <cellStyle name="Normal 2 2 4 2 3 3 2 2 4" xfId="13164"/>
    <cellStyle name="Normal 2 2 4 2 3 3 2 2 4 2" xfId="13165"/>
    <cellStyle name="Normal 2 2 4 2 3 3 2 2 5" xfId="13166"/>
    <cellStyle name="Normal 2 2 4 2 3 3 2 3" xfId="3787"/>
    <cellStyle name="Normal 2 2 4 2 3 3 2 3 2" xfId="13167"/>
    <cellStyle name="Normal 2 2 4 2 3 3 2 3 2 2" xfId="13168"/>
    <cellStyle name="Normal 2 2 4 2 3 3 2 3 2 2 2" xfId="13169"/>
    <cellStyle name="Normal 2 2 4 2 3 3 2 3 2 3" xfId="13170"/>
    <cellStyle name="Normal 2 2 4 2 3 3 2 3 3" xfId="13171"/>
    <cellStyle name="Normal 2 2 4 2 3 3 2 3 3 2" xfId="13172"/>
    <cellStyle name="Normal 2 2 4 2 3 3 2 3 4" xfId="13173"/>
    <cellStyle name="Normal 2 2 4 2 3 3 2 4" xfId="13174"/>
    <cellStyle name="Normal 2 2 4 2 3 3 2 4 2" xfId="13175"/>
    <cellStyle name="Normal 2 2 4 2 3 3 2 4 2 2" xfId="13176"/>
    <cellStyle name="Normal 2 2 4 2 3 3 2 4 3" xfId="13177"/>
    <cellStyle name="Normal 2 2 4 2 3 3 2 5" xfId="13178"/>
    <cellStyle name="Normal 2 2 4 2 3 3 2 5 2" xfId="13179"/>
    <cellStyle name="Normal 2 2 4 2 3 3 2 6" xfId="13180"/>
    <cellStyle name="Normal 2 2 4 2 3 3 3" xfId="1747"/>
    <cellStyle name="Normal 2 2 4 2 3 3 3 2" xfId="4467"/>
    <cellStyle name="Normal 2 2 4 2 3 3 3 2 2" xfId="13181"/>
    <cellStyle name="Normal 2 2 4 2 3 3 3 2 2 2" xfId="13182"/>
    <cellStyle name="Normal 2 2 4 2 3 3 3 2 2 2 2" xfId="13183"/>
    <cellStyle name="Normal 2 2 4 2 3 3 3 2 2 3" xfId="13184"/>
    <cellStyle name="Normal 2 2 4 2 3 3 3 2 3" xfId="13185"/>
    <cellStyle name="Normal 2 2 4 2 3 3 3 2 3 2" xfId="13186"/>
    <cellStyle name="Normal 2 2 4 2 3 3 3 2 4" xfId="13187"/>
    <cellStyle name="Normal 2 2 4 2 3 3 3 3" xfId="13188"/>
    <cellStyle name="Normal 2 2 4 2 3 3 3 3 2" xfId="13189"/>
    <cellStyle name="Normal 2 2 4 2 3 3 3 3 2 2" xfId="13190"/>
    <cellStyle name="Normal 2 2 4 2 3 3 3 3 3" xfId="13191"/>
    <cellStyle name="Normal 2 2 4 2 3 3 3 4" xfId="13192"/>
    <cellStyle name="Normal 2 2 4 2 3 3 3 4 2" xfId="13193"/>
    <cellStyle name="Normal 2 2 4 2 3 3 3 5" xfId="13194"/>
    <cellStyle name="Normal 2 2 4 2 3 3 4" xfId="3107"/>
    <cellStyle name="Normal 2 2 4 2 3 3 4 2" xfId="13195"/>
    <cellStyle name="Normal 2 2 4 2 3 3 4 2 2" xfId="13196"/>
    <cellStyle name="Normal 2 2 4 2 3 3 4 2 2 2" xfId="13197"/>
    <cellStyle name="Normal 2 2 4 2 3 3 4 2 3" xfId="13198"/>
    <cellStyle name="Normal 2 2 4 2 3 3 4 3" xfId="13199"/>
    <cellStyle name="Normal 2 2 4 2 3 3 4 3 2" xfId="13200"/>
    <cellStyle name="Normal 2 2 4 2 3 3 4 4" xfId="13201"/>
    <cellStyle name="Normal 2 2 4 2 3 3 5" xfId="13202"/>
    <cellStyle name="Normal 2 2 4 2 3 3 5 2" xfId="13203"/>
    <cellStyle name="Normal 2 2 4 2 3 3 5 2 2" xfId="13204"/>
    <cellStyle name="Normal 2 2 4 2 3 3 5 3" xfId="13205"/>
    <cellStyle name="Normal 2 2 4 2 3 3 6" xfId="13206"/>
    <cellStyle name="Normal 2 2 4 2 3 3 6 2" xfId="13207"/>
    <cellStyle name="Normal 2 2 4 2 3 3 7" xfId="13208"/>
    <cellStyle name="Normal 2 2 4 2 3 4" xfId="659"/>
    <cellStyle name="Normal 2 2 4 2 3 4 2" xfId="1339"/>
    <cellStyle name="Normal 2 2 4 2 3 4 2 2" xfId="2699"/>
    <cellStyle name="Normal 2 2 4 2 3 4 2 2 2" xfId="5419"/>
    <cellStyle name="Normal 2 2 4 2 3 4 2 2 2 2" xfId="13209"/>
    <cellStyle name="Normal 2 2 4 2 3 4 2 2 2 2 2" xfId="13210"/>
    <cellStyle name="Normal 2 2 4 2 3 4 2 2 2 2 2 2" xfId="13211"/>
    <cellStyle name="Normal 2 2 4 2 3 4 2 2 2 2 3" xfId="13212"/>
    <cellStyle name="Normal 2 2 4 2 3 4 2 2 2 3" xfId="13213"/>
    <cellStyle name="Normal 2 2 4 2 3 4 2 2 2 3 2" xfId="13214"/>
    <cellStyle name="Normal 2 2 4 2 3 4 2 2 2 4" xfId="13215"/>
    <cellStyle name="Normal 2 2 4 2 3 4 2 2 3" xfId="13216"/>
    <cellStyle name="Normal 2 2 4 2 3 4 2 2 3 2" xfId="13217"/>
    <cellStyle name="Normal 2 2 4 2 3 4 2 2 3 2 2" xfId="13218"/>
    <cellStyle name="Normal 2 2 4 2 3 4 2 2 3 3" xfId="13219"/>
    <cellStyle name="Normal 2 2 4 2 3 4 2 2 4" xfId="13220"/>
    <cellStyle name="Normal 2 2 4 2 3 4 2 2 4 2" xfId="13221"/>
    <cellStyle name="Normal 2 2 4 2 3 4 2 2 5" xfId="13222"/>
    <cellStyle name="Normal 2 2 4 2 3 4 2 3" xfId="4059"/>
    <cellStyle name="Normal 2 2 4 2 3 4 2 3 2" xfId="13223"/>
    <cellStyle name="Normal 2 2 4 2 3 4 2 3 2 2" xfId="13224"/>
    <cellStyle name="Normal 2 2 4 2 3 4 2 3 2 2 2" xfId="13225"/>
    <cellStyle name="Normal 2 2 4 2 3 4 2 3 2 3" xfId="13226"/>
    <cellStyle name="Normal 2 2 4 2 3 4 2 3 3" xfId="13227"/>
    <cellStyle name="Normal 2 2 4 2 3 4 2 3 3 2" xfId="13228"/>
    <cellStyle name="Normal 2 2 4 2 3 4 2 3 4" xfId="13229"/>
    <cellStyle name="Normal 2 2 4 2 3 4 2 4" xfId="13230"/>
    <cellStyle name="Normal 2 2 4 2 3 4 2 4 2" xfId="13231"/>
    <cellStyle name="Normal 2 2 4 2 3 4 2 4 2 2" xfId="13232"/>
    <cellStyle name="Normal 2 2 4 2 3 4 2 4 3" xfId="13233"/>
    <cellStyle name="Normal 2 2 4 2 3 4 2 5" xfId="13234"/>
    <cellStyle name="Normal 2 2 4 2 3 4 2 5 2" xfId="13235"/>
    <cellStyle name="Normal 2 2 4 2 3 4 2 6" xfId="13236"/>
    <cellStyle name="Normal 2 2 4 2 3 4 3" xfId="2019"/>
    <cellStyle name="Normal 2 2 4 2 3 4 3 2" xfId="4739"/>
    <cellStyle name="Normal 2 2 4 2 3 4 3 2 2" xfId="13237"/>
    <cellStyle name="Normal 2 2 4 2 3 4 3 2 2 2" xfId="13238"/>
    <cellStyle name="Normal 2 2 4 2 3 4 3 2 2 2 2" xfId="13239"/>
    <cellStyle name="Normal 2 2 4 2 3 4 3 2 2 3" xfId="13240"/>
    <cellStyle name="Normal 2 2 4 2 3 4 3 2 3" xfId="13241"/>
    <cellStyle name="Normal 2 2 4 2 3 4 3 2 3 2" xfId="13242"/>
    <cellStyle name="Normal 2 2 4 2 3 4 3 2 4" xfId="13243"/>
    <cellStyle name="Normal 2 2 4 2 3 4 3 3" xfId="13244"/>
    <cellStyle name="Normal 2 2 4 2 3 4 3 3 2" xfId="13245"/>
    <cellStyle name="Normal 2 2 4 2 3 4 3 3 2 2" xfId="13246"/>
    <cellStyle name="Normal 2 2 4 2 3 4 3 3 3" xfId="13247"/>
    <cellStyle name="Normal 2 2 4 2 3 4 3 4" xfId="13248"/>
    <cellStyle name="Normal 2 2 4 2 3 4 3 4 2" xfId="13249"/>
    <cellStyle name="Normal 2 2 4 2 3 4 3 5" xfId="13250"/>
    <cellStyle name="Normal 2 2 4 2 3 4 4" xfId="3379"/>
    <cellStyle name="Normal 2 2 4 2 3 4 4 2" xfId="13251"/>
    <cellStyle name="Normal 2 2 4 2 3 4 4 2 2" xfId="13252"/>
    <cellStyle name="Normal 2 2 4 2 3 4 4 2 2 2" xfId="13253"/>
    <cellStyle name="Normal 2 2 4 2 3 4 4 2 3" xfId="13254"/>
    <cellStyle name="Normal 2 2 4 2 3 4 4 3" xfId="13255"/>
    <cellStyle name="Normal 2 2 4 2 3 4 4 3 2" xfId="13256"/>
    <cellStyle name="Normal 2 2 4 2 3 4 4 4" xfId="13257"/>
    <cellStyle name="Normal 2 2 4 2 3 4 5" xfId="13258"/>
    <cellStyle name="Normal 2 2 4 2 3 4 5 2" xfId="13259"/>
    <cellStyle name="Normal 2 2 4 2 3 4 5 2 2" xfId="13260"/>
    <cellStyle name="Normal 2 2 4 2 3 4 5 3" xfId="13261"/>
    <cellStyle name="Normal 2 2 4 2 3 4 6" xfId="13262"/>
    <cellStyle name="Normal 2 2 4 2 3 4 6 2" xfId="13263"/>
    <cellStyle name="Normal 2 2 4 2 3 4 7" xfId="13264"/>
    <cellStyle name="Normal 2 2 4 2 3 5" xfId="795"/>
    <cellStyle name="Normal 2 2 4 2 3 5 2" xfId="2155"/>
    <cellStyle name="Normal 2 2 4 2 3 5 2 2" xfId="4875"/>
    <cellStyle name="Normal 2 2 4 2 3 5 2 2 2" xfId="13265"/>
    <cellStyle name="Normal 2 2 4 2 3 5 2 2 2 2" xfId="13266"/>
    <cellStyle name="Normal 2 2 4 2 3 5 2 2 2 2 2" xfId="13267"/>
    <cellStyle name="Normal 2 2 4 2 3 5 2 2 2 3" xfId="13268"/>
    <cellStyle name="Normal 2 2 4 2 3 5 2 2 3" xfId="13269"/>
    <cellStyle name="Normal 2 2 4 2 3 5 2 2 3 2" xfId="13270"/>
    <cellStyle name="Normal 2 2 4 2 3 5 2 2 4" xfId="13271"/>
    <cellStyle name="Normal 2 2 4 2 3 5 2 3" xfId="13272"/>
    <cellStyle name="Normal 2 2 4 2 3 5 2 3 2" xfId="13273"/>
    <cellStyle name="Normal 2 2 4 2 3 5 2 3 2 2" xfId="13274"/>
    <cellStyle name="Normal 2 2 4 2 3 5 2 3 3" xfId="13275"/>
    <cellStyle name="Normal 2 2 4 2 3 5 2 4" xfId="13276"/>
    <cellStyle name="Normal 2 2 4 2 3 5 2 4 2" xfId="13277"/>
    <cellStyle name="Normal 2 2 4 2 3 5 2 5" xfId="13278"/>
    <cellStyle name="Normal 2 2 4 2 3 5 3" xfId="3515"/>
    <cellStyle name="Normal 2 2 4 2 3 5 3 2" xfId="13279"/>
    <cellStyle name="Normal 2 2 4 2 3 5 3 2 2" xfId="13280"/>
    <cellStyle name="Normal 2 2 4 2 3 5 3 2 2 2" xfId="13281"/>
    <cellStyle name="Normal 2 2 4 2 3 5 3 2 3" xfId="13282"/>
    <cellStyle name="Normal 2 2 4 2 3 5 3 3" xfId="13283"/>
    <cellStyle name="Normal 2 2 4 2 3 5 3 3 2" xfId="13284"/>
    <cellStyle name="Normal 2 2 4 2 3 5 3 4" xfId="13285"/>
    <cellStyle name="Normal 2 2 4 2 3 5 4" xfId="13286"/>
    <cellStyle name="Normal 2 2 4 2 3 5 4 2" xfId="13287"/>
    <cellStyle name="Normal 2 2 4 2 3 5 4 2 2" xfId="13288"/>
    <cellStyle name="Normal 2 2 4 2 3 5 4 3" xfId="13289"/>
    <cellStyle name="Normal 2 2 4 2 3 5 5" xfId="13290"/>
    <cellStyle name="Normal 2 2 4 2 3 5 5 2" xfId="13291"/>
    <cellStyle name="Normal 2 2 4 2 3 5 6" xfId="13292"/>
    <cellStyle name="Normal 2 2 4 2 3 6" xfId="1475"/>
    <cellStyle name="Normal 2 2 4 2 3 6 2" xfId="4195"/>
    <cellStyle name="Normal 2 2 4 2 3 6 2 2" xfId="13293"/>
    <cellStyle name="Normal 2 2 4 2 3 6 2 2 2" xfId="13294"/>
    <cellStyle name="Normal 2 2 4 2 3 6 2 2 2 2" xfId="13295"/>
    <cellStyle name="Normal 2 2 4 2 3 6 2 2 3" xfId="13296"/>
    <cellStyle name="Normal 2 2 4 2 3 6 2 3" xfId="13297"/>
    <cellStyle name="Normal 2 2 4 2 3 6 2 3 2" xfId="13298"/>
    <cellStyle name="Normal 2 2 4 2 3 6 2 4" xfId="13299"/>
    <cellStyle name="Normal 2 2 4 2 3 6 3" xfId="13300"/>
    <cellStyle name="Normal 2 2 4 2 3 6 3 2" xfId="13301"/>
    <cellStyle name="Normal 2 2 4 2 3 6 3 2 2" xfId="13302"/>
    <cellStyle name="Normal 2 2 4 2 3 6 3 3" xfId="13303"/>
    <cellStyle name="Normal 2 2 4 2 3 6 4" xfId="13304"/>
    <cellStyle name="Normal 2 2 4 2 3 6 4 2" xfId="13305"/>
    <cellStyle name="Normal 2 2 4 2 3 6 5" xfId="13306"/>
    <cellStyle name="Normal 2 2 4 2 3 7" xfId="2835"/>
    <cellStyle name="Normal 2 2 4 2 3 7 2" xfId="13307"/>
    <cellStyle name="Normal 2 2 4 2 3 7 2 2" xfId="13308"/>
    <cellStyle name="Normal 2 2 4 2 3 7 2 2 2" xfId="13309"/>
    <cellStyle name="Normal 2 2 4 2 3 7 2 3" xfId="13310"/>
    <cellStyle name="Normal 2 2 4 2 3 7 3" xfId="13311"/>
    <cellStyle name="Normal 2 2 4 2 3 7 3 2" xfId="13312"/>
    <cellStyle name="Normal 2 2 4 2 3 7 4" xfId="13313"/>
    <cellStyle name="Normal 2 2 4 2 3 8" xfId="13314"/>
    <cellStyle name="Normal 2 2 4 2 3 8 2" xfId="13315"/>
    <cellStyle name="Normal 2 2 4 2 3 8 2 2" xfId="13316"/>
    <cellStyle name="Normal 2 2 4 2 3 8 3" xfId="13317"/>
    <cellStyle name="Normal 2 2 4 2 3 9" xfId="13318"/>
    <cellStyle name="Normal 2 2 4 2 3 9 2" xfId="13319"/>
    <cellStyle name="Normal 2 2 4 2 4" xfId="183"/>
    <cellStyle name="Normal 2 2 4 2 4 2" xfId="455"/>
    <cellStyle name="Normal 2 2 4 2 4 2 2" xfId="1135"/>
    <cellStyle name="Normal 2 2 4 2 4 2 2 2" xfId="2495"/>
    <cellStyle name="Normal 2 2 4 2 4 2 2 2 2" xfId="5215"/>
    <cellStyle name="Normal 2 2 4 2 4 2 2 2 2 2" xfId="13320"/>
    <cellStyle name="Normal 2 2 4 2 4 2 2 2 2 2 2" xfId="13321"/>
    <cellStyle name="Normal 2 2 4 2 4 2 2 2 2 2 2 2" xfId="13322"/>
    <cellStyle name="Normal 2 2 4 2 4 2 2 2 2 2 3" xfId="13323"/>
    <cellStyle name="Normal 2 2 4 2 4 2 2 2 2 3" xfId="13324"/>
    <cellStyle name="Normal 2 2 4 2 4 2 2 2 2 3 2" xfId="13325"/>
    <cellStyle name="Normal 2 2 4 2 4 2 2 2 2 4" xfId="13326"/>
    <cellStyle name="Normal 2 2 4 2 4 2 2 2 3" xfId="13327"/>
    <cellStyle name="Normal 2 2 4 2 4 2 2 2 3 2" xfId="13328"/>
    <cellStyle name="Normal 2 2 4 2 4 2 2 2 3 2 2" xfId="13329"/>
    <cellStyle name="Normal 2 2 4 2 4 2 2 2 3 3" xfId="13330"/>
    <cellStyle name="Normal 2 2 4 2 4 2 2 2 4" xfId="13331"/>
    <cellStyle name="Normal 2 2 4 2 4 2 2 2 4 2" xfId="13332"/>
    <cellStyle name="Normal 2 2 4 2 4 2 2 2 5" xfId="13333"/>
    <cellStyle name="Normal 2 2 4 2 4 2 2 3" xfId="3855"/>
    <cellStyle name="Normal 2 2 4 2 4 2 2 3 2" xfId="13334"/>
    <cellStyle name="Normal 2 2 4 2 4 2 2 3 2 2" xfId="13335"/>
    <cellStyle name="Normal 2 2 4 2 4 2 2 3 2 2 2" xfId="13336"/>
    <cellStyle name="Normal 2 2 4 2 4 2 2 3 2 3" xfId="13337"/>
    <cellStyle name="Normal 2 2 4 2 4 2 2 3 3" xfId="13338"/>
    <cellStyle name="Normal 2 2 4 2 4 2 2 3 3 2" xfId="13339"/>
    <cellStyle name="Normal 2 2 4 2 4 2 2 3 4" xfId="13340"/>
    <cellStyle name="Normal 2 2 4 2 4 2 2 4" xfId="13341"/>
    <cellStyle name="Normal 2 2 4 2 4 2 2 4 2" xfId="13342"/>
    <cellStyle name="Normal 2 2 4 2 4 2 2 4 2 2" xfId="13343"/>
    <cellStyle name="Normal 2 2 4 2 4 2 2 4 3" xfId="13344"/>
    <cellStyle name="Normal 2 2 4 2 4 2 2 5" xfId="13345"/>
    <cellStyle name="Normal 2 2 4 2 4 2 2 5 2" xfId="13346"/>
    <cellStyle name="Normal 2 2 4 2 4 2 2 6" xfId="13347"/>
    <cellStyle name="Normal 2 2 4 2 4 2 3" xfId="1815"/>
    <cellStyle name="Normal 2 2 4 2 4 2 3 2" xfId="4535"/>
    <cellStyle name="Normal 2 2 4 2 4 2 3 2 2" xfId="13348"/>
    <cellStyle name="Normal 2 2 4 2 4 2 3 2 2 2" xfId="13349"/>
    <cellStyle name="Normal 2 2 4 2 4 2 3 2 2 2 2" xfId="13350"/>
    <cellStyle name="Normal 2 2 4 2 4 2 3 2 2 3" xfId="13351"/>
    <cellStyle name="Normal 2 2 4 2 4 2 3 2 3" xfId="13352"/>
    <cellStyle name="Normal 2 2 4 2 4 2 3 2 3 2" xfId="13353"/>
    <cellStyle name="Normal 2 2 4 2 4 2 3 2 4" xfId="13354"/>
    <cellStyle name="Normal 2 2 4 2 4 2 3 3" xfId="13355"/>
    <cellStyle name="Normal 2 2 4 2 4 2 3 3 2" xfId="13356"/>
    <cellStyle name="Normal 2 2 4 2 4 2 3 3 2 2" xfId="13357"/>
    <cellStyle name="Normal 2 2 4 2 4 2 3 3 3" xfId="13358"/>
    <cellStyle name="Normal 2 2 4 2 4 2 3 4" xfId="13359"/>
    <cellStyle name="Normal 2 2 4 2 4 2 3 4 2" xfId="13360"/>
    <cellStyle name="Normal 2 2 4 2 4 2 3 5" xfId="13361"/>
    <cellStyle name="Normal 2 2 4 2 4 2 4" xfId="3175"/>
    <cellStyle name="Normal 2 2 4 2 4 2 4 2" xfId="13362"/>
    <cellStyle name="Normal 2 2 4 2 4 2 4 2 2" xfId="13363"/>
    <cellStyle name="Normal 2 2 4 2 4 2 4 2 2 2" xfId="13364"/>
    <cellStyle name="Normal 2 2 4 2 4 2 4 2 3" xfId="13365"/>
    <cellStyle name="Normal 2 2 4 2 4 2 4 3" xfId="13366"/>
    <cellStyle name="Normal 2 2 4 2 4 2 4 3 2" xfId="13367"/>
    <cellStyle name="Normal 2 2 4 2 4 2 4 4" xfId="13368"/>
    <cellStyle name="Normal 2 2 4 2 4 2 5" xfId="13369"/>
    <cellStyle name="Normal 2 2 4 2 4 2 5 2" xfId="13370"/>
    <cellStyle name="Normal 2 2 4 2 4 2 5 2 2" xfId="13371"/>
    <cellStyle name="Normal 2 2 4 2 4 2 5 3" xfId="13372"/>
    <cellStyle name="Normal 2 2 4 2 4 2 6" xfId="13373"/>
    <cellStyle name="Normal 2 2 4 2 4 2 6 2" xfId="13374"/>
    <cellStyle name="Normal 2 2 4 2 4 2 7" xfId="13375"/>
    <cellStyle name="Normal 2 2 4 2 4 3" xfId="863"/>
    <cellStyle name="Normal 2 2 4 2 4 3 2" xfId="2223"/>
    <cellStyle name="Normal 2 2 4 2 4 3 2 2" xfId="4943"/>
    <cellStyle name="Normal 2 2 4 2 4 3 2 2 2" xfId="13376"/>
    <cellStyle name="Normal 2 2 4 2 4 3 2 2 2 2" xfId="13377"/>
    <cellStyle name="Normal 2 2 4 2 4 3 2 2 2 2 2" xfId="13378"/>
    <cellStyle name="Normal 2 2 4 2 4 3 2 2 2 3" xfId="13379"/>
    <cellStyle name="Normal 2 2 4 2 4 3 2 2 3" xfId="13380"/>
    <cellStyle name="Normal 2 2 4 2 4 3 2 2 3 2" xfId="13381"/>
    <cellStyle name="Normal 2 2 4 2 4 3 2 2 4" xfId="13382"/>
    <cellStyle name="Normal 2 2 4 2 4 3 2 3" xfId="13383"/>
    <cellStyle name="Normal 2 2 4 2 4 3 2 3 2" xfId="13384"/>
    <cellStyle name="Normal 2 2 4 2 4 3 2 3 2 2" xfId="13385"/>
    <cellStyle name="Normal 2 2 4 2 4 3 2 3 3" xfId="13386"/>
    <cellStyle name="Normal 2 2 4 2 4 3 2 4" xfId="13387"/>
    <cellStyle name="Normal 2 2 4 2 4 3 2 4 2" xfId="13388"/>
    <cellStyle name="Normal 2 2 4 2 4 3 2 5" xfId="13389"/>
    <cellStyle name="Normal 2 2 4 2 4 3 3" xfId="3583"/>
    <cellStyle name="Normal 2 2 4 2 4 3 3 2" xfId="13390"/>
    <cellStyle name="Normal 2 2 4 2 4 3 3 2 2" xfId="13391"/>
    <cellStyle name="Normal 2 2 4 2 4 3 3 2 2 2" xfId="13392"/>
    <cellStyle name="Normal 2 2 4 2 4 3 3 2 3" xfId="13393"/>
    <cellStyle name="Normal 2 2 4 2 4 3 3 3" xfId="13394"/>
    <cellStyle name="Normal 2 2 4 2 4 3 3 3 2" xfId="13395"/>
    <cellStyle name="Normal 2 2 4 2 4 3 3 4" xfId="13396"/>
    <cellStyle name="Normal 2 2 4 2 4 3 4" xfId="13397"/>
    <cellStyle name="Normal 2 2 4 2 4 3 4 2" xfId="13398"/>
    <cellStyle name="Normal 2 2 4 2 4 3 4 2 2" xfId="13399"/>
    <cellStyle name="Normal 2 2 4 2 4 3 4 3" xfId="13400"/>
    <cellStyle name="Normal 2 2 4 2 4 3 5" xfId="13401"/>
    <cellStyle name="Normal 2 2 4 2 4 3 5 2" xfId="13402"/>
    <cellStyle name="Normal 2 2 4 2 4 3 6" xfId="13403"/>
    <cellStyle name="Normal 2 2 4 2 4 4" xfId="1543"/>
    <cellStyle name="Normal 2 2 4 2 4 4 2" xfId="4263"/>
    <cellStyle name="Normal 2 2 4 2 4 4 2 2" xfId="13404"/>
    <cellStyle name="Normal 2 2 4 2 4 4 2 2 2" xfId="13405"/>
    <cellStyle name="Normal 2 2 4 2 4 4 2 2 2 2" xfId="13406"/>
    <cellStyle name="Normal 2 2 4 2 4 4 2 2 3" xfId="13407"/>
    <cellStyle name="Normal 2 2 4 2 4 4 2 3" xfId="13408"/>
    <cellStyle name="Normal 2 2 4 2 4 4 2 3 2" xfId="13409"/>
    <cellStyle name="Normal 2 2 4 2 4 4 2 4" xfId="13410"/>
    <cellStyle name="Normal 2 2 4 2 4 4 3" xfId="13411"/>
    <cellStyle name="Normal 2 2 4 2 4 4 3 2" xfId="13412"/>
    <cellStyle name="Normal 2 2 4 2 4 4 3 2 2" xfId="13413"/>
    <cellStyle name="Normal 2 2 4 2 4 4 3 3" xfId="13414"/>
    <cellStyle name="Normal 2 2 4 2 4 4 4" xfId="13415"/>
    <cellStyle name="Normal 2 2 4 2 4 4 4 2" xfId="13416"/>
    <cellStyle name="Normal 2 2 4 2 4 4 5" xfId="13417"/>
    <cellStyle name="Normal 2 2 4 2 4 5" xfId="2903"/>
    <cellStyle name="Normal 2 2 4 2 4 5 2" xfId="13418"/>
    <cellStyle name="Normal 2 2 4 2 4 5 2 2" xfId="13419"/>
    <cellStyle name="Normal 2 2 4 2 4 5 2 2 2" xfId="13420"/>
    <cellStyle name="Normal 2 2 4 2 4 5 2 3" xfId="13421"/>
    <cellStyle name="Normal 2 2 4 2 4 5 3" xfId="13422"/>
    <cellStyle name="Normal 2 2 4 2 4 5 3 2" xfId="13423"/>
    <cellStyle name="Normal 2 2 4 2 4 5 4" xfId="13424"/>
    <cellStyle name="Normal 2 2 4 2 4 6" xfId="13425"/>
    <cellStyle name="Normal 2 2 4 2 4 6 2" xfId="13426"/>
    <cellStyle name="Normal 2 2 4 2 4 6 2 2" xfId="13427"/>
    <cellStyle name="Normal 2 2 4 2 4 6 3" xfId="13428"/>
    <cellStyle name="Normal 2 2 4 2 4 7" xfId="13429"/>
    <cellStyle name="Normal 2 2 4 2 4 7 2" xfId="13430"/>
    <cellStyle name="Normal 2 2 4 2 4 8" xfId="13431"/>
    <cellStyle name="Normal 2 2 4 2 5" xfId="319"/>
    <cellStyle name="Normal 2 2 4 2 5 2" xfId="999"/>
    <cellStyle name="Normal 2 2 4 2 5 2 2" xfId="2359"/>
    <cellStyle name="Normal 2 2 4 2 5 2 2 2" xfId="5079"/>
    <cellStyle name="Normal 2 2 4 2 5 2 2 2 2" xfId="13432"/>
    <cellStyle name="Normal 2 2 4 2 5 2 2 2 2 2" xfId="13433"/>
    <cellStyle name="Normal 2 2 4 2 5 2 2 2 2 2 2" xfId="13434"/>
    <cellStyle name="Normal 2 2 4 2 5 2 2 2 2 3" xfId="13435"/>
    <cellStyle name="Normal 2 2 4 2 5 2 2 2 3" xfId="13436"/>
    <cellStyle name="Normal 2 2 4 2 5 2 2 2 3 2" xfId="13437"/>
    <cellStyle name="Normal 2 2 4 2 5 2 2 2 4" xfId="13438"/>
    <cellStyle name="Normal 2 2 4 2 5 2 2 3" xfId="13439"/>
    <cellStyle name="Normal 2 2 4 2 5 2 2 3 2" xfId="13440"/>
    <cellStyle name="Normal 2 2 4 2 5 2 2 3 2 2" xfId="13441"/>
    <cellStyle name="Normal 2 2 4 2 5 2 2 3 3" xfId="13442"/>
    <cellStyle name="Normal 2 2 4 2 5 2 2 4" xfId="13443"/>
    <cellStyle name="Normal 2 2 4 2 5 2 2 4 2" xfId="13444"/>
    <cellStyle name="Normal 2 2 4 2 5 2 2 5" xfId="13445"/>
    <cellStyle name="Normal 2 2 4 2 5 2 3" xfId="3719"/>
    <cellStyle name="Normal 2 2 4 2 5 2 3 2" xfId="13446"/>
    <cellStyle name="Normal 2 2 4 2 5 2 3 2 2" xfId="13447"/>
    <cellStyle name="Normal 2 2 4 2 5 2 3 2 2 2" xfId="13448"/>
    <cellStyle name="Normal 2 2 4 2 5 2 3 2 3" xfId="13449"/>
    <cellStyle name="Normal 2 2 4 2 5 2 3 3" xfId="13450"/>
    <cellStyle name="Normal 2 2 4 2 5 2 3 3 2" xfId="13451"/>
    <cellStyle name="Normal 2 2 4 2 5 2 3 4" xfId="13452"/>
    <cellStyle name="Normal 2 2 4 2 5 2 4" xfId="13453"/>
    <cellStyle name="Normal 2 2 4 2 5 2 4 2" xfId="13454"/>
    <cellStyle name="Normal 2 2 4 2 5 2 4 2 2" xfId="13455"/>
    <cellStyle name="Normal 2 2 4 2 5 2 4 3" xfId="13456"/>
    <cellStyle name="Normal 2 2 4 2 5 2 5" xfId="13457"/>
    <cellStyle name="Normal 2 2 4 2 5 2 5 2" xfId="13458"/>
    <cellStyle name="Normal 2 2 4 2 5 2 6" xfId="13459"/>
    <cellStyle name="Normal 2 2 4 2 5 3" xfId="1679"/>
    <cellStyle name="Normal 2 2 4 2 5 3 2" xfId="4399"/>
    <cellStyle name="Normal 2 2 4 2 5 3 2 2" xfId="13460"/>
    <cellStyle name="Normal 2 2 4 2 5 3 2 2 2" xfId="13461"/>
    <cellStyle name="Normal 2 2 4 2 5 3 2 2 2 2" xfId="13462"/>
    <cellStyle name="Normal 2 2 4 2 5 3 2 2 3" xfId="13463"/>
    <cellStyle name="Normal 2 2 4 2 5 3 2 3" xfId="13464"/>
    <cellStyle name="Normal 2 2 4 2 5 3 2 3 2" xfId="13465"/>
    <cellStyle name="Normal 2 2 4 2 5 3 2 4" xfId="13466"/>
    <cellStyle name="Normal 2 2 4 2 5 3 3" xfId="13467"/>
    <cellStyle name="Normal 2 2 4 2 5 3 3 2" xfId="13468"/>
    <cellStyle name="Normal 2 2 4 2 5 3 3 2 2" xfId="13469"/>
    <cellStyle name="Normal 2 2 4 2 5 3 3 3" xfId="13470"/>
    <cellStyle name="Normal 2 2 4 2 5 3 4" xfId="13471"/>
    <cellStyle name="Normal 2 2 4 2 5 3 4 2" xfId="13472"/>
    <cellStyle name="Normal 2 2 4 2 5 3 5" xfId="13473"/>
    <cellStyle name="Normal 2 2 4 2 5 4" xfId="3039"/>
    <cellStyle name="Normal 2 2 4 2 5 4 2" xfId="13474"/>
    <cellStyle name="Normal 2 2 4 2 5 4 2 2" xfId="13475"/>
    <cellStyle name="Normal 2 2 4 2 5 4 2 2 2" xfId="13476"/>
    <cellStyle name="Normal 2 2 4 2 5 4 2 3" xfId="13477"/>
    <cellStyle name="Normal 2 2 4 2 5 4 3" xfId="13478"/>
    <cellStyle name="Normal 2 2 4 2 5 4 3 2" xfId="13479"/>
    <cellStyle name="Normal 2 2 4 2 5 4 4" xfId="13480"/>
    <cellStyle name="Normal 2 2 4 2 5 5" xfId="13481"/>
    <cellStyle name="Normal 2 2 4 2 5 5 2" xfId="13482"/>
    <cellStyle name="Normal 2 2 4 2 5 5 2 2" xfId="13483"/>
    <cellStyle name="Normal 2 2 4 2 5 5 3" xfId="13484"/>
    <cellStyle name="Normal 2 2 4 2 5 6" xfId="13485"/>
    <cellStyle name="Normal 2 2 4 2 5 6 2" xfId="13486"/>
    <cellStyle name="Normal 2 2 4 2 5 7" xfId="13487"/>
    <cellStyle name="Normal 2 2 4 2 6" xfId="591"/>
    <cellStyle name="Normal 2 2 4 2 6 2" xfId="1271"/>
    <cellStyle name="Normal 2 2 4 2 6 2 2" xfId="2631"/>
    <cellStyle name="Normal 2 2 4 2 6 2 2 2" xfId="5351"/>
    <cellStyle name="Normal 2 2 4 2 6 2 2 2 2" xfId="13488"/>
    <cellStyle name="Normal 2 2 4 2 6 2 2 2 2 2" xfId="13489"/>
    <cellStyle name="Normal 2 2 4 2 6 2 2 2 2 2 2" xfId="13490"/>
    <cellStyle name="Normal 2 2 4 2 6 2 2 2 2 3" xfId="13491"/>
    <cellStyle name="Normal 2 2 4 2 6 2 2 2 3" xfId="13492"/>
    <cellStyle name="Normal 2 2 4 2 6 2 2 2 3 2" xfId="13493"/>
    <cellStyle name="Normal 2 2 4 2 6 2 2 2 4" xfId="13494"/>
    <cellStyle name="Normal 2 2 4 2 6 2 2 3" xfId="13495"/>
    <cellStyle name="Normal 2 2 4 2 6 2 2 3 2" xfId="13496"/>
    <cellStyle name="Normal 2 2 4 2 6 2 2 3 2 2" xfId="13497"/>
    <cellStyle name="Normal 2 2 4 2 6 2 2 3 3" xfId="13498"/>
    <cellStyle name="Normal 2 2 4 2 6 2 2 4" xfId="13499"/>
    <cellStyle name="Normal 2 2 4 2 6 2 2 4 2" xfId="13500"/>
    <cellStyle name="Normal 2 2 4 2 6 2 2 5" xfId="13501"/>
    <cellStyle name="Normal 2 2 4 2 6 2 3" xfId="3991"/>
    <cellStyle name="Normal 2 2 4 2 6 2 3 2" xfId="13502"/>
    <cellStyle name="Normal 2 2 4 2 6 2 3 2 2" xfId="13503"/>
    <cellStyle name="Normal 2 2 4 2 6 2 3 2 2 2" xfId="13504"/>
    <cellStyle name="Normal 2 2 4 2 6 2 3 2 3" xfId="13505"/>
    <cellStyle name="Normal 2 2 4 2 6 2 3 3" xfId="13506"/>
    <cellStyle name="Normal 2 2 4 2 6 2 3 3 2" xfId="13507"/>
    <cellStyle name="Normal 2 2 4 2 6 2 3 4" xfId="13508"/>
    <cellStyle name="Normal 2 2 4 2 6 2 4" xfId="13509"/>
    <cellStyle name="Normal 2 2 4 2 6 2 4 2" xfId="13510"/>
    <cellStyle name="Normal 2 2 4 2 6 2 4 2 2" xfId="13511"/>
    <cellStyle name="Normal 2 2 4 2 6 2 4 3" xfId="13512"/>
    <cellStyle name="Normal 2 2 4 2 6 2 5" xfId="13513"/>
    <cellStyle name="Normal 2 2 4 2 6 2 5 2" xfId="13514"/>
    <cellStyle name="Normal 2 2 4 2 6 2 6" xfId="13515"/>
    <cellStyle name="Normal 2 2 4 2 6 3" xfId="1951"/>
    <cellStyle name="Normal 2 2 4 2 6 3 2" xfId="4671"/>
    <cellStyle name="Normal 2 2 4 2 6 3 2 2" xfId="13516"/>
    <cellStyle name="Normal 2 2 4 2 6 3 2 2 2" xfId="13517"/>
    <cellStyle name="Normal 2 2 4 2 6 3 2 2 2 2" xfId="13518"/>
    <cellStyle name="Normal 2 2 4 2 6 3 2 2 3" xfId="13519"/>
    <cellStyle name="Normal 2 2 4 2 6 3 2 3" xfId="13520"/>
    <cellStyle name="Normal 2 2 4 2 6 3 2 3 2" xfId="13521"/>
    <cellStyle name="Normal 2 2 4 2 6 3 2 4" xfId="13522"/>
    <cellStyle name="Normal 2 2 4 2 6 3 3" xfId="13523"/>
    <cellStyle name="Normal 2 2 4 2 6 3 3 2" xfId="13524"/>
    <cellStyle name="Normal 2 2 4 2 6 3 3 2 2" xfId="13525"/>
    <cellStyle name="Normal 2 2 4 2 6 3 3 3" xfId="13526"/>
    <cellStyle name="Normal 2 2 4 2 6 3 4" xfId="13527"/>
    <cellStyle name="Normal 2 2 4 2 6 3 4 2" xfId="13528"/>
    <cellStyle name="Normal 2 2 4 2 6 3 5" xfId="13529"/>
    <cellStyle name="Normal 2 2 4 2 6 4" xfId="3311"/>
    <cellStyle name="Normal 2 2 4 2 6 4 2" xfId="13530"/>
    <cellStyle name="Normal 2 2 4 2 6 4 2 2" xfId="13531"/>
    <cellStyle name="Normal 2 2 4 2 6 4 2 2 2" xfId="13532"/>
    <cellStyle name="Normal 2 2 4 2 6 4 2 3" xfId="13533"/>
    <cellStyle name="Normal 2 2 4 2 6 4 3" xfId="13534"/>
    <cellStyle name="Normal 2 2 4 2 6 4 3 2" xfId="13535"/>
    <cellStyle name="Normal 2 2 4 2 6 4 4" xfId="13536"/>
    <cellStyle name="Normal 2 2 4 2 6 5" xfId="13537"/>
    <cellStyle name="Normal 2 2 4 2 6 5 2" xfId="13538"/>
    <cellStyle name="Normal 2 2 4 2 6 5 2 2" xfId="13539"/>
    <cellStyle name="Normal 2 2 4 2 6 5 3" xfId="13540"/>
    <cellStyle name="Normal 2 2 4 2 6 6" xfId="13541"/>
    <cellStyle name="Normal 2 2 4 2 6 6 2" xfId="13542"/>
    <cellStyle name="Normal 2 2 4 2 6 7" xfId="13543"/>
    <cellStyle name="Normal 2 2 4 2 7" xfId="727"/>
    <cellStyle name="Normal 2 2 4 2 7 2" xfId="2087"/>
    <cellStyle name="Normal 2 2 4 2 7 2 2" xfId="4807"/>
    <cellStyle name="Normal 2 2 4 2 7 2 2 2" xfId="13544"/>
    <cellStyle name="Normal 2 2 4 2 7 2 2 2 2" xfId="13545"/>
    <cellStyle name="Normal 2 2 4 2 7 2 2 2 2 2" xfId="13546"/>
    <cellStyle name="Normal 2 2 4 2 7 2 2 2 3" xfId="13547"/>
    <cellStyle name="Normal 2 2 4 2 7 2 2 3" xfId="13548"/>
    <cellStyle name="Normal 2 2 4 2 7 2 2 3 2" xfId="13549"/>
    <cellStyle name="Normal 2 2 4 2 7 2 2 4" xfId="13550"/>
    <cellStyle name="Normal 2 2 4 2 7 2 3" xfId="13551"/>
    <cellStyle name="Normal 2 2 4 2 7 2 3 2" xfId="13552"/>
    <cellStyle name="Normal 2 2 4 2 7 2 3 2 2" xfId="13553"/>
    <cellStyle name="Normal 2 2 4 2 7 2 3 3" xfId="13554"/>
    <cellStyle name="Normal 2 2 4 2 7 2 4" xfId="13555"/>
    <cellStyle name="Normal 2 2 4 2 7 2 4 2" xfId="13556"/>
    <cellStyle name="Normal 2 2 4 2 7 2 5" xfId="13557"/>
    <cellStyle name="Normal 2 2 4 2 7 3" xfId="3447"/>
    <cellStyle name="Normal 2 2 4 2 7 3 2" xfId="13558"/>
    <cellStyle name="Normal 2 2 4 2 7 3 2 2" xfId="13559"/>
    <cellStyle name="Normal 2 2 4 2 7 3 2 2 2" xfId="13560"/>
    <cellStyle name="Normal 2 2 4 2 7 3 2 3" xfId="13561"/>
    <cellStyle name="Normal 2 2 4 2 7 3 3" xfId="13562"/>
    <cellStyle name="Normal 2 2 4 2 7 3 3 2" xfId="13563"/>
    <cellStyle name="Normal 2 2 4 2 7 3 4" xfId="13564"/>
    <cellStyle name="Normal 2 2 4 2 7 4" xfId="13565"/>
    <cellStyle name="Normal 2 2 4 2 7 4 2" xfId="13566"/>
    <cellStyle name="Normal 2 2 4 2 7 4 2 2" xfId="13567"/>
    <cellStyle name="Normal 2 2 4 2 7 4 3" xfId="13568"/>
    <cellStyle name="Normal 2 2 4 2 7 5" xfId="13569"/>
    <cellStyle name="Normal 2 2 4 2 7 5 2" xfId="13570"/>
    <cellStyle name="Normal 2 2 4 2 7 6" xfId="13571"/>
    <cellStyle name="Normal 2 2 4 2 8" xfId="1407"/>
    <cellStyle name="Normal 2 2 4 2 8 2" xfId="4127"/>
    <cellStyle name="Normal 2 2 4 2 8 2 2" xfId="13572"/>
    <cellStyle name="Normal 2 2 4 2 8 2 2 2" xfId="13573"/>
    <cellStyle name="Normal 2 2 4 2 8 2 2 2 2" xfId="13574"/>
    <cellStyle name="Normal 2 2 4 2 8 2 2 3" xfId="13575"/>
    <cellStyle name="Normal 2 2 4 2 8 2 3" xfId="13576"/>
    <cellStyle name="Normal 2 2 4 2 8 2 3 2" xfId="13577"/>
    <cellStyle name="Normal 2 2 4 2 8 2 4" xfId="13578"/>
    <cellStyle name="Normal 2 2 4 2 8 3" xfId="13579"/>
    <cellStyle name="Normal 2 2 4 2 8 3 2" xfId="13580"/>
    <cellStyle name="Normal 2 2 4 2 8 3 2 2" xfId="13581"/>
    <cellStyle name="Normal 2 2 4 2 8 3 3" xfId="13582"/>
    <cellStyle name="Normal 2 2 4 2 8 4" xfId="13583"/>
    <cellStyle name="Normal 2 2 4 2 8 4 2" xfId="13584"/>
    <cellStyle name="Normal 2 2 4 2 8 5" xfId="13585"/>
    <cellStyle name="Normal 2 2 4 2 9" xfId="2767"/>
    <cellStyle name="Normal 2 2 4 2 9 2" xfId="13586"/>
    <cellStyle name="Normal 2 2 4 2 9 2 2" xfId="13587"/>
    <cellStyle name="Normal 2 2 4 2 9 2 2 2" xfId="13588"/>
    <cellStyle name="Normal 2 2 4 2 9 2 3" xfId="13589"/>
    <cellStyle name="Normal 2 2 4 2 9 3" xfId="13590"/>
    <cellStyle name="Normal 2 2 4 2 9 3 2" xfId="13591"/>
    <cellStyle name="Normal 2 2 4 2 9 4" xfId="13592"/>
    <cellStyle name="Normal 2 2 4 3" xfId="63"/>
    <cellStyle name="Normal 2 2 4 3 10" xfId="13593"/>
    <cellStyle name="Normal 2 2 4 3 10 2" xfId="13594"/>
    <cellStyle name="Normal 2 2 4 3 11" xfId="13595"/>
    <cellStyle name="Normal 2 2 4 3 2" xfId="131"/>
    <cellStyle name="Normal 2 2 4 3 2 10" xfId="13596"/>
    <cellStyle name="Normal 2 2 4 3 2 2" xfId="268"/>
    <cellStyle name="Normal 2 2 4 3 2 2 2" xfId="540"/>
    <cellStyle name="Normal 2 2 4 3 2 2 2 2" xfId="1220"/>
    <cellStyle name="Normal 2 2 4 3 2 2 2 2 2" xfId="2580"/>
    <cellStyle name="Normal 2 2 4 3 2 2 2 2 2 2" xfId="5300"/>
    <cellStyle name="Normal 2 2 4 3 2 2 2 2 2 2 2" xfId="13597"/>
    <cellStyle name="Normal 2 2 4 3 2 2 2 2 2 2 2 2" xfId="13598"/>
    <cellStyle name="Normal 2 2 4 3 2 2 2 2 2 2 2 2 2" xfId="13599"/>
    <cellStyle name="Normal 2 2 4 3 2 2 2 2 2 2 2 3" xfId="13600"/>
    <cellStyle name="Normal 2 2 4 3 2 2 2 2 2 2 3" xfId="13601"/>
    <cellStyle name="Normal 2 2 4 3 2 2 2 2 2 2 3 2" xfId="13602"/>
    <cellStyle name="Normal 2 2 4 3 2 2 2 2 2 2 4" xfId="13603"/>
    <cellStyle name="Normal 2 2 4 3 2 2 2 2 2 3" xfId="13604"/>
    <cellStyle name="Normal 2 2 4 3 2 2 2 2 2 3 2" xfId="13605"/>
    <cellStyle name="Normal 2 2 4 3 2 2 2 2 2 3 2 2" xfId="13606"/>
    <cellStyle name="Normal 2 2 4 3 2 2 2 2 2 3 3" xfId="13607"/>
    <cellStyle name="Normal 2 2 4 3 2 2 2 2 2 4" xfId="13608"/>
    <cellStyle name="Normal 2 2 4 3 2 2 2 2 2 4 2" xfId="13609"/>
    <cellStyle name="Normal 2 2 4 3 2 2 2 2 2 5" xfId="13610"/>
    <cellStyle name="Normal 2 2 4 3 2 2 2 2 3" xfId="3940"/>
    <cellStyle name="Normal 2 2 4 3 2 2 2 2 3 2" xfId="13611"/>
    <cellStyle name="Normal 2 2 4 3 2 2 2 2 3 2 2" xfId="13612"/>
    <cellStyle name="Normal 2 2 4 3 2 2 2 2 3 2 2 2" xfId="13613"/>
    <cellStyle name="Normal 2 2 4 3 2 2 2 2 3 2 3" xfId="13614"/>
    <cellStyle name="Normal 2 2 4 3 2 2 2 2 3 3" xfId="13615"/>
    <cellStyle name="Normal 2 2 4 3 2 2 2 2 3 3 2" xfId="13616"/>
    <cellStyle name="Normal 2 2 4 3 2 2 2 2 3 4" xfId="13617"/>
    <cellStyle name="Normal 2 2 4 3 2 2 2 2 4" xfId="13618"/>
    <cellStyle name="Normal 2 2 4 3 2 2 2 2 4 2" xfId="13619"/>
    <cellStyle name="Normal 2 2 4 3 2 2 2 2 4 2 2" xfId="13620"/>
    <cellStyle name="Normal 2 2 4 3 2 2 2 2 4 3" xfId="13621"/>
    <cellStyle name="Normal 2 2 4 3 2 2 2 2 5" xfId="13622"/>
    <cellStyle name="Normal 2 2 4 3 2 2 2 2 5 2" xfId="13623"/>
    <cellStyle name="Normal 2 2 4 3 2 2 2 2 6" xfId="13624"/>
    <cellStyle name="Normal 2 2 4 3 2 2 2 3" xfId="1900"/>
    <cellStyle name="Normal 2 2 4 3 2 2 2 3 2" xfId="4620"/>
    <cellStyle name="Normal 2 2 4 3 2 2 2 3 2 2" xfId="13625"/>
    <cellStyle name="Normal 2 2 4 3 2 2 2 3 2 2 2" xfId="13626"/>
    <cellStyle name="Normal 2 2 4 3 2 2 2 3 2 2 2 2" xfId="13627"/>
    <cellStyle name="Normal 2 2 4 3 2 2 2 3 2 2 3" xfId="13628"/>
    <cellStyle name="Normal 2 2 4 3 2 2 2 3 2 3" xfId="13629"/>
    <cellStyle name="Normal 2 2 4 3 2 2 2 3 2 3 2" xfId="13630"/>
    <cellStyle name="Normal 2 2 4 3 2 2 2 3 2 4" xfId="13631"/>
    <cellStyle name="Normal 2 2 4 3 2 2 2 3 3" xfId="13632"/>
    <cellStyle name="Normal 2 2 4 3 2 2 2 3 3 2" xfId="13633"/>
    <cellStyle name="Normal 2 2 4 3 2 2 2 3 3 2 2" xfId="13634"/>
    <cellStyle name="Normal 2 2 4 3 2 2 2 3 3 3" xfId="13635"/>
    <cellStyle name="Normal 2 2 4 3 2 2 2 3 4" xfId="13636"/>
    <cellStyle name="Normal 2 2 4 3 2 2 2 3 4 2" xfId="13637"/>
    <cellStyle name="Normal 2 2 4 3 2 2 2 3 5" xfId="13638"/>
    <cellStyle name="Normal 2 2 4 3 2 2 2 4" xfId="3260"/>
    <cellStyle name="Normal 2 2 4 3 2 2 2 4 2" xfId="13639"/>
    <cellStyle name="Normal 2 2 4 3 2 2 2 4 2 2" xfId="13640"/>
    <cellStyle name="Normal 2 2 4 3 2 2 2 4 2 2 2" xfId="13641"/>
    <cellStyle name="Normal 2 2 4 3 2 2 2 4 2 3" xfId="13642"/>
    <cellStyle name="Normal 2 2 4 3 2 2 2 4 3" xfId="13643"/>
    <cellStyle name="Normal 2 2 4 3 2 2 2 4 3 2" xfId="13644"/>
    <cellStyle name="Normal 2 2 4 3 2 2 2 4 4" xfId="13645"/>
    <cellStyle name="Normal 2 2 4 3 2 2 2 5" xfId="13646"/>
    <cellStyle name="Normal 2 2 4 3 2 2 2 5 2" xfId="13647"/>
    <cellStyle name="Normal 2 2 4 3 2 2 2 5 2 2" xfId="13648"/>
    <cellStyle name="Normal 2 2 4 3 2 2 2 5 3" xfId="13649"/>
    <cellStyle name="Normal 2 2 4 3 2 2 2 6" xfId="13650"/>
    <cellStyle name="Normal 2 2 4 3 2 2 2 6 2" xfId="13651"/>
    <cellStyle name="Normal 2 2 4 3 2 2 2 7" xfId="13652"/>
    <cellStyle name="Normal 2 2 4 3 2 2 3" xfId="948"/>
    <cellStyle name="Normal 2 2 4 3 2 2 3 2" xfId="2308"/>
    <cellStyle name="Normal 2 2 4 3 2 2 3 2 2" xfId="5028"/>
    <cellStyle name="Normal 2 2 4 3 2 2 3 2 2 2" xfId="13653"/>
    <cellStyle name="Normal 2 2 4 3 2 2 3 2 2 2 2" xfId="13654"/>
    <cellStyle name="Normal 2 2 4 3 2 2 3 2 2 2 2 2" xfId="13655"/>
    <cellStyle name="Normal 2 2 4 3 2 2 3 2 2 2 3" xfId="13656"/>
    <cellStyle name="Normal 2 2 4 3 2 2 3 2 2 3" xfId="13657"/>
    <cellStyle name="Normal 2 2 4 3 2 2 3 2 2 3 2" xfId="13658"/>
    <cellStyle name="Normal 2 2 4 3 2 2 3 2 2 4" xfId="13659"/>
    <cellStyle name="Normal 2 2 4 3 2 2 3 2 3" xfId="13660"/>
    <cellStyle name="Normal 2 2 4 3 2 2 3 2 3 2" xfId="13661"/>
    <cellStyle name="Normal 2 2 4 3 2 2 3 2 3 2 2" xfId="13662"/>
    <cellStyle name="Normal 2 2 4 3 2 2 3 2 3 3" xfId="13663"/>
    <cellStyle name="Normal 2 2 4 3 2 2 3 2 4" xfId="13664"/>
    <cellStyle name="Normal 2 2 4 3 2 2 3 2 4 2" xfId="13665"/>
    <cellStyle name="Normal 2 2 4 3 2 2 3 2 5" xfId="13666"/>
    <cellStyle name="Normal 2 2 4 3 2 2 3 3" xfId="3668"/>
    <cellStyle name="Normal 2 2 4 3 2 2 3 3 2" xfId="13667"/>
    <cellStyle name="Normal 2 2 4 3 2 2 3 3 2 2" xfId="13668"/>
    <cellStyle name="Normal 2 2 4 3 2 2 3 3 2 2 2" xfId="13669"/>
    <cellStyle name="Normal 2 2 4 3 2 2 3 3 2 3" xfId="13670"/>
    <cellStyle name="Normal 2 2 4 3 2 2 3 3 3" xfId="13671"/>
    <cellStyle name="Normal 2 2 4 3 2 2 3 3 3 2" xfId="13672"/>
    <cellStyle name="Normal 2 2 4 3 2 2 3 3 4" xfId="13673"/>
    <cellStyle name="Normal 2 2 4 3 2 2 3 4" xfId="13674"/>
    <cellStyle name="Normal 2 2 4 3 2 2 3 4 2" xfId="13675"/>
    <cellStyle name="Normal 2 2 4 3 2 2 3 4 2 2" xfId="13676"/>
    <cellStyle name="Normal 2 2 4 3 2 2 3 4 3" xfId="13677"/>
    <cellStyle name="Normal 2 2 4 3 2 2 3 5" xfId="13678"/>
    <cellStyle name="Normal 2 2 4 3 2 2 3 5 2" xfId="13679"/>
    <cellStyle name="Normal 2 2 4 3 2 2 3 6" xfId="13680"/>
    <cellStyle name="Normal 2 2 4 3 2 2 4" xfId="1628"/>
    <cellStyle name="Normal 2 2 4 3 2 2 4 2" xfId="4348"/>
    <cellStyle name="Normal 2 2 4 3 2 2 4 2 2" xfId="13681"/>
    <cellStyle name="Normal 2 2 4 3 2 2 4 2 2 2" xfId="13682"/>
    <cellStyle name="Normal 2 2 4 3 2 2 4 2 2 2 2" xfId="13683"/>
    <cellStyle name="Normal 2 2 4 3 2 2 4 2 2 3" xfId="13684"/>
    <cellStyle name="Normal 2 2 4 3 2 2 4 2 3" xfId="13685"/>
    <cellStyle name="Normal 2 2 4 3 2 2 4 2 3 2" xfId="13686"/>
    <cellStyle name="Normal 2 2 4 3 2 2 4 2 4" xfId="13687"/>
    <cellStyle name="Normal 2 2 4 3 2 2 4 3" xfId="13688"/>
    <cellStyle name="Normal 2 2 4 3 2 2 4 3 2" xfId="13689"/>
    <cellStyle name="Normal 2 2 4 3 2 2 4 3 2 2" xfId="13690"/>
    <cellStyle name="Normal 2 2 4 3 2 2 4 3 3" xfId="13691"/>
    <cellStyle name="Normal 2 2 4 3 2 2 4 4" xfId="13692"/>
    <cellStyle name="Normal 2 2 4 3 2 2 4 4 2" xfId="13693"/>
    <cellStyle name="Normal 2 2 4 3 2 2 4 5" xfId="13694"/>
    <cellStyle name="Normal 2 2 4 3 2 2 5" xfId="2988"/>
    <cellStyle name="Normal 2 2 4 3 2 2 5 2" xfId="13695"/>
    <cellStyle name="Normal 2 2 4 3 2 2 5 2 2" xfId="13696"/>
    <cellStyle name="Normal 2 2 4 3 2 2 5 2 2 2" xfId="13697"/>
    <cellStyle name="Normal 2 2 4 3 2 2 5 2 3" xfId="13698"/>
    <cellStyle name="Normal 2 2 4 3 2 2 5 3" xfId="13699"/>
    <cellStyle name="Normal 2 2 4 3 2 2 5 3 2" xfId="13700"/>
    <cellStyle name="Normal 2 2 4 3 2 2 5 4" xfId="13701"/>
    <cellStyle name="Normal 2 2 4 3 2 2 6" xfId="13702"/>
    <cellStyle name="Normal 2 2 4 3 2 2 6 2" xfId="13703"/>
    <cellStyle name="Normal 2 2 4 3 2 2 6 2 2" xfId="13704"/>
    <cellStyle name="Normal 2 2 4 3 2 2 6 3" xfId="13705"/>
    <cellStyle name="Normal 2 2 4 3 2 2 7" xfId="13706"/>
    <cellStyle name="Normal 2 2 4 3 2 2 7 2" xfId="13707"/>
    <cellStyle name="Normal 2 2 4 3 2 2 8" xfId="13708"/>
    <cellStyle name="Normal 2 2 4 3 2 3" xfId="404"/>
    <cellStyle name="Normal 2 2 4 3 2 3 2" xfId="1084"/>
    <cellStyle name="Normal 2 2 4 3 2 3 2 2" xfId="2444"/>
    <cellStyle name="Normal 2 2 4 3 2 3 2 2 2" xfId="5164"/>
    <cellStyle name="Normal 2 2 4 3 2 3 2 2 2 2" xfId="13709"/>
    <cellStyle name="Normal 2 2 4 3 2 3 2 2 2 2 2" xfId="13710"/>
    <cellStyle name="Normal 2 2 4 3 2 3 2 2 2 2 2 2" xfId="13711"/>
    <cellStyle name="Normal 2 2 4 3 2 3 2 2 2 2 3" xfId="13712"/>
    <cellStyle name="Normal 2 2 4 3 2 3 2 2 2 3" xfId="13713"/>
    <cellStyle name="Normal 2 2 4 3 2 3 2 2 2 3 2" xfId="13714"/>
    <cellStyle name="Normal 2 2 4 3 2 3 2 2 2 4" xfId="13715"/>
    <cellStyle name="Normal 2 2 4 3 2 3 2 2 3" xfId="13716"/>
    <cellStyle name="Normal 2 2 4 3 2 3 2 2 3 2" xfId="13717"/>
    <cellStyle name="Normal 2 2 4 3 2 3 2 2 3 2 2" xfId="13718"/>
    <cellStyle name="Normal 2 2 4 3 2 3 2 2 3 3" xfId="13719"/>
    <cellStyle name="Normal 2 2 4 3 2 3 2 2 4" xfId="13720"/>
    <cellStyle name="Normal 2 2 4 3 2 3 2 2 4 2" xfId="13721"/>
    <cellStyle name="Normal 2 2 4 3 2 3 2 2 5" xfId="13722"/>
    <cellStyle name="Normal 2 2 4 3 2 3 2 3" xfId="3804"/>
    <cellStyle name="Normal 2 2 4 3 2 3 2 3 2" xfId="13723"/>
    <cellStyle name="Normal 2 2 4 3 2 3 2 3 2 2" xfId="13724"/>
    <cellStyle name="Normal 2 2 4 3 2 3 2 3 2 2 2" xfId="13725"/>
    <cellStyle name="Normal 2 2 4 3 2 3 2 3 2 3" xfId="13726"/>
    <cellStyle name="Normal 2 2 4 3 2 3 2 3 3" xfId="13727"/>
    <cellStyle name="Normal 2 2 4 3 2 3 2 3 3 2" xfId="13728"/>
    <cellStyle name="Normal 2 2 4 3 2 3 2 3 4" xfId="13729"/>
    <cellStyle name="Normal 2 2 4 3 2 3 2 4" xfId="13730"/>
    <cellStyle name="Normal 2 2 4 3 2 3 2 4 2" xfId="13731"/>
    <cellStyle name="Normal 2 2 4 3 2 3 2 4 2 2" xfId="13732"/>
    <cellStyle name="Normal 2 2 4 3 2 3 2 4 3" xfId="13733"/>
    <cellStyle name="Normal 2 2 4 3 2 3 2 5" xfId="13734"/>
    <cellStyle name="Normal 2 2 4 3 2 3 2 5 2" xfId="13735"/>
    <cellStyle name="Normal 2 2 4 3 2 3 2 6" xfId="13736"/>
    <cellStyle name="Normal 2 2 4 3 2 3 3" xfId="1764"/>
    <cellStyle name="Normal 2 2 4 3 2 3 3 2" xfId="4484"/>
    <cellStyle name="Normal 2 2 4 3 2 3 3 2 2" xfId="13737"/>
    <cellStyle name="Normal 2 2 4 3 2 3 3 2 2 2" xfId="13738"/>
    <cellStyle name="Normal 2 2 4 3 2 3 3 2 2 2 2" xfId="13739"/>
    <cellStyle name="Normal 2 2 4 3 2 3 3 2 2 3" xfId="13740"/>
    <cellStyle name="Normal 2 2 4 3 2 3 3 2 3" xfId="13741"/>
    <cellStyle name="Normal 2 2 4 3 2 3 3 2 3 2" xfId="13742"/>
    <cellStyle name="Normal 2 2 4 3 2 3 3 2 4" xfId="13743"/>
    <cellStyle name="Normal 2 2 4 3 2 3 3 3" xfId="13744"/>
    <cellStyle name="Normal 2 2 4 3 2 3 3 3 2" xfId="13745"/>
    <cellStyle name="Normal 2 2 4 3 2 3 3 3 2 2" xfId="13746"/>
    <cellStyle name="Normal 2 2 4 3 2 3 3 3 3" xfId="13747"/>
    <cellStyle name="Normal 2 2 4 3 2 3 3 4" xfId="13748"/>
    <cellStyle name="Normal 2 2 4 3 2 3 3 4 2" xfId="13749"/>
    <cellStyle name="Normal 2 2 4 3 2 3 3 5" xfId="13750"/>
    <cellStyle name="Normal 2 2 4 3 2 3 4" xfId="3124"/>
    <cellStyle name="Normal 2 2 4 3 2 3 4 2" xfId="13751"/>
    <cellStyle name="Normal 2 2 4 3 2 3 4 2 2" xfId="13752"/>
    <cellStyle name="Normal 2 2 4 3 2 3 4 2 2 2" xfId="13753"/>
    <cellStyle name="Normal 2 2 4 3 2 3 4 2 3" xfId="13754"/>
    <cellStyle name="Normal 2 2 4 3 2 3 4 3" xfId="13755"/>
    <cellStyle name="Normal 2 2 4 3 2 3 4 3 2" xfId="13756"/>
    <cellStyle name="Normal 2 2 4 3 2 3 4 4" xfId="13757"/>
    <cellStyle name="Normal 2 2 4 3 2 3 5" xfId="13758"/>
    <cellStyle name="Normal 2 2 4 3 2 3 5 2" xfId="13759"/>
    <cellStyle name="Normal 2 2 4 3 2 3 5 2 2" xfId="13760"/>
    <cellStyle name="Normal 2 2 4 3 2 3 5 3" xfId="13761"/>
    <cellStyle name="Normal 2 2 4 3 2 3 6" xfId="13762"/>
    <cellStyle name="Normal 2 2 4 3 2 3 6 2" xfId="13763"/>
    <cellStyle name="Normal 2 2 4 3 2 3 7" xfId="13764"/>
    <cellStyle name="Normal 2 2 4 3 2 4" xfId="676"/>
    <cellStyle name="Normal 2 2 4 3 2 4 2" xfId="1356"/>
    <cellStyle name="Normal 2 2 4 3 2 4 2 2" xfId="2716"/>
    <cellStyle name="Normal 2 2 4 3 2 4 2 2 2" xfId="5436"/>
    <cellStyle name="Normal 2 2 4 3 2 4 2 2 2 2" xfId="13765"/>
    <cellStyle name="Normal 2 2 4 3 2 4 2 2 2 2 2" xfId="13766"/>
    <cellStyle name="Normal 2 2 4 3 2 4 2 2 2 2 2 2" xfId="13767"/>
    <cellStyle name="Normal 2 2 4 3 2 4 2 2 2 2 3" xfId="13768"/>
    <cellStyle name="Normal 2 2 4 3 2 4 2 2 2 3" xfId="13769"/>
    <cellStyle name="Normal 2 2 4 3 2 4 2 2 2 3 2" xfId="13770"/>
    <cellStyle name="Normal 2 2 4 3 2 4 2 2 2 4" xfId="13771"/>
    <cellStyle name="Normal 2 2 4 3 2 4 2 2 3" xfId="13772"/>
    <cellStyle name="Normal 2 2 4 3 2 4 2 2 3 2" xfId="13773"/>
    <cellStyle name="Normal 2 2 4 3 2 4 2 2 3 2 2" xfId="13774"/>
    <cellStyle name="Normal 2 2 4 3 2 4 2 2 3 3" xfId="13775"/>
    <cellStyle name="Normal 2 2 4 3 2 4 2 2 4" xfId="13776"/>
    <cellStyle name="Normal 2 2 4 3 2 4 2 2 4 2" xfId="13777"/>
    <cellStyle name="Normal 2 2 4 3 2 4 2 2 5" xfId="13778"/>
    <cellStyle name="Normal 2 2 4 3 2 4 2 3" xfId="4076"/>
    <cellStyle name="Normal 2 2 4 3 2 4 2 3 2" xfId="13779"/>
    <cellStyle name="Normal 2 2 4 3 2 4 2 3 2 2" xfId="13780"/>
    <cellStyle name="Normal 2 2 4 3 2 4 2 3 2 2 2" xfId="13781"/>
    <cellStyle name="Normal 2 2 4 3 2 4 2 3 2 3" xfId="13782"/>
    <cellStyle name="Normal 2 2 4 3 2 4 2 3 3" xfId="13783"/>
    <cellStyle name="Normal 2 2 4 3 2 4 2 3 3 2" xfId="13784"/>
    <cellStyle name="Normal 2 2 4 3 2 4 2 3 4" xfId="13785"/>
    <cellStyle name="Normal 2 2 4 3 2 4 2 4" xfId="13786"/>
    <cellStyle name="Normal 2 2 4 3 2 4 2 4 2" xfId="13787"/>
    <cellStyle name="Normal 2 2 4 3 2 4 2 4 2 2" xfId="13788"/>
    <cellStyle name="Normal 2 2 4 3 2 4 2 4 3" xfId="13789"/>
    <cellStyle name="Normal 2 2 4 3 2 4 2 5" xfId="13790"/>
    <cellStyle name="Normal 2 2 4 3 2 4 2 5 2" xfId="13791"/>
    <cellStyle name="Normal 2 2 4 3 2 4 2 6" xfId="13792"/>
    <cellStyle name="Normal 2 2 4 3 2 4 3" xfId="2036"/>
    <cellStyle name="Normal 2 2 4 3 2 4 3 2" xfId="4756"/>
    <cellStyle name="Normal 2 2 4 3 2 4 3 2 2" xfId="13793"/>
    <cellStyle name="Normal 2 2 4 3 2 4 3 2 2 2" xfId="13794"/>
    <cellStyle name="Normal 2 2 4 3 2 4 3 2 2 2 2" xfId="13795"/>
    <cellStyle name="Normal 2 2 4 3 2 4 3 2 2 3" xfId="13796"/>
    <cellStyle name="Normal 2 2 4 3 2 4 3 2 3" xfId="13797"/>
    <cellStyle name="Normal 2 2 4 3 2 4 3 2 3 2" xfId="13798"/>
    <cellStyle name="Normal 2 2 4 3 2 4 3 2 4" xfId="13799"/>
    <cellStyle name="Normal 2 2 4 3 2 4 3 3" xfId="13800"/>
    <cellStyle name="Normal 2 2 4 3 2 4 3 3 2" xfId="13801"/>
    <cellStyle name="Normal 2 2 4 3 2 4 3 3 2 2" xfId="13802"/>
    <cellStyle name="Normal 2 2 4 3 2 4 3 3 3" xfId="13803"/>
    <cellStyle name="Normal 2 2 4 3 2 4 3 4" xfId="13804"/>
    <cellStyle name="Normal 2 2 4 3 2 4 3 4 2" xfId="13805"/>
    <cellStyle name="Normal 2 2 4 3 2 4 3 5" xfId="13806"/>
    <cellStyle name="Normal 2 2 4 3 2 4 4" xfId="3396"/>
    <cellStyle name="Normal 2 2 4 3 2 4 4 2" xfId="13807"/>
    <cellStyle name="Normal 2 2 4 3 2 4 4 2 2" xfId="13808"/>
    <cellStyle name="Normal 2 2 4 3 2 4 4 2 2 2" xfId="13809"/>
    <cellStyle name="Normal 2 2 4 3 2 4 4 2 3" xfId="13810"/>
    <cellStyle name="Normal 2 2 4 3 2 4 4 3" xfId="13811"/>
    <cellStyle name="Normal 2 2 4 3 2 4 4 3 2" xfId="13812"/>
    <cellStyle name="Normal 2 2 4 3 2 4 4 4" xfId="13813"/>
    <cellStyle name="Normal 2 2 4 3 2 4 5" xfId="13814"/>
    <cellStyle name="Normal 2 2 4 3 2 4 5 2" xfId="13815"/>
    <cellStyle name="Normal 2 2 4 3 2 4 5 2 2" xfId="13816"/>
    <cellStyle name="Normal 2 2 4 3 2 4 5 3" xfId="13817"/>
    <cellStyle name="Normal 2 2 4 3 2 4 6" xfId="13818"/>
    <cellStyle name="Normal 2 2 4 3 2 4 6 2" xfId="13819"/>
    <cellStyle name="Normal 2 2 4 3 2 4 7" xfId="13820"/>
    <cellStyle name="Normal 2 2 4 3 2 5" xfId="812"/>
    <cellStyle name="Normal 2 2 4 3 2 5 2" xfId="2172"/>
    <cellStyle name="Normal 2 2 4 3 2 5 2 2" xfId="4892"/>
    <cellStyle name="Normal 2 2 4 3 2 5 2 2 2" xfId="13821"/>
    <cellStyle name="Normal 2 2 4 3 2 5 2 2 2 2" xfId="13822"/>
    <cellStyle name="Normal 2 2 4 3 2 5 2 2 2 2 2" xfId="13823"/>
    <cellStyle name="Normal 2 2 4 3 2 5 2 2 2 3" xfId="13824"/>
    <cellStyle name="Normal 2 2 4 3 2 5 2 2 3" xfId="13825"/>
    <cellStyle name="Normal 2 2 4 3 2 5 2 2 3 2" xfId="13826"/>
    <cellStyle name="Normal 2 2 4 3 2 5 2 2 4" xfId="13827"/>
    <cellStyle name="Normal 2 2 4 3 2 5 2 3" xfId="13828"/>
    <cellStyle name="Normal 2 2 4 3 2 5 2 3 2" xfId="13829"/>
    <cellStyle name="Normal 2 2 4 3 2 5 2 3 2 2" xfId="13830"/>
    <cellStyle name="Normal 2 2 4 3 2 5 2 3 3" xfId="13831"/>
    <cellStyle name="Normal 2 2 4 3 2 5 2 4" xfId="13832"/>
    <cellStyle name="Normal 2 2 4 3 2 5 2 4 2" xfId="13833"/>
    <cellStyle name="Normal 2 2 4 3 2 5 2 5" xfId="13834"/>
    <cellStyle name="Normal 2 2 4 3 2 5 3" xfId="3532"/>
    <cellStyle name="Normal 2 2 4 3 2 5 3 2" xfId="13835"/>
    <cellStyle name="Normal 2 2 4 3 2 5 3 2 2" xfId="13836"/>
    <cellStyle name="Normal 2 2 4 3 2 5 3 2 2 2" xfId="13837"/>
    <cellStyle name="Normal 2 2 4 3 2 5 3 2 3" xfId="13838"/>
    <cellStyle name="Normal 2 2 4 3 2 5 3 3" xfId="13839"/>
    <cellStyle name="Normal 2 2 4 3 2 5 3 3 2" xfId="13840"/>
    <cellStyle name="Normal 2 2 4 3 2 5 3 4" xfId="13841"/>
    <cellStyle name="Normal 2 2 4 3 2 5 4" xfId="13842"/>
    <cellStyle name="Normal 2 2 4 3 2 5 4 2" xfId="13843"/>
    <cellStyle name="Normal 2 2 4 3 2 5 4 2 2" xfId="13844"/>
    <cellStyle name="Normal 2 2 4 3 2 5 4 3" xfId="13845"/>
    <cellStyle name="Normal 2 2 4 3 2 5 5" xfId="13846"/>
    <cellStyle name="Normal 2 2 4 3 2 5 5 2" xfId="13847"/>
    <cellStyle name="Normal 2 2 4 3 2 5 6" xfId="13848"/>
    <cellStyle name="Normal 2 2 4 3 2 6" xfId="1492"/>
    <cellStyle name="Normal 2 2 4 3 2 6 2" xfId="4212"/>
    <cellStyle name="Normal 2 2 4 3 2 6 2 2" xfId="13849"/>
    <cellStyle name="Normal 2 2 4 3 2 6 2 2 2" xfId="13850"/>
    <cellStyle name="Normal 2 2 4 3 2 6 2 2 2 2" xfId="13851"/>
    <cellStyle name="Normal 2 2 4 3 2 6 2 2 3" xfId="13852"/>
    <cellStyle name="Normal 2 2 4 3 2 6 2 3" xfId="13853"/>
    <cellStyle name="Normal 2 2 4 3 2 6 2 3 2" xfId="13854"/>
    <cellStyle name="Normal 2 2 4 3 2 6 2 4" xfId="13855"/>
    <cellStyle name="Normal 2 2 4 3 2 6 3" xfId="13856"/>
    <cellStyle name="Normal 2 2 4 3 2 6 3 2" xfId="13857"/>
    <cellStyle name="Normal 2 2 4 3 2 6 3 2 2" xfId="13858"/>
    <cellStyle name="Normal 2 2 4 3 2 6 3 3" xfId="13859"/>
    <cellStyle name="Normal 2 2 4 3 2 6 4" xfId="13860"/>
    <cellStyle name="Normal 2 2 4 3 2 6 4 2" xfId="13861"/>
    <cellStyle name="Normal 2 2 4 3 2 6 5" xfId="13862"/>
    <cellStyle name="Normal 2 2 4 3 2 7" xfId="2852"/>
    <cellStyle name="Normal 2 2 4 3 2 7 2" xfId="13863"/>
    <cellStyle name="Normal 2 2 4 3 2 7 2 2" xfId="13864"/>
    <cellStyle name="Normal 2 2 4 3 2 7 2 2 2" xfId="13865"/>
    <cellStyle name="Normal 2 2 4 3 2 7 2 3" xfId="13866"/>
    <cellStyle name="Normal 2 2 4 3 2 7 3" xfId="13867"/>
    <cellStyle name="Normal 2 2 4 3 2 7 3 2" xfId="13868"/>
    <cellStyle name="Normal 2 2 4 3 2 7 4" xfId="13869"/>
    <cellStyle name="Normal 2 2 4 3 2 8" xfId="13870"/>
    <cellStyle name="Normal 2 2 4 3 2 8 2" xfId="13871"/>
    <cellStyle name="Normal 2 2 4 3 2 8 2 2" xfId="13872"/>
    <cellStyle name="Normal 2 2 4 3 2 8 3" xfId="13873"/>
    <cellStyle name="Normal 2 2 4 3 2 9" xfId="13874"/>
    <cellStyle name="Normal 2 2 4 3 2 9 2" xfId="13875"/>
    <cellStyle name="Normal 2 2 4 3 3" xfId="200"/>
    <cellStyle name="Normal 2 2 4 3 3 2" xfId="472"/>
    <cellStyle name="Normal 2 2 4 3 3 2 2" xfId="1152"/>
    <cellStyle name="Normal 2 2 4 3 3 2 2 2" xfId="2512"/>
    <cellStyle name="Normal 2 2 4 3 3 2 2 2 2" xfId="5232"/>
    <cellStyle name="Normal 2 2 4 3 3 2 2 2 2 2" xfId="13876"/>
    <cellStyle name="Normal 2 2 4 3 3 2 2 2 2 2 2" xfId="13877"/>
    <cellStyle name="Normal 2 2 4 3 3 2 2 2 2 2 2 2" xfId="13878"/>
    <cellStyle name="Normal 2 2 4 3 3 2 2 2 2 2 3" xfId="13879"/>
    <cellStyle name="Normal 2 2 4 3 3 2 2 2 2 3" xfId="13880"/>
    <cellStyle name="Normal 2 2 4 3 3 2 2 2 2 3 2" xfId="13881"/>
    <cellStyle name="Normal 2 2 4 3 3 2 2 2 2 4" xfId="13882"/>
    <cellStyle name="Normal 2 2 4 3 3 2 2 2 3" xfId="13883"/>
    <cellStyle name="Normal 2 2 4 3 3 2 2 2 3 2" xfId="13884"/>
    <cellStyle name="Normal 2 2 4 3 3 2 2 2 3 2 2" xfId="13885"/>
    <cellStyle name="Normal 2 2 4 3 3 2 2 2 3 3" xfId="13886"/>
    <cellStyle name="Normal 2 2 4 3 3 2 2 2 4" xfId="13887"/>
    <cellStyle name="Normal 2 2 4 3 3 2 2 2 4 2" xfId="13888"/>
    <cellStyle name="Normal 2 2 4 3 3 2 2 2 5" xfId="13889"/>
    <cellStyle name="Normal 2 2 4 3 3 2 2 3" xfId="3872"/>
    <cellStyle name="Normal 2 2 4 3 3 2 2 3 2" xfId="13890"/>
    <cellStyle name="Normal 2 2 4 3 3 2 2 3 2 2" xfId="13891"/>
    <cellStyle name="Normal 2 2 4 3 3 2 2 3 2 2 2" xfId="13892"/>
    <cellStyle name="Normal 2 2 4 3 3 2 2 3 2 3" xfId="13893"/>
    <cellStyle name="Normal 2 2 4 3 3 2 2 3 3" xfId="13894"/>
    <cellStyle name="Normal 2 2 4 3 3 2 2 3 3 2" xfId="13895"/>
    <cellStyle name="Normal 2 2 4 3 3 2 2 3 4" xfId="13896"/>
    <cellStyle name="Normal 2 2 4 3 3 2 2 4" xfId="13897"/>
    <cellStyle name="Normal 2 2 4 3 3 2 2 4 2" xfId="13898"/>
    <cellStyle name="Normal 2 2 4 3 3 2 2 4 2 2" xfId="13899"/>
    <cellStyle name="Normal 2 2 4 3 3 2 2 4 3" xfId="13900"/>
    <cellStyle name="Normal 2 2 4 3 3 2 2 5" xfId="13901"/>
    <cellStyle name="Normal 2 2 4 3 3 2 2 5 2" xfId="13902"/>
    <cellStyle name="Normal 2 2 4 3 3 2 2 6" xfId="13903"/>
    <cellStyle name="Normal 2 2 4 3 3 2 3" xfId="1832"/>
    <cellStyle name="Normal 2 2 4 3 3 2 3 2" xfId="4552"/>
    <cellStyle name="Normal 2 2 4 3 3 2 3 2 2" xfId="13904"/>
    <cellStyle name="Normal 2 2 4 3 3 2 3 2 2 2" xfId="13905"/>
    <cellStyle name="Normal 2 2 4 3 3 2 3 2 2 2 2" xfId="13906"/>
    <cellStyle name="Normal 2 2 4 3 3 2 3 2 2 3" xfId="13907"/>
    <cellStyle name="Normal 2 2 4 3 3 2 3 2 3" xfId="13908"/>
    <cellStyle name="Normal 2 2 4 3 3 2 3 2 3 2" xfId="13909"/>
    <cellStyle name="Normal 2 2 4 3 3 2 3 2 4" xfId="13910"/>
    <cellStyle name="Normal 2 2 4 3 3 2 3 3" xfId="13911"/>
    <cellStyle name="Normal 2 2 4 3 3 2 3 3 2" xfId="13912"/>
    <cellStyle name="Normal 2 2 4 3 3 2 3 3 2 2" xfId="13913"/>
    <cellStyle name="Normal 2 2 4 3 3 2 3 3 3" xfId="13914"/>
    <cellStyle name="Normal 2 2 4 3 3 2 3 4" xfId="13915"/>
    <cellStyle name="Normal 2 2 4 3 3 2 3 4 2" xfId="13916"/>
    <cellStyle name="Normal 2 2 4 3 3 2 3 5" xfId="13917"/>
    <cellStyle name="Normal 2 2 4 3 3 2 4" xfId="3192"/>
    <cellStyle name="Normal 2 2 4 3 3 2 4 2" xfId="13918"/>
    <cellStyle name="Normal 2 2 4 3 3 2 4 2 2" xfId="13919"/>
    <cellStyle name="Normal 2 2 4 3 3 2 4 2 2 2" xfId="13920"/>
    <cellStyle name="Normal 2 2 4 3 3 2 4 2 3" xfId="13921"/>
    <cellStyle name="Normal 2 2 4 3 3 2 4 3" xfId="13922"/>
    <cellStyle name="Normal 2 2 4 3 3 2 4 3 2" xfId="13923"/>
    <cellStyle name="Normal 2 2 4 3 3 2 4 4" xfId="13924"/>
    <cellStyle name="Normal 2 2 4 3 3 2 5" xfId="13925"/>
    <cellStyle name="Normal 2 2 4 3 3 2 5 2" xfId="13926"/>
    <cellStyle name="Normal 2 2 4 3 3 2 5 2 2" xfId="13927"/>
    <cellStyle name="Normal 2 2 4 3 3 2 5 3" xfId="13928"/>
    <cellStyle name="Normal 2 2 4 3 3 2 6" xfId="13929"/>
    <cellStyle name="Normal 2 2 4 3 3 2 6 2" xfId="13930"/>
    <cellStyle name="Normal 2 2 4 3 3 2 7" xfId="13931"/>
    <cellStyle name="Normal 2 2 4 3 3 3" xfId="880"/>
    <cellStyle name="Normal 2 2 4 3 3 3 2" xfId="2240"/>
    <cellStyle name="Normal 2 2 4 3 3 3 2 2" xfId="4960"/>
    <cellStyle name="Normal 2 2 4 3 3 3 2 2 2" xfId="13932"/>
    <cellStyle name="Normal 2 2 4 3 3 3 2 2 2 2" xfId="13933"/>
    <cellStyle name="Normal 2 2 4 3 3 3 2 2 2 2 2" xfId="13934"/>
    <cellStyle name="Normal 2 2 4 3 3 3 2 2 2 3" xfId="13935"/>
    <cellStyle name="Normal 2 2 4 3 3 3 2 2 3" xfId="13936"/>
    <cellStyle name="Normal 2 2 4 3 3 3 2 2 3 2" xfId="13937"/>
    <cellStyle name="Normal 2 2 4 3 3 3 2 2 4" xfId="13938"/>
    <cellStyle name="Normal 2 2 4 3 3 3 2 3" xfId="13939"/>
    <cellStyle name="Normal 2 2 4 3 3 3 2 3 2" xfId="13940"/>
    <cellStyle name="Normal 2 2 4 3 3 3 2 3 2 2" xfId="13941"/>
    <cellStyle name="Normal 2 2 4 3 3 3 2 3 3" xfId="13942"/>
    <cellStyle name="Normal 2 2 4 3 3 3 2 4" xfId="13943"/>
    <cellStyle name="Normal 2 2 4 3 3 3 2 4 2" xfId="13944"/>
    <cellStyle name="Normal 2 2 4 3 3 3 2 5" xfId="13945"/>
    <cellStyle name="Normal 2 2 4 3 3 3 3" xfId="3600"/>
    <cellStyle name="Normal 2 2 4 3 3 3 3 2" xfId="13946"/>
    <cellStyle name="Normal 2 2 4 3 3 3 3 2 2" xfId="13947"/>
    <cellStyle name="Normal 2 2 4 3 3 3 3 2 2 2" xfId="13948"/>
    <cellStyle name="Normal 2 2 4 3 3 3 3 2 3" xfId="13949"/>
    <cellStyle name="Normal 2 2 4 3 3 3 3 3" xfId="13950"/>
    <cellStyle name="Normal 2 2 4 3 3 3 3 3 2" xfId="13951"/>
    <cellStyle name="Normal 2 2 4 3 3 3 3 4" xfId="13952"/>
    <cellStyle name="Normal 2 2 4 3 3 3 4" xfId="13953"/>
    <cellStyle name="Normal 2 2 4 3 3 3 4 2" xfId="13954"/>
    <cellStyle name="Normal 2 2 4 3 3 3 4 2 2" xfId="13955"/>
    <cellStyle name="Normal 2 2 4 3 3 3 4 3" xfId="13956"/>
    <cellStyle name="Normal 2 2 4 3 3 3 5" xfId="13957"/>
    <cellStyle name="Normal 2 2 4 3 3 3 5 2" xfId="13958"/>
    <cellStyle name="Normal 2 2 4 3 3 3 6" xfId="13959"/>
    <cellStyle name="Normal 2 2 4 3 3 4" xfId="1560"/>
    <cellStyle name="Normal 2 2 4 3 3 4 2" xfId="4280"/>
    <cellStyle name="Normal 2 2 4 3 3 4 2 2" xfId="13960"/>
    <cellStyle name="Normal 2 2 4 3 3 4 2 2 2" xfId="13961"/>
    <cellStyle name="Normal 2 2 4 3 3 4 2 2 2 2" xfId="13962"/>
    <cellStyle name="Normal 2 2 4 3 3 4 2 2 3" xfId="13963"/>
    <cellStyle name="Normal 2 2 4 3 3 4 2 3" xfId="13964"/>
    <cellStyle name="Normal 2 2 4 3 3 4 2 3 2" xfId="13965"/>
    <cellStyle name="Normal 2 2 4 3 3 4 2 4" xfId="13966"/>
    <cellStyle name="Normal 2 2 4 3 3 4 3" xfId="13967"/>
    <cellStyle name="Normal 2 2 4 3 3 4 3 2" xfId="13968"/>
    <cellStyle name="Normal 2 2 4 3 3 4 3 2 2" xfId="13969"/>
    <cellStyle name="Normal 2 2 4 3 3 4 3 3" xfId="13970"/>
    <cellStyle name="Normal 2 2 4 3 3 4 4" xfId="13971"/>
    <cellStyle name="Normal 2 2 4 3 3 4 4 2" xfId="13972"/>
    <cellStyle name="Normal 2 2 4 3 3 4 5" xfId="13973"/>
    <cellStyle name="Normal 2 2 4 3 3 5" xfId="2920"/>
    <cellStyle name="Normal 2 2 4 3 3 5 2" xfId="13974"/>
    <cellStyle name="Normal 2 2 4 3 3 5 2 2" xfId="13975"/>
    <cellStyle name="Normal 2 2 4 3 3 5 2 2 2" xfId="13976"/>
    <cellStyle name="Normal 2 2 4 3 3 5 2 3" xfId="13977"/>
    <cellStyle name="Normal 2 2 4 3 3 5 3" xfId="13978"/>
    <cellStyle name="Normal 2 2 4 3 3 5 3 2" xfId="13979"/>
    <cellStyle name="Normal 2 2 4 3 3 5 4" xfId="13980"/>
    <cellStyle name="Normal 2 2 4 3 3 6" xfId="13981"/>
    <cellStyle name="Normal 2 2 4 3 3 6 2" xfId="13982"/>
    <cellStyle name="Normal 2 2 4 3 3 6 2 2" xfId="13983"/>
    <cellStyle name="Normal 2 2 4 3 3 6 3" xfId="13984"/>
    <cellStyle name="Normal 2 2 4 3 3 7" xfId="13985"/>
    <cellStyle name="Normal 2 2 4 3 3 7 2" xfId="13986"/>
    <cellStyle name="Normal 2 2 4 3 3 8" xfId="13987"/>
    <cellStyle name="Normal 2 2 4 3 4" xfId="336"/>
    <cellStyle name="Normal 2 2 4 3 4 2" xfId="1016"/>
    <cellStyle name="Normal 2 2 4 3 4 2 2" xfId="2376"/>
    <cellStyle name="Normal 2 2 4 3 4 2 2 2" xfId="5096"/>
    <cellStyle name="Normal 2 2 4 3 4 2 2 2 2" xfId="13988"/>
    <cellStyle name="Normal 2 2 4 3 4 2 2 2 2 2" xfId="13989"/>
    <cellStyle name="Normal 2 2 4 3 4 2 2 2 2 2 2" xfId="13990"/>
    <cellStyle name="Normal 2 2 4 3 4 2 2 2 2 3" xfId="13991"/>
    <cellStyle name="Normal 2 2 4 3 4 2 2 2 3" xfId="13992"/>
    <cellStyle name="Normal 2 2 4 3 4 2 2 2 3 2" xfId="13993"/>
    <cellStyle name="Normal 2 2 4 3 4 2 2 2 4" xfId="13994"/>
    <cellStyle name="Normal 2 2 4 3 4 2 2 3" xfId="13995"/>
    <cellStyle name="Normal 2 2 4 3 4 2 2 3 2" xfId="13996"/>
    <cellStyle name="Normal 2 2 4 3 4 2 2 3 2 2" xfId="13997"/>
    <cellStyle name="Normal 2 2 4 3 4 2 2 3 3" xfId="13998"/>
    <cellStyle name="Normal 2 2 4 3 4 2 2 4" xfId="13999"/>
    <cellStyle name="Normal 2 2 4 3 4 2 2 4 2" xfId="14000"/>
    <cellStyle name="Normal 2 2 4 3 4 2 2 5" xfId="14001"/>
    <cellStyle name="Normal 2 2 4 3 4 2 3" xfId="3736"/>
    <cellStyle name="Normal 2 2 4 3 4 2 3 2" xfId="14002"/>
    <cellStyle name="Normal 2 2 4 3 4 2 3 2 2" xfId="14003"/>
    <cellStyle name="Normal 2 2 4 3 4 2 3 2 2 2" xfId="14004"/>
    <cellStyle name="Normal 2 2 4 3 4 2 3 2 3" xfId="14005"/>
    <cellStyle name="Normal 2 2 4 3 4 2 3 3" xfId="14006"/>
    <cellStyle name="Normal 2 2 4 3 4 2 3 3 2" xfId="14007"/>
    <cellStyle name="Normal 2 2 4 3 4 2 3 4" xfId="14008"/>
    <cellStyle name="Normal 2 2 4 3 4 2 4" xfId="14009"/>
    <cellStyle name="Normal 2 2 4 3 4 2 4 2" xfId="14010"/>
    <cellStyle name="Normal 2 2 4 3 4 2 4 2 2" xfId="14011"/>
    <cellStyle name="Normal 2 2 4 3 4 2 4 3" xfId="14012"/>
    <cellStyle name="Normal 2 2 4 3 4 2 5" xfId="14013"/>
    <cellStyle name="Normal 2 2 4 3 4 2 5 2" xfId="14014"/>
    <cellStyle name="Normal 2 2 4 3 4 2 6" xfId="14015"/>
    <cellStyle name="Normal 2 2 4 3 4 3" xfId="1696"/>
    <cellStyle name="Normal 2 2 4 3 4 3 2" xfId="4416"/>
    <cellStyle name="Normal 2 2 4 3 4 3 2 2" xfId="14016"/>
    <cellStyle name="Normal 2 2 4 3 4 3 2 2 2" xfId="14017"/>
    <cellStyle name="Normal 2 2 4 3 4 3 2 2 2 2" xfId="14018"/>
    <cellStyle name="Normal 2 2 4 3 4 3 2 2 3" xfId="14019"/>
    <cellStyle name="Normal 2 2 4 3 4 3 2 3" xfId="14020"/>
    <cellStyle name="Normal 2 2 4 3 4 3 2 3 2" xfId="14021"/>
    <cellStyle name="Normal 2 2 4 3 4 3 2 4" xfId="14022"/>
    <cellStyle name="Normal 2 2 4 3 4 3 3" xfId="14023"/>
    <cellStyle name="Normal 2 2 4 3 4 3 3 2" xfId="14024"/>
    <cellStyle name="Normal 2 2 4 3 4 3 3 2 2" xfId="14025"/>
    <cellStyle name="Normal 2 2 4 3 4 3 3 3" xfId="14026"/>
    <cellStyle name="Normal 2 2 4 3 4 3 4" xfId="14027"/>
    <cellStyle name="Normal 2 2 4 3 4 3 4 2" xfId="14028"/>
    <cellStyle name="Normal 2 2 4 3 4 3 5" xfId="14029"/>
    <cellStyle name="Normal 2 2 4 3 4 4" xfId="3056"/>
    <cellStyle name="Normal 2 2 4 3 4 4 2" xfId="14030"/>
    <cellStyle name="Normal 2 2 4 3 4 4 2 2" xfId="14031"/>
    <cellStyle name="Normal 2 2 4 3 4 4 2 2 2" xfId="14032"/>
    <cellStyle name="Normal 2 2 4 3 4 4 2 3" xfId="14033"/>
    <cellStyle name="Normal 2 2 4 3 4 4 3" xfId="14034"/>
    <cellStyle name="Normal 2 2 4 3 4 4 3 2" xfId="14035"/>
    <cellStyle name="Normal 2 2 4 3 4 4 4" xfId="14036"/>
    <cellStyle name="Normal 2 2 4 3 4 5" xfId="14037"/>
    <cellStyle name="Normal 2 2 4 3 4 5 2" xfId="14038"/>
    <cellStyle name="Normal 2 2 4 3 4 5 2 2" xfId="14039"/>
    <cellStyle name="Normal 2 2 4 3 4 5 3" xfId="14040"/>
    <cellStyle name="Normal 2 2 4 3 4 6" xfId="14041"/>
    <cellStyle name="Normal 2 2 4 3 4 6 2" xfId="14042"/>
    <cellStyle name="Normal 2 2 4 3 4 7" xfId="14043"/>
    <cellStyle name="Normal 2 2 4 3 5" xfId="608"/>
    <cellStyle name="Normal 2 2 4 3 5 2" xfId="1288"/>
    <cellStyle name="Normal 2 2 4 3 5 2 2" xfId="2648"/>
    <cellStyle name="Normal 2 2 4 3 5 2 2 2" xfId="5368"/>
    <cellStyle name="Normal 2 2 4 3 5 2 2 2 2" xfId="14044"/>
    <cellStyle name="Normal 2 2 4 3 5 2 2 2 2 2" xfId="14045"/>
    <cellStyle name="Normal 2 2 4 3 5 2 2 2 2 2 2" xfId="14046"/>
    <cellStyle name="Normal 2 2 4 3 5 2 2 2 2 3" xfId="14047"/>
    <cellStyle name="Normal 2 2 4 3 5 2 2 2 3" xfId="14048"/>
    <cellStyle name="Normal 2 2 4 3 5 2 2 2 3 2" xfId="14049"/>
    <cellStyle name="Normal 2 2 4 3 5 2 2 2 4" xfId="14050"/>
    <cellStyle name="Normal 2 2 4 3 5 2 2 3" xfId="14051"/>
    <cellStyle name="Normal 2 2 4 3 5 2 2 3 2" xfId="14052"/>
    <cellStyle name="Normal 2 2 4 3 5 2 2 3 2 2" xfId="14053"/>
    <cellStyle name="Normal 2 2 4 3 5 2 2 3 3" xfId="14054"/>
    <cellStyle name="Normal 2 2 4 3 5 2 2 4" xfId="14055"/>
    <cellStyle name="Normal 2 2 4 3 5 2 2 4 2" xfId="14056"/>
    <cellStyle name="Normal 2 2 4 3 5 2 2 5" xfId="14057"/>
    <cellStyle name="Normal 2 2 4 3 5 2 3" xfId="4008"/>
    <cellStyle name="Normal 2 2 4 3 5 2 3 2" xfId="14058"/>
    <cellStyle name="Normal 2 2 4 3 5 2 3 2 2" xfId="14059"/>
    <cellStyle name="Normal 2 2 4 3 5 2 3 2 2 2" xfId="14060"/>
    <cellStyle name="Normal 2 2 4 3 5 2 3 2 3" xfId="14061"/>
    <cellStyle name="Normal 2 2 4 3 5 2 3 3" xfId="14062"/>
    <cellStyle name="Normal 2 2 4 3 5 2 3 3 2" xfId="14063"/>
    <cellStyle name="Normal 2 2 4 3 5 2 3 4" xfId="14064"/>
    <cellStyle name="Normal 2 2 4 3 5 2 4" xfId="14065"/>
    <cellStyle name="Normal 2 2 4 3 5 2 4 2" xfId="14066"/>
    <cellStyle name="Normal 2 2 4 3 5 2 4 2 2" xfId="14067"/>
    <cellStyle name="Normal 2 2 4 3 5 2 4 3" xfId="14068"/>
    <cellStyle name="Normal 2 2 4 3 5 2 5" xfId="14069"/>
    <cellStyle name="Normal 2 2 4 3 5 2 5 2" xfId="14070"/>
    <cellStyle name="Normal 2 2 4 3 5 2 6" xfId="14071"/>
    <cellStyle name="Normal 2 2 4 3 5 3" xfId="1968"/>
    <cellStyle name="Normal 2 2 4 3 5 3 2" xfId="4688"/>
    <cellStyle name="Normal 2 2 4 3 5 3 2 2" xfId="14072"/>
    <cellStyle name="Normal 2 2 4 3 5 3 2 2 2" xfId="14073"/>
    <cellStyle name="Normal 2 2 4 3 5 3 2 2 2 2" xfId="14074"/>
    <cellStyle name="Normal 2 2 4 3 5 3 2 2 3" xfId="14075"/>
    <cellStyle name="Normal 2 2 4 3 5 3 2 3" xfId="14076"/>
    <cellStyle name="Normal 2 2 4 3 5 3 2 3 2" xfId="14077"/>
    <cellStyle name="Normal 2 2 4 3 5 3 2 4" xfId="14078"/>
    <cellStyle name="Normal 2 2 4 3 5 3 3" xfId="14079"/>
    <cellStyle name="Normal 2 2 4 3 5 3 3 2" xfId="14080"/>
    <cellStyle name="Normal 2 2 4 3 5 3 3 2 2" xfId="14081"/>
    <cellStyle name="Normal 2 2 4 3 5 3 3 3" xfId="14082"/>
    <cellStyle name="Normal 2 2 4 3 5 3 4" xfId="14083"/>
    <cellStyle name="Normal 2 2 4 3 5 3 4 2" xfId="14084"/>
    <cellStyle name="Normal 2 2 4 3 5 3 5" xfId="14085"/>
    <cellStyle name="Normal 2 2 4 3 5 4" xfId="3328"/>
    <cellStyle name="Normal 2 2 4 3 5 4 2" xfId="14086"/>
    <cellStyle name="Normal 2 2 4 3 5 4 2 2" xfId="14087"/>
    <cellStyle name="Normal 2 2 4 3 5 4 2 2 2" xfId="14088"/>
    <cellStyle name="Normal 2 2 4 3 5 4 2 3" xfId="14089"/>
    <cellStyle name="Normal 2 2 4 3 5 4 3" xfId="14090"/>
    <cellStyle name="Normal 2 2 4 3 5 4 3 2" xfId="14091"/>
    <cellStyle name="Normal 2 2 4 3 5 4 4" xfId="14092"/>
    <cellStyle name="Normal 2 2 4 3 5 5" xfId="14093"/>
    <cellStyle name="Normal 2 2 4 3 5 5 2" xfId="14094"/>
    <cellStyle name="Normal 2 2 4 3 5 5 2 2" xfId="14095"/>
    <cellStyle name="Normal 2 2 4 3 5 5 3" xfId="14096"/>
    <cellStyle name="Normal 2 2 4 3 5 6" xfId="14097"/>
    <cellStyle name="Normal 2 2 4 3 5 6 2" xfId="14098"/>
    <cellStyle name="Normal 2 2 4 3 5 7" xfId="14099"/>
    <cellStyle name="Normal 2 2 4 3 6" xfId="744"/>
    <cellStyle name="Normal 2 2 4 3 6 2" xfId="2104"/>
    <cellStyle name="Normal 2 2 4 3 6 2 2" xfId="4824"/>
    <cellStyle name="Normal 2 2 4 3 6 2 2 2" xfId="14100"/>
    <cellStyle name="Normal 2 2 4 3 6 2 2 2 2" xfId="14101"/>
    <cellStyle name="Normal 2 2 4 3 6 2 2 2 2 2" xfId="14102"/>
    <cellStyle name="Normal 2 2 4 3 6 2 2 2 3" xfId="14103"/>
    <cellStyle name="Normal 2 2 4 3 6 2 2 3" xfId="14104"/>
    <cellStyle name="Normal 2 2 4 3 6 2 2 3 2" xfId="14105"/>
    <cellStyle name="Normal 2 2 4 3 6 2 2 4" xfId="14106"/>
    <cellStyle name="Normal 2 2 4 3 6 2 3" xfId="14107"/>
    <cellStyle name="Normal 2 2 4 3 6 2 3 2" xfId="14108"/>
    <cellStyle name="Normal 2 2 4 3 6 2 3 2 2" xfId="14109"/>
    <cellStyle name="Normal 2 2 4 3 6 2 3 3" xfId="14110"/>
    <cellStyle name="Normal 2 2 4 3 6 2 4" xfId="14111"/>
    <cellStyle name="Normal 2 2 4 3 6 2 4 2" xfId="14112"/>
    <cellStyle name="Normal 2 2 4 3 6 2 5" xfId="14113"/>
    <cellStyle name="Normal 2 2 4 3 6 3" xfId="3464"/>
    <cellStyle name="Normal 2 2 4 3 6 3 2" xfId="14114"/>
    <cellStyle name="Normal 2 2 4 3 6 3 2 2" xfId="14115"/>
    <cellStyle name="Normal 2 2 4 3 6 3 2 2 2" xfId="14116"/>
    <cellStyle name="Normal 2 2 4 3 6 3 2 3" xfId="14117"/>
    <cellStyle name="Normal 2 2 4 3 6 3 3" xfId="14118"/>
    <cellStyle name="Normal 2 2 4 3 6 3 3 2" xfId="14119"/>
    <cellStyle name="Normal 2 2 4 3 6 3 4" xfId="14120"/>
    <cellStyle name="Normal 2 2 4 3 6 4" xfId="14121"/>
    <cellStyle name="Normal 2 2 4 3 6 4 2" xfId="14122"/>
    <cellStyle name="Normal 2 2 4 3 6 4 2 2" xfId="14123"/>
    <cellStyle name="Normal 2 2 4 3 6 4 3" xfId="14124"/>
    <cellStyle name="Normal 2 2 4 3 6 5" xfId="14125"/>
    <cellStyle name="Normal 2 2 4 3 6 5 2" xfId="14126"/>
    <cellStyle name="Normal 2 2 4 3 6 6" xfId="14127"/>
    <cellStyle name="Normal 2 2 4 3 7" xfId="1424"/>
    <cellStyle name="Normal 2 2 4 3 7 2" xfId="4144"/>
    <cellStyle name="Normal 2 2 4 3 7 2 2" xfId="14128"/>
    <cellStyle name="Normal 2 2 4 3 7 2 2 2" xfId="14129"/>
    <cellStyle name="Normal 2 2 4 3 7 2 2 2 2" xfId="14130"/>
    <cellStyle name="Normal 2 2 4 3 7 2 2 3" xfId="14131"/>
    <cellStyle name="Normal 2 2 4 3 7 2 3" xfId="14132"/>
    <cellStyle name="Normal 2 2 4 3 7 2 3 2" xfId="14133"/>
    <cellStyle name="Normal 2 2 4 3 7 2 4" xfId="14134"/>
    <cellStyle name="Normal 2 2 4 3 7 3" xfId="14135"/>
    <cellStyle name="Normal 2 2 4 3 7 3 2" xfId="14136"/>
    <cellStyle name="Normal 2 2 4 3 7 3 2 2" xfId="14137"/>
    <cellStyle name="Normal 2 2 4 3 7 3 3" xfId="14138"/>
    <cellStyle name="Normal 2 2 4 3 7 4" xfId="14139"/>
    <cellStyle name="Normal 2 2 4 3 7 4 2" xfId="14140"/>
    <cellStyle name="Normal 2 2 4 3 7 5" xfId="14141"/>
    <cellStyle name="Normal 2 2 4 3 8" xfId="2784"/>
    <cellStyle name="Normal 2 2 4 3 8 2" xfId="14142"/>
    <cellStyle name="Normal 2 2 4 3 8 2 2" xfId="14143"/>
    <cellStyle name="Normal 2 2 4 3 8 2 2 2" xfId="14144"/>
    <cellStyle name="Normal 2 2 4 3 8 2 3" xfId="14145"/>
    <cellStyle name="Normal 2 2 4 3 8 3" xfId="14146"/>
    <cellStyle name="Normal 2 2 4 3 8 3 2" xfId="14147"/>
    <cellStyle name="Normal 2 2 4 3 8 4" xfId="14148"/>
    <cellStyle name="Normal 2 2 4 3 9" xfId="14149"/>
    <cellStyle name="Normal 2 2 4 3 9 2" xfId="14150"/>
    <cellStyle name="Normal 2 2 4 3 9 2 2" xfId="14151"/>
    <cellStyle name="Normal 2 2 4 3 9 3" xfId="14152"/>
    <cellStyle name="Normal 2 2 4 4" xfId="97"/>
    <cellStyle name="Normal 2 2 4 4 10" xfId="14153"/>
    <cellStyle name="Normal 2 2 4 4 2" xfId="234"/>
    <cellStyle name="Normal 2 2 4 4 2 2" xfId="506"/>
    <cellStyle name="Normal 2 2 4 4 2 2 2" xfId="1186"/>
    <cellStyle name="Normal 2 2 4 4 2 2 2 2" xfId="2546"/>
    <cellStyle name="Normal 2 2 4 4 2 2 2 2 2" xfId="5266"/>
    <cellStyle name="Normal 2 2 4 4 2 2 2 2 2 2" xfId="14154"/>
    <cellStyle name="Normal 2 2 4 4 2 2 2 2 2 2 2" xfId="14155"/>
    <cellStyle name="Normal 2 2 4 4 2 2 2 2 2 2 2 2" xfId="14156"/>
    <cellStyle name="Normal 2 2 4 4 2 2 2 2 2 2 3" xfId="14157"/>
    <cellStyle name="Normal 2 2 4 4 2 2 2 2 2 3" xfId="14158"/>
    <cellStyle name="Normal 2 2 4 4 2 2 2 2 2 3 2" xfId="14159"/>
    <cellStyle name="Normal 2 2 4 4 2 2 2 2 2 4" xfId="14160"/>
    <cellStyle name="Normal 2 2 4 4 2 2 2 2 3" xfId="14161"/>
    <cellStyle name="Normal 2 2 4 4 2 2 2 2 3 2" xfId="14162"/>
    <cellStyle name="Normal 2 2 4 4 2 2 2 2 3 2 2" xfId="14163"/>
    <cellStyle name="Normal 2 2 4 4 2 2 2 2 3 3" xfId="14164"/>
    <cellStyle name="Normal 2 2 4 4 2 2 2 2 4" xfId="14165"/>
    <cellStyle name="Normal 2 2 4 4 2 2 2 2 4 2" xfId="14166"/>
    <cellStyle name="Normal 2 2 4 4 2 2 2 2 5" xfId="14167"/>
    <cellStyle name="Normal 2 2 4 4 2 2 2 3" xfId="3906"/>
    <cellStyle name="Normal 2 2 4 4 2 2 2 3 2" xfId="14168"/>
    <cellStyle name="Normal 2 2 4 4 2 2 2 3 2 2" xfId="14169"/>
    <cellStyle name="Normal 2 2 4 4 2 2 2 3 2 2 2" xfId="14170"/>
    <cellStyle name="Normal 2 2 4 4 2 2 2 3 2 3" xfId="14171"/>
    <cellStyle name="Normal 2 2 4 4 2 2 2 3 3" xfId="14172"/>
    <cellStyle name="Normal 2 2 4 4 2 2 2 3 3 2" xfId="14173"/>
    <cellStyle name="Normal 2 2 4 4 2 2 2 3 4" xfId="14174"/>
    <cellStyle name="Normal 2 2 4 4 2 2 2 4" xfId="14175"/>
    <cellStyle name="Normal 2 2 4 4 2 2 2 4 2" xfId="14176"/>
    <cellStyle name="Normal 2 2 4 4 2 2 2 4 2 2" xfId="14177"/>
    <cellStyle name="Normal 2 2 4 4 2 2 2 4 3" xfId="14178"/>
    <cellStyle name="Normal 2 2 4 4 2 2 2 5" xfId="14179"/>
    <cellStyle name="Normal 2 2 4 4 2 2 2 5 2" xfId="14180"/>
    <cellStyle name="Normal 2 2 4 4 2 2 2 6" xfId="14181"/>
    <cellStyle name="Normal 2 2 4 4 2 2 3" xfId="1866"/>
    <cellStyle name="Normal 2 2 4 4 2 2 3 2" xfId="4586"/>
    <cellStyle name="Normal 2 2 4 4 2 2 3 2 2" xfId="14182"/>
    <cellStyle name="Normal 2 2 4 4 2 2 3 2 2 2" xfId="14183"/>
    <cellStyle name="Normal 2 2 4 4 2 2 3 2 2 2 2" xfId="14184"/>
    <cellStyle name="Normal 2 2 4 4 2 2 3 2 2 3" xfId="14185"/>
    <cellStyle name="Normal 2 2 4 4 2 2 3 2 3" xfId="14186"/>
    <cellStyle name="Normal 2 2 4 4 2 2 3 2 3 2" xfId="14187"/>
    <cellStyle name="Normal 2 2 4 4 2 2 3 2 4" xfId="14188"/>
    <cellStyle name="Normal 2 2 4 4 2 2 3 3" xfId="14189"/>
    <cellStyle name="Normal 2 2 4 4 2 2 3 3 2" xfId="14190"/>
    <cellStyle name="Normal 2 2 4 4 2 2 3 3 2 2" xfId="14191"/>
    <cellStyle name="Normal 2 2 4 4 2 2 3 3 3" xfId="14192"/>
    <cellStyle name="Normal 2 2 4 4 2 2 3 4" xfId="14193"/>
    <cellStyle name="Normal 2 2 4 4 2 2 3 4 2" xfId="14194"/>
    <cellStyle name="Normal 2 2 4 4 2 2 3 5" xfId="14195"/>
    <cellStyle name="Normal 2 2 4 4 2 2 4" xfId="3226"/>
    <cellStyle name="Normal 2 2 4 4 2 2 4 2" xfId="14196"/>
    <cellStyle name="Normal 2 2 4 4 2 2 4 2 2" xfId="14197"/>
    <cellStyle name="Normal 2 2 4 4 2 2 4 2 2 2" xfId="14198"/>
    <cellStyle name="Normal 2 2 4 4 2 2 4 2 3" xfId="14199"/>
    <cellStyle name="Normal 2 2 4 4 2 2 4 3" xfId="14200"/>
    <cellStyle name="Normal 2 2 4 4 2 2 4 3 2" xfId="14201"/>
    <cellStyle name="Normal 2 2 4 4 2 2 4 4" xfId="14202"/>
    <cellStyle name="Normal 2 2 4 4 2 2 5" xfId="14203"/>
    <cellStyle name="Normal 2 2 4 4 2 2 5 2" xfId="14204"/>
    <cellStyle name="Normal 2 2 4 4 2 2 5 2 2" xfId="14205"/>
    <cellStyle name="Normal 2 2 4 4 2 2 5 3" xfId="14206"/>
    <cellStyle name="Normal 2 2 4 4 2 2 6" xfId="14207"/>
    <cellStyle name="Normal 2 2 4 4 2 2 6 2" xfId="14208"/>
    <cellStyle name="Normal 2 2 4 4 2 2 7" xfId="14209"/>
    <cellStyle name="Normal 2 2 4 4 2 3" xfId="914"/>
    <cellStyle name="Normal 2 2 4 4 2 3 2" xfId="2274"/>
    <cellStyle name="Normal 2 2 4 4 2 3 2 2" xfId="4994"/>
    <cellStyle name="Normal 2 2 4 4 2 3 2 2 2" xfId="14210"/>
    <cellStyle name="Normal 2 2 4 4 2 3 2 2 2 2" xfId="14211"/>
    <cellStyle name="Normal 2 2 4 4 2 3 2 2 2 2 2" xfId="14212"/>
    <cellStyle name="Normal 2 2 4 4 2 3 2 2 2 3" xfId="14213"/>
    <cellStyle name="Normal 2 2 4 4 2 3 2 2 3" xfId="14214"/>
    <cellStyle name="Normal 2 2 4 4 2 3 2 2 3 2" xfId="14215"/>
    <cellStyle name="Normal 2 2 4 4 2 3 2 2 4" xfId="14216"/>
    <cellStyle name="Normal 2 2 4 4 2 3 2 3" xfId="14217"/>
    <cellStyle name="Normal 2 2 4 4 2 3 2 3 2" xfId="14218"/>
    <cellStyle name="Normal 2 2 4 4 2 3 2 3 2 2" xfId="14219"/>
    <cellStyle name="Normal 2 2 4 4 2 3 2 3 3" xfId="14220"/>
    <cellStyle name="Normal 2 2 4 4 2 3 2 4" xfId="14221"/>
    <cellStyle name="Normal 2 2 4 4 2 3 2 4 2" xfId="14222"/>
    <cellStyle name="Normal 2 2 4 4 2 3 2 5" xfId="14223"/>
    <cellStyle name="Normal 2 2 4 4 2 3 3" xfId="3634"/>
    <cellStyle name="Normal 2 2 4 4 2 3 3 2" xfId="14224"/>
    <cellStyle name="Normal 2 2 4 4 2 3 3 2 2" xfId="14225"/>
    <cellStyle name="Normal 2 2 4 4 2 3 3 2 2 2" xfId="14226"/>
    <cellStyle name="Normal 2 2 4 4 2 3 3 2 3" xfId="14227"/>
    <cellStyle name="Normal 2 2 4 4 2 3 3 3" xfId="14228"/>
    <cellStyle name="Normal 2 2 4 4 2 3 3 3 2" xfId="14229"/>
    <cellStyle name="Normal 2 2 4 4 2 3 3 4" xfId="14230"/>
    <cellStyle name="Normal 2 2 4 4 2 3 4" xfId="14231"/>
    <cellStyle name="Normal 2 2 4 4 2 3 4 2" xfId="14232"/>
    <cellStyle name="Normal 2 2 4 4 2 3 4 2 2" xfId="14233"/>
    <cellStyle name="Normal 2 2 4 4 2 3 4 3" xfId="14234"/>
    <cellStyle name="Normal 2 2 4 4 2 3 5" xfId="14235"/>
    <cellStyle name="Normal 2 2 4 4 2 3 5 2" xfId="14236"/>
    <cellStyle name="Normal 2 2 4 4 2 3 6" xfId="14237"/>
    <cellStyle name="Normal 2 2 4 4 2 4" xfId="1594"/>
    <cellStyle name="Normal 2 2 4 4 2 4 2" xfId="4314"/>
    <cellStyle name="Normal 2 2 4 4 2 4 2 2" xfId="14238"/>
    <cellStyle name="Normal 2 2 4 4 2 4 2 2 2" xfId="14239"/>
    <cellStyle name="Normal 2 2 4 4 2 4 2 2 2 2" xfId="14240"/>
    <cellStyle name="Normal 2 2 4 4 2 4 2 2 3" xfId="14241"/>
    <cellStyle name="Normal 2 2 4 4 2 4 2 3" xfId="14242"/>
    <cellStyle name="Normal 2 2 4 4 2 4 2 3 2" xfId="14243"/>
    <cellStyle name="Normal 2 2 4 4 2 4 2 4" xfId="14244"/>
    <cellStyle name="Normal 2 2 4 4 2 4 3" xfId="14245"/>
    <cellStyle name="Normal 2 2 4 4 2 4 3 2" xfId="14246"/>
    <cellStyle name="Normal 2 2 4 4 2 4 3 2 2" xfId="14247"/>
    <cellStyle name="Normal 2 2 4 4 2 4 3 3" xfId="14248"/>
    <cellStyle name="Normal 2 2 4 4 2 4 4" xfId="14249"/>
    <cellStyle name="Normal 2 2 4 4 2 4 4 2" xfId="14250"/>
    <cellStyle name="Normal 2 2 4 4 2 4 5" xfId="14251"/>
    <cellStyle name="Normal 2 2 4 4 2 5" xfId="2954"/>
    <cellStyle name="Normal 2 2 4 4 2 5 2" xfId="14252"/>
    <cellStyle name="Normal 2 2 4 4 2 5 2 2" xfId="14253"/>
    <cellStyle name="Normal 2 2 4 4 2 5 2 2 2" xfId="14254"/>
    <cellStyle name="Normal 2 2 4 4 2 5 2 3" xfId="14255"/>
    <cellStyle name="Normal 2 2 4 4 2 5 3" xfId="14256"/>
    <cellStyle name="Normal 2 2 4 4 2 5 3 2" xfId="14257"/>
    <cellStyle name="Normal 2 2 4 4 2 5 4" xfId="14258"/>
    <cellStyle name="Normal 2 2 4 4 2 6" xfId="14259"/>
    <cellStyle name="Normal 2 2 4 4 2 6 2" xfId="14260"/>
    <cellStyle name="Normal 2 2 4 4 2 6 2 2" xfId="14261"/>
    <cellStyle name="Normal 2 2 4 4 2 6 3" xfId="14262"/>
    <cellStyle name="Normal 2 2 4 4 2 7" xfId="14263"/>
    <cellStyle name="Normal 2 2 4 4 2 7 2" xfId="14264"/>
    <cellStyle name="Normal 2 2 4 4 2 8" xfId="14265"/>
    <cellStyle name="Normal 2 2 4 4 3" xfId="370"/>
    <cellStyle name="Normal 2 2 4 4 3 2" xfId="1050"/>
    <cellStyle name="Normal 2 2 4 4 3 2 2" xfId="2410"/>
    <cellStyle name="Normal 2 2 4 4 3 2 2 2" xfId="5130"/>
    <cellStyle name="Normal 2 2 4 4 3 2 2 2 2" xfId="14266"/>
    <cellStyle name="Normal 2 2 4 4 3 2 2 2 2 2" xfId="14267"/>
    <cellStyle name="Normal 2 2 4 4 3 2 2 2 2 2 2" xfId="14268"/>
    <cellStyle name="Normal 2 2 4 4 3 2 2 2 2 3" xfId="14269"/>
    <cellStyle name="Normal 2 2 4 4 3 2 2 2 3" xfId="14270"/>
    <cellStyle name="Normal 2 2 4 4 3 2 2 2 3 2" xfId="14271"/>
    <cellStyle name="Normal 2 2 4 4 3 2 2 2 4" xfId="14272"/>
    <cellStyle name="Normal 2 2 4 4 3 2 2 3" xfId="14273"/>
    <cellStyle name="Normal 2 2 4 4 3 2 2 3 2" xfId="14274"/>
    <cellStyle name="Normal 2 2 4 4 3 2 2 3 2 2" xfId="14275"/>
    <cellStyle name="Normal 2 2 4 4 3 2 2 3 3" xfId="14276"/>
    <cellStyle name="Normal 2 2 4 4 3 2 2 4" xfId="14277"/>
    <cellStyle name="Normal 2 2 4 4 3 2 2 4 2" xfId="14278"/>
    <cellStyle name="Normal 2 2 4 4 3 2 2 5" xfId="14279"/>
    <cellStyle name="Normal 2 2 4 4 3 2 3" xfId="3770"/>
    <cellStyle name="Normal 2 2 4 4 3 2 3 2" xfId="14280"/>
    <cellStyle name="Normal 2 2 4 4 3 2 3 2 2" xfId="14281"/>
    <cellStyle name="Normal 2 2 4 4 3 2 3 2 2 2" xfId="14282"/>
    <cellStyle name="Normal 2 2 4 4 3 2 3 2 3" xfId="14283"/>
    <cellStyle name="Normal 2 2 4 4 3 2 3 3" xfId="14284"/>
    <cellStyle name="Normal 2 2 4 4 3 2 3 3 2" xfId="14285"/>
    <cellStyle name="Normal 2 2 4 4 3 2 3 4" xfId="14286"/>
    <cellStyle name="Normal 2 2 4 4 3 2 4" xfId="14287"/>
    <cellStyle name="Normal 2 2 4 4 3 2 4 2" xfId="14288"/>
    <cellStyle name="Normal 2 2 4 4 3 2 4 2 2" xfId="14289"/>
    <cellStyle name="Normal 2 2 4 4 3 2 4 3" xfId="14290"/>
    <cellStyle name="Normal 2 2 4 4 3 2 5" xfId="14291"/>
    <cellStyle name="Normal 2 2 4 4 3 2 5 2" xfId="14292"/>
    <cellStyle name="Normal 2 2 4 4 3 2 6" xfId="14293"/>
    <cellStyle name="Normal 2 2 4 4 3 3" xfId="1730"/>
    <cellStyle name="Normal 2 2 4 4 3 3 2" xfId="4450"/>
    <cellStyle name="Normal 2 2 4 4 3 3 2 2" xfId="14294"/>
    <cellStyle name="Normal 2 2 4 4 3 3 2 2 2" xfId="14295"/>
    <cellStyle name="Normal 2 2 4 4 3 3 2 2 2 2" xfId="14296"/>
    <cellStyle name="Normal 2 2 4 4 3 3 2 2 3" xfId="14297"/>
    <cellStyle name="Normal 2 2 4 4 3 3 2 3" xfId="14298"/>
    <cellStyle name="Normal 2 2 4 4 3 3 2 3 2" xfId="14299"/>
    <cellStyle name="Normal 2 2 4 4 3 3 2 4" xfId="14300"/>
    <cellStyle name="Normal 2 2 4 4 3 3 3" xfId="14301"/>
    <cellStyle name="Normal 2 2 4 4 3 3 3 2" xfId="14302"/>
    <cellStyle name="Normal 2 2 4 4 3 3 3 2 2" xfId="14303"/>
    <cellStyle name="Normal 2 2 4 4 3 3 3 3" xfId="14304"/>
    <cellStyle name="Normal 2 2 4 4 3 3 4" xfId="14305"/>
    <cellStyle name="Normal 2 2 4 4 3 3 4 2" xfId="14306"/>
    <cellStyle name="Normal 2 2 4 4 3 3 5" xfId="14307"/>
    <cellStyle name="Normal 2 2 4 4 3 4" xfId="3090"/>
    <cellStyle name="Normal 2 2 4 4 3 4 2" xfId="14308"/>
    <cellStyle name="Normal 2 2 4 4 3 4 2 2" xfId="14309"/>
    <cellStyle name="Normal 2 2 4 4 3 4 2 2 2" xfId="14310"/>
    <cellStyle name="Normal 2 2 4 4 3 4 2 3" xfId="14311"/>
    <cellStyle name="Normal 2 2 4 4 3 4 3" xfId="14312"/>
    <cellStyle name="Normal 2 2 4 4 3 4 3 2" xfId="14313"/>
    <cellStyle name="Normal 2 2 4 4 3 4 4" xfId="14314"/>
    <cellStyle name="Normal 2 2 4 4 3 5" xfId="14315"/>
    <cellStyle name="Normal 2 2 4 4 3 5 2" xfId="14316"/>
    <cellStyle name="Normal 2 2 4 4 3 5 2 2" xfId="14317"/>
    <cellStyle name="Normal 2 2 4 4 3 5 3" xfId="14318"/>
    <cellStyle name="Normal 2 2 4 4 3 6" xfId="14319"/>
    <cellStyle name="Normal 2 2 4 4 3 6 2" xfId="14320"/>
    <cellStyle name="Normal 2 2 4 4 3 7" xfId="14321"/>
    <cellStyle name="Normal 2 2 4 4 4" xfId="642"/>
    <cellStyle name="Normal 2 2 4 4 4 2" xfId="1322"/>
    <cellStyle name="Normal 2 2 4 4 4 2 2" xfId="2682"/>
    <cellStyle name="Normal 2 2 4 4 4 2 2 2" xfId="5402"/>
    <cellStyle name="Normal 2 2 4 4 4 2 2 2 2" xfId="14322"/>
    <cellStyle name="Normal 2 2 4 4 4 2 2 2 2 2" xfId="14323"/>
    <cellStyle name="Normal 2 2 4 4 4 2 2 2 2 2 2" xfId="14324"/>
    <cellStyle name="Normal 2 2 4 4 4 2 2 2 2 3" xfId="14325"/>
    <cellStyle name="Normal 2 2 4 4 4 2 2 2 3" xfId="14326"/>
    <cellStyle name="Normal 2 2 4 4 4 2 2 2 3 2" xfId="14327"/>
    <cellStyle name="Normal 2 2 4 4 4 2 2 2 4" xfId="14328"/>
    <cellStyle name="Normal 2 2 4 4 4 2 2 3" xfId="14329"/>
    <cellStyle name="Normal 2 2 4 4 4 2 2 3 2" xfId="14330"/>
    <cellStyle name="Normal 2 2 4 4 4 2 2 3 2 2" xfId="14331"/>
    <cellStyle name="Normal 2 2 4 4 4 2 2 3 3" xfId="14332"/>
    <cellStyle name="Normal 2 2 4 4 4 2 2 4" xfId="14333"/>
    <cellStyle name="Normal 2 2 4 4 4 2 2 4 2" xfId="14334"/>
    <cellStyle name="Normal 2 2 4 4 4 2 2 5" xfId="14335"/>
    <cellStyle name="Normal 2 2 4 4 4 2 3" xfId="4042"/>
    <cellStyle name="Normal 2 2 4 4 4 2 3 2" xfId="14336"/>
    <cellStyle name="Normal 2 2 4 4 4 2 3 2 2" xfId="14337"/>
    <cellStyle name="Normal 2 2 4 4 4 2 3 2 2 2" xfId="14338"/>
    <cellStyle name="Normal 2 2 4 4 4 2 3 2 3" xfId="14339"/>
    <cellStyle name="Normal 2 2 4 4 4 2 3 3" xfId="14340"/>
    <cellStyle name="Normal 2 2 4 4 4 2 3 3 2" xfId="14341"/>
    <cellStyle name="Normal 2 2 4 4 4 2 3 4" xfId="14342"/>
    <cellStyle name="Normal 2 2 4 4 4 2 4" xfId="14343"/>
    <cellStyle name="Normal 2 2 4 4 4 2 4 2" xfId="14344"/>
    <cellStyle name="Normal 2 2 4 4 4 2 4 2 2" xfId="14345"/>
    <cellStyle name="Normal 2 2 4 4 4 2 4 3" xfId="14346"/>
    <cellStyle name="Normal 2 2 4 4 4 2 5" xfId="14347"/>
    <cellStyle name="Normal 2 2 4 4 4 2 5 2" xfId="14348"/>
    <cellStyle name="Normal 2 2 4 4 4 2 6" xfId="14349"/>
    <cellStyle name="Normal 2 2 4 4 4 3" xfId="2002"/>
    <cellStyle name="Normal 2 2 4 4 4 3 2" xfId="4722"/>
    <cellStyle name="Normal 2 2 4 4 4 3 2 2" xfId="14350"/>
    <cellStyle name="Normal 2 2 4 4 4 3 2 2 2" xfId="14351"/>
    <cellStyle name="Normal 2 2 4 4 4 3 2 2 2 2" xfId="14352"/>
    <cellStyle name="Normal 2 2 4 4 4 3 2 2 3" xfId="14353"/>
    <cellStyle name="Normal 2 2 4 4 4 3 2 3" xfId="14354"/>
    <cellStyle name="Normal 2 2 4 4 4 3 2 3 2" xfId="14355"/>
    <cellStyle name="Normal 2 2 4 4 4 3 2 4" xfId="14356"/>
    <cellStyle name="Normal 2 2 4 4 4 3 3" xfId="14357"/>
    <cellStyle name="Normal 2 2 4 4 4 3 3 2" xfId="14358"/>
    <cellStyle name="Normal 2 2 4 4 4 3 3 2 2" xfId="14359"/>
    <cellStyle name="Normal 2 2 4 4 4 3 3 3" xfId="14360"/>
    <cellStyle name="Normal 2 2 4 4 4 3 4" xfId="14361"/>
    <cellStyle name="Normal 2 2 4 4 4 3 4 2" xfId="14362"/>
    <cellStyle name="Normal 2 2 4 4 4 3 5" xfId="14363"/>
    <cellStyle name="Normal 2 2 4 4 4 4" xfId="3362"/>
    <cellStyle name="Normal 2 2 4 4 4 4 2" xfId="14364"/>
    <cellStyle name="Normal 2 2 4 4 4 4 2 2" xfId="14365"/>
    <cellStyle name="Normal 2 2 4 4 4 4 2 2 2" xfId="14366"/>
    <cellStyle name="Normal 2 2 4 4 4 4 2 3" xfId="14367"/>
    <cellStyle name="Normal 2 2 4 4 4 4 3" xfId="14368"/>
    <cellStyle name="Normal 2 2 4 4 4 4 3 2" xfId="14369"/>
    <cellStyle name="Normal 2 2 4 4 4 4 4" xfId="14370"/>
    <cellStyle name="Normal 2 2 4 4 4 5" xfId="14371"/>
    <cellStyle name="Normal 2 2 4 4 4 5 2" xfId="14372"/>
    <cellStyle name="Normal 2 2 4 4 4 5 2 2" xfId="14373"/>
    <cellStyle name="Normal 2 2 4 4 4 5 3" xfId="14374"/>
    <cellStyle name="Normal 2 2 4 4 4 6" xfId="14375"/>
    <cellStyle name="Normal 2 2 4 4 4 6 2" xfId="14376"/>
    <cellStyle name="Normal 2 2 4 4 4 7" xfId="14377"/>
    <cellStyle name="Normal 2 2 4 4 5" xfId="778"/>
    <cellStyle name="Normal 2 2 4 4 5 2" xfId="2138"/>
    <cellStyle name="Normal 2 2 4 4 5 2 2" xfId="4858"/>
    <cellStyle name="Normal 2 2 4 4 5 2 2 2" xfId="14378"/>
    <cellStyle name="Normal 2 2 4 4 5 2 2 2 2" xfId="14379"/>
    <cellStyle name="Normal 2 2 4 4 5 2 2 2 2 2" xfId="14380"/>
    <cellStyle name="Normal 2 2 4 4 5 2 2 2 3" xfId="14381"/>
    <cellStyle name="Normal 2 2 4 4 5 2 2 3" xfId="14382"/>
    <cellStyle name="Normal 2 2 4 4 5 2 2 3 2" xfId="14383"/>
    <cellStyle name="Normal 2 2 4 4 5 2 2 4" xfId="14384"/>
    <cellStyle name="Normal 2 2 4 4 5 2 3" xfId="14385"/>
    <cellStyle name="Normal 2 2 4 4 5 2 3 2" xfId="14386"/>
    <cellStyle name="Normal 2 2 4 4 5 2 3 2 2" xfId="14387"/>
    <cellStyle name="Normal 2 2 4 4 5 2 3 3" xfId="14388"/>
    <cellStyle name="Normal 2 2 4 4 5 2 4" xfId="14389"/>
    <cellStyle name="Normal 2 2 4 4 5 2 4 2" xfId="14390"/>
    <cellStyle name="Normal 2 2 4 4 5 2 5" xfId="14391"/>
    <cellStyle name="Normal 2 2 4 4 5 3" xfId="3498"/>
    <cellStyle name="Normal 2 2 4 4 5 3 2" xfId="14392"/>
    <cellStyle name="Normal 2 2 4 4 5 3 2 2" xfId="14393"/>
    <cellStyle name="Normal 2 2 4 4 5 3 2 2 2" xfId="14394"/>
    <cellStyle name="Normal 2 2 4 4 5 3 2 3" xfId="14395"/>
    <cellStyle name="Normal 2 2 4 4 5 3 3" xfId="14396"/>
    <cellStyle name="Normal 2 2 4 4 5 3 3 2" xfId="14397"/>
    <cellStyle name="Normal 2 2 4 4 5 3 4" xfId="14398"/>
    <cellStyle name="Normal 2 2 4 4 5 4" xfId="14399"/>
    <cellStyle name="Normal 2 2 4 4 5 4 2" xfId="14400"/>
    <cellStyle name="Normal 2 2 4 4 5 4 2 2" xfId="14401"/>
    <cellStyle name="Normal 2 2 4 4 5 4 3" xfId="14402"/>
    <cellStyle name="Normal 2 2 4 4 5 5" xfId="14403"/>
    <cellStyle name="Normal 2 2 4 4 5 5 2" xfId="14404"/>
    <cellStyle name="Normal 2 2 4 4 5 6" xfId="14405"/>
    <cellStyle name="Normal 2 2 4 4 6" xfId="1458"/>
    <cellStyle name="Normal 2 2 4 4 6 2" xfId="4178"/>
    <cellStyle name="Normal 2 2 4 4 6 2 2" xfId="14406"/>
    <cellStyle name="Normal 2 2 4 4 6 2 2 2" xfId="14407"/>
    <cellStyle name="Normal 2 2 4 4 6 2 2 2 2" xfId="14408"/>
    <cellStyle name="Normal 2 2 4 4 6 2 2 3" xfId="14409"/>
    <cellStyle name="Normal 2 2 4 4 6 2 3" xfId="14410"/>
    <cellStyle name="Normal 2 2 4 4 6 2 3 2" xfId="14411"/>
    <cellStyle name="Normal 2 2 4 4 6 2 4" xfId="14412"/>
    <cellStyle name="Normal 2 2 4 4 6 3" xfId="14413"/>
    <cellStyle name="Normal 2 2 4 4 6 3 2" xfId="14414"/>
    <cellStyle name="Normal 2 2 4 4 6 3 2 2" xfId="14415"/>
    <cellStyle name="Normal 2 2 4 4 6 3 3" xfId="14416"/>
    <cellStyle name="Normal 2 2 4 4 6 4" xfId="14417"/>
    <cellStyle name="Normal 2 2 4 4 6 4 2" xfId="14418"/>
    <cellStyle name="Normal 2 2 4 4 6 5" xfId="14419"/>
    <cellStyle name="Normal 2 2 4 4 7" xfId="2818"/>
    <cellStyle name="Normal 2 2 4 4 7 2" xfId="14420"/>
    <cellStyle name="Normal 2 2 4 4 7 2 2" xfId="14421"/>
    <cellStyle name="Normal 2 2 4 4 7 2 2 2" xfId="14422"/>
    <cellStyle name="Normal 2 2 4 4 7 2 3" xfId="14423"/>
    <cellStyle name="Normal 2 2 4 4 7 3" xfId="14424"/>
    <cellStyle name="Normal 2 2 4 4 7 3 2" xfId="14425"/>
    <cellStyle name="Normal 2 2 4 4 7 4" xfId="14426"/>
    <cellStyle name="Normal 2 2 4 4 8" xfId="14427"/>
    <cellStyle name="Normal 2 2 4 4 8 2" xfId="14428"/>
    <cellStyle name="Normal 2 2 4 4 8 2 2" xfId="14429"/>
    <cellStyle name="Normal 2 2 4 4 8 3" xfId="14430"/>
    <cellStyle name="Normal 2 2 4 4 9" xfId="14431"/>
    <cellStyle name="Normal 2 2 4 4 9 2" xfId="14432"/>
    <cellStyle name="Normal 2 2 4 5" xfId="166"/>
    <cellStyle name="Normal 2 2 4 5 2" xfId="438"/>
    <cellStyle name="Normal 2 2 4 5 2 2" xfId="1118"/>
    <cellStyle name="Normal 2 2 4 5 2 2 2" xfId="2478"/>
    <cellStyle name="Normal 2 2 4 5 2 2 2 2" xfId="5198"/>
    <cellStyle name="Normal 2 2 4 5 2 2 2 2 2" xfId="14433"/>
    <cellStyle name="Normal 2 2 4 5 2 2 2 2 2 2" xfId="14434"/>
    <cellStyle name="Normal 2 2 4 5 2 2 2 2 2 2 2" xfId="14435"/>
    <cellStyle name="Normal 2 2 4 5 2 2 2 2 2 3" xfId="14436"/>
    <cellStyle name="Normal 2 2 4 5 2 2 2 2 3" xfId="14437"/>
    <cellStyle name="Normal 2 2 4 5 2 2 2 2 3 2" xfId="14438"/>
    <cellStyle name="Normal 2 2 4 5 2 2 2 2 4" xfId="14439"/>
    <cellStyle name="Normal 2 2 4 5 2 2 2 3" xfId="14440"/>
    <cellStyle name="Normal 2 2 4 5 2 2 2 3 2" xfId="14441"/>
    <cellStyle name="Normal 2 2 4 5 2 2 2 3 2 2" xfId="14442"/>
    <cellStyle name="Normal 2 2 4 5 2 2 2 3 3" xfId="14443"/>
    <cellStyle name="Normal 2 2 4 5 2 2 2 4" xfId="14444"/>
    <cellStyle name="Normal 2 2 4 5 2 2 2 4 2" xfId="14445"/>
    <cellStyle name="Normal 2 2 4 5 2 2 2 5" xfId="14446"/>
    <cellStyle name="Normal 2 2 4 5 2 2 3" xfId="3838"/>
    <cellStyle name="Normal 2 2 4 5 2 2 3 2" xfId="14447"/>
    <cellStyle name="Normal 2 2 4 5 2 2 3 2 2" xfId="14448"/>
    <cellStyle name="Normal 2 2 4 5 2 2 3 2 2 2" xfId="14449"/>
    <cellStyle name="Normal 2 2 4 5 2 2 3 2 3" xfId="14450"/>
    <cellStyle name="Normal 2 2 4 5 2 2 3 3" xfId="14451"/>
    <cellStyle name="Normal 2 2 4 5 2 2 3 3 2" xfId="14452"/>
    <cellStyle name="Normal 2 2 4 5 2 2 3 4" xfId="14453"/>
    <cellStyle name="Normal 2 2 4 5 2 2 4" xfId="14454"/>
    <cellStyle name="Normal 2 2 4 5 2 2 4 2" xfId="14455"/>
    <cellStyle name="Normal 2 2 4 5 2 2 4 2 2" xfId="14456"/>
    <cellStyle name="Normal 2 2 4 5 2 2 4 3" xfId="14457"/>
    <cellStyle name="Normal 2 2 4 5 2 2 5" xfId="14458"/>
    <cellStyle name="Normal 2 2 4 5 2 2 5 2" xfId="14459"/>
    <cellStyle name="Normal 2 2 4 5 2 2 6" xfId="14460"/>
    <cellStyle name="Normal 2 2 4 5 2 3" xfId="1798"/>
    <cellStyle name="Normal 2 2 4 5 2 3 2" xfId="4518"/>
    <cellStyle name="Normal 2 2 4 5 2 3 2 2" xfId="14461"/>
    <cellStyle name="Normal 2 2 4 5 2 3 2 2 2" xfId="14462"/>
    <cellStyle name="Normal 2 2 4 5 2 3 2 2 2 2" xfId="14463"/>
    <cellStyle name="Normal 2 2 4 5 2 3 2 2 3" xfId="14464"/>
    <cellStyle name="Normal 2 2 4 5 2 3 2 3" xfId="14465"/>
    <cellStyle name="Normal 2 2 4 5 2 3 2 3 2" xfId="14466"/>
    <cellStyle name="Normal 2 2 4 5 2 3 2 4" xfId="14467"/>
    <cellStyle name="Normal 2 2 4 5 2 3 3" xfId="14468"/>
    <cellStyle name="Normal 2 2 4 5 2 3 3 2" xfId="14469"/>
    <cellStyle name="Normal 2 2 4 5 2 3 3 2 2" xfId="14470"/>
    <cellStyle name="Normal 2 2 4 5 2 3 3 3" xfId="14471"/>
    <cellStyle name="Normal 2 2 4 5 2 3 4" xfId="14472"/>
    <cellStyle name="Normal 2 2 4 5 2 3 4 2" xfId="14473"/>
    <cellStyle name="Normal 2 2 4 5 2 3 5" xfId="14474"/>
    <cellStyle name="Normal 2 2 4 5 2 4" xfId="3158"/>
    <cellStyle name="Normal 2 2 4 5 2 4 2" xfId="14475"/>
    <cellStyle name="Normal 2 2 4 5 2 4 2 2" xfId="14476"/>
    <cellStyle name="Normal 2 2 4 5 2 4 2 2 2" xfId="14477"/>
    <cellStyle name="Normal 2 2 4 5 2 4 2 3" xfId="14478"/>
    <cellStyle name="Normal 2 2 4 5 2 4 3" xfId="14479"/>
    <cellStyle name="Normal 2 2 4 5 2 4 3 2" xfId="14480"/>
    <cellStyle name="Normal 2 2 4 5 2 4 4" xfId="14481"/>
    <cellStyle name="Normal 2 2 4 5 2 5" xfId="14482"/>
    <cellStyle name="Normal 2 2 4 5 2 5 2" xfId="14483"/>
    <cellStyle name="Normal 2 2 4 5 2 5 2 2" xfId="14484"/>
    <cellStyle name="Normal 2 2 4 5 2 5 3" xfId="14485"/>
    <cellStyle name="Normal 2 2 4 5 2 6" xfId="14486"/>
    <cellStyle name="Normal 2 2 4 5 2 6 2" xfId="14487"/>
    <cellStyle name="Normal 2 2 4 5 2 7" xfId="14488"/>
    <cellStyle name="Normal 2 2 4 5 3" xfId="846"/>
    <cellStyle name="Normal 2 2 4 5 3 2" xfId="2206"/>
    <cellStyle name="Normal 2 2 4 5 3 2 2" xfId="4926"/>
    <cellStyle name="Normal 2 2 4 5 3 2 2 2" xfId="14489"/>
    <cellStyle name="Normal 2 2 4 5 3 2 2 2 2" xfId="14490"/>
    <cellStyle name="Normal 2 2 4 5 3 2 2 2 2 2" xfId="14491"/>
    <cellStyle name="Normal 2 2 4 5 3 2 2 2 3" xfId="14492"/>
    <cellStyle name="Normal 2 2 4 5 3 2 2 3" xfId="14493"/>
    <cellStyle name="Normal 2 2 4 5 3 2 2 3 2" xfId="14494"/>
    <cellStyle name="Normal 2 2 4 5 3 2 2 4" xfId="14495"/>
    <cellStyle name="Normal 2 2 4 5 3 2 3" xfId="14496"/>
    <cellStyle name="Normal 2 2 4 5 3 2 3 2" xfId="14497"/>
    <cellStyle name="Normal 2 2 4 5 3 2 3 2 2" xfId="14498"/>
    <cellStyle name="Normal 2 2 4 5 3 2 3 3" xfId="14499"/>
    <cellStyle name="Normal 2 2 4 5 3 2 4" xfId="14500"/>
    <cellStyle name="Normal 2 2 4 5 3 2 4 2" xfId="14501"/>
    <cellStyle name="Normal 2 2 4 5 3 2 5" xfId="14502"/>
    <cellStyle name="Normal 2 2 4 5 3 3" xfId="3566"/>
    <cellStyle name="Normal 2 2 4 5 3 3 2" xfId="14503"/>
    <cellStyle name="Normal 2 2 4 5 3 3 2 2" xfId="14504"/>
    <cellStyle name="Normal 2 2 4 5 3 3 2 2 2" xfId="14505"/>
    <cellStyle name="Normal 2 2 4 5 3 3 2 3" xfId="14506"/>
    <cellStyle name="Normal 2 2 4 5 3 3 3" xfId="14507"/>
    <cellStyle name="Normal 2 2 4 5 3 3 3 2" xfId="14508"/>
    <cellStyle name="Normal 2 2 4 5 3 3 4" xfId="14509"/>
    <cellStyle name="Normal 2 2 4 5 3 4" xfId="14510"/>
    <cellStyle name="Normal 2 2 4 5 3 4 2" xfId="14511"/>
    <cellStyle name="Normal 2 2 4 5 3 4 2 2" xfId="14512"/>
    <cellStyle name="Normal 2 2 4 5 3 4 3" xfId="14513"/>
    <cellStyle name="Normal 2 2 4 5 3 5" xfId="14514"/>
    <cellStyle name="Normal 2 2 4 5 3 5 2" xfId="14515"/>
    <cellStyle name="Normal 2 2 4 5 3 6" xfId="14516"/>
    <cellStyle name="Normal 2 2 4 5 4" xfId="1526"/>
    <cellStyle name="Normal 2 2 4 5 4 2" xfId="4246"/>
    <cellStyle name="Normal 2 2 4 5 4 2 2" xfId="14517"/>
    <cellStyle name="Normal 2 2 4 5 4 2 2 2" xfId="14518"/>
    <cellStyle name="Normal 2 2 4 5 4 2 2 2 2" xfId="14519"/>
    <cellStyle name="Normal 2 2 4 5 4 2 2 3" xfId="14520"/>
    <cellStyle name="Normal 2 2 4 5 4 2 3" xfId="14521"/>
    <cellStyle name="Normal 2 2 4 5 4 2 3 2" xfId="14522"/>
    <cellStyle name="Normal 2 2 4 5 4 2 4" xfId="14523"/>
    <cellStyle name="Normal 2 2 4 5 4 3" xfId="14524"/>
    <cellStyle name="Normal 2 2 4 5 4 3 2" xfId="14525"/>
    <cellStyle name="Normal 2 2 4 5 4 3 2 2" xfId="14526"/>
    <cellStyle name="Normal 2 2 4 5 4 3 3" xfId="14527"/>
    <cellStyle name="Normal 2 2 4 5 4 4" xfId="14528"/>
    <cellStyle name="Normal 2 2 4 5 4 4 2" xfId="14529"/>
    <cellStyle name="Normal 2 2 4 5 4 5" xfId="14530"/>
    <cellStyle name="Normal 2 2 4 5 5" xfId="2886"/>
    <cellStyle name="Normal 2 2 4 5 5 2" xfId="14531"/>
    <cellStyle name="Normal 2 2 4 5 5 2 2" xfId="14532"/>
    <cellStyle name="Normal 2 2 4 5 5 2 2 2" xfId="14533"/>
    <cellStyle name="Normal 2 2 4 5 5 2 3" xfId="14534"/>
    <cellStyle name="Normal 2 2 4 5 5 3" xfId="14535"/>
    <cellStyle name="Normal 2 2 4 5 5 3 2" xfId="14536"/>
    <cellStyle name="Normal 2 2 4 5 5 4" xfId="14537"/>
    <cellStyle name="Normal 2 2 4 5 6" xfId="14538"/>
    <cellStyle name="Normal 2 2 4 5 6 2" xfId="14539"/>
    <cellStyle name="Normal 2 2 4 5 6 2 2" xfId="14540"/>
    <cellStyle name="Normal 2 2 4 5 6 3" xfId="14541"/>
    <cellStyle name="Normal 2 2 4 5 7" xfId="14542"/>
    <cellStyle name="Normal 2 2 4 5 7 2" xfId="14543"/>
    <cellStyle name="Normal 2 2 4 5 8" xfId="14544"/>
    <cellStyle name="Normal 2 2 4 6" xfId="302"/>
    <cellStyle name="Normal 2 2 4 6 2" xfId="982"/>
    <cellStyle name="Normal 2 2 4 6 2 2" xfId="2342"/>
    <cellStyle name="Normal 2 2 4 6 2 2 2" xfId="5062"/>
    <cellStyle name="Normal 2 2 4 6 2 2 2 2" xfId="14545"/>
    <cellStyle name="Normal 2 2 4 6 2 2 2 2 2" xfId="14546"/>
    <cellStyle name="Normal 2 2 4 6 2 2 2 2 2 2" xfId="14547"/>
    <cellStyle name="Normal 2 2 4 6 2 2 2 2 3" xfId="14548"/>
    <cellStyle name="Normal 2 2 4 6 2 2 2 3" xfId="14549"/>
    <cellStyle name="Normal 2 2 4 6 2 2 2 3 2" xfId="14550"/>
    <cellStyle name="Normal 2 2 4 6 2 2 2 4" xfId="14551"/>
    <cellStyle name="Normal 2 2 4 6 2 2 3" xfId="14552"/>
    <cellStyle name="Normal 2 2 4 6 2 2 3 2" xfId="14553"/>
    <cellStyle name="Normal 2 2 4 6 2 2 3 2 2" xfId="14554"/>
    <cellStyle name="Normal 2 2 4 6 2 2 3 3" xfId="14555"/>
    <cellStyle name="Normal 2 2 4 6 2 2 4" xfId="14556"/>
    <cellStyle name="Normal 2 2 4 6 2 2 4 2" xfId="14557"/>
    <cellStyle name="Normal 2 2 4 6 2 2 5" xfId="14558"/>
    <cellStyle name="Normal 2 2 4 6 2 3" xfId="3702"/>
    <cellStyle name="Normal 2 2 4 6 2 3 2" xfId="14559"/>
    <cellStyle name="Normal 2 2 4 6 2 3 2 2" xfId="14560"/>
    <cellStyle name="Normal 2 2 4 6 2 3 2 2 2" xfId="14561"/>
    <cellStyle name="Normal 2 2 4 6 2 3 2 3" xfId="14562"/>
    <cellStyle name="Normal 2 2 4 6 2 3 3" xfId="14563"/>
    <cellStyle name="Normal 2 2 4 6 2 3 3 2" xfId="14564"/>
    <cellStyle name="Normal 2 2 4 6 2 3 4" xfId="14565"/>
    <cellStyle name="Normal 2 2 4 6 2 4" xfId="14566"/>
    <cellStyle name="Normal 2 2 4 6 2 4 2" xfId="14567"/>
    <cellStyle name="Normal 2 2 4 6 2 4 2 2" xfId="14568"/>
    <cellStyle name="Normal 2 2 4 6 2 4 3" xfId="14569"/>
    <cellStyle name="Normal 2 2 4 6 2 5" xfId="14570"/>
    <cellStyle name="Normal 2 2 4 6 2 5 2" xfId="14571"/>
    <cellStyle name="Normal 2 2 4 6 2 6" xfId="14572"/>
    <cellStyle name="Normal 2 2 4 6 3" xfId="1662"/>
    <cellStyle name="Normal 2 2 4 6 3 2" xfId="4382"/>
    <cellStyle name="Normal 2 2 4 6 3 2 2" xfId="14573"/>
    <cellStyle name="Normal 2 2 4 6 3 2 2 2" xfId="14574"/>
    <cellStyle name="Normal 2 2 4 6 3 2 2 2 2" xfId="14575"/>
    <cellStyle name="Normal 2 2 4 6 3 2 2 3" xfId="14576"/>
    <cellStyle name="Normal 2 2 4 6 3 2 3" xfId="14577"/>
    <cellStyle name="Normal 2 2 4 6 3 2 3 2" xfId="14578"/>
    <cellStyle name="Normal 2 2 4 6 3 2 4" xfId="14579"/>
    <cellStyle name="Normal 2 2 4 6 3 3" xfId="14580"/>
    <cellStyle name="Normal 2 2 4 6 3 3 2" xfId="14581"/>
    <cellStyle name="Normal 2 2 4 6 3 3 2 2" xfId="14582"/>
    <cellStyle name="Normal 2 2 4 6 3 3 3" xfId="14583"/>
    <cellStyle name="Normal 2 2 4 6 3 4" xfId="14584"/>
    <cellStyle name="Normal 2 2 4 6 3 4 2" xfId="14585"/>
    <cellStyle name="Normal 2 2 4 6 3 5" xfId="14586"/>
    <cellStyle name="Normal 2 2 4 6 4" xfId="3022"/>
    <cellStyle name="Normal 2 2 4 6 4 2" xfId="14587"/>
    <cellStyle name="Normal 2 2 4 6 4 2 2" xfId="14588"/>
    <cellStyle name="Normal 2 2 4 6 4 2 2 2" xfId="14589"/>
    <cellStyle name="Normal 2 2 4 6 4 2 3" xfId="14590"/>
    <cellStyle name="Normal 2 2 4 6 4 3" xfId="14591"/>
    <cellStyle name="Normal 2 2 4 6 4 3 2" xfId="14592"/>
    <cellStyle name="Normal 2 2 4 6 4 4" xfId="14593"/>
    <cellStyle name="Normal 2 2 4 6 5" xfId="14594"/>
    <cellStyle name="Normal 2 2 4 6 5 2" xfId="14595"/>
    <cellStyle name="Normal 2 2 4 6 5 2 2" xfId="14596"/>
    <cellStyle name="Normal 2 2 4 6 5 3" xfId="14597"/>
    <cellStyle name="Normal 2 2 4 6 6" xfId="14598"/>
    <cellStyle name="Normal 2 2 4 6 6 2" xfId="14599"/>
    <cellStyle name="Normal 2 2 4 6 7" xfId="14600"/>
    <cellStyle name="Normal 2 2 4 7" xfId="574"/>
    <cellStyle name="Normal 2 2 4 7 2" xfId="1254"/>
    <cellStyle name="Normal 2 2 4 7 2 2" xfId="2614"/>
    <cellStyle name="Normal 2 2 4 7 2 2 2" xfId="5334"/>
    <cellStyle name="Normal 2 2 4 7 2 2 2 2" xfId="14601"/>
    <cellStyle name="Normal 2 2 4 7 2 2 2 2 2" xfId="14602"/>
    <cellStyle name="Normal 2 2 4 7 2 2 2 2 2 2" xfId="14603"/>
    <cellStyle name="Normal 2 2 4 7 2 2 2 2 3" xfId="14604"/>
    <cellStyle name="Normal 2 2 4 7 2 2 2 3" xfId="14605"/>
    <cellStyle name="Normal 2 2 4 7 2 2 2 3 2" xfId="14606"/>
    <cellStyle name="Normal 2 2 4 7 2 2 2 4" xfId="14607"/>
    <cellStyle name="Normal 2 2 4 7 2 2 3" xfId="14608"/>
    <cellStyle name="Normal 2 2 4 7 2 2 3 2" xfId="14609"/>
    <cellStyle name="Normal 2 2 4 7 2 2 3 2 2" xfId="14610"/>
    <cellStyle name="Normal 2 2 4 7 2 2 3 3" xfId="14611"/>
    <cellStyle name="Normal 2 2 4 7 2 2 4" xfId="14612"/>
    <cellStyle name="Normal 2 2 4 7 2 2 4 2" xfId="14613"/>
    <cellStyle name="Normal 2 2 4 7 2 2 5" xfId="14614"/>
    <cellStyle name="Normal 2 2 4 7 2 3" xfId="3974"/>
    <cellStyle name="Normal 2 2 4 7 2 3 2" xfId="14615"/>
    <cellStyle name="Normal 2 2 4 7 2 3 2 2" xfId="14616"/>
    <cellStyle name="Normal 2 2 4 7 2 3 2 2 2" xfId="14617"/>
    <cellStyle name="Normal 2 2 4 7 2 3 2 3" xfId="14618"/>
    <cellStyle name="Normal 2 2 4 7 2 3 3" xfId="14619"/>
    <cellStyle name="Normal 2 2 4 7 2 3 3 2" xfId="14620"/>
    <cellStyle name="Normal 2 2 4 7 2 3 4" xfId="14621"/>
    <cellStyle name="Normal 2 2 4 7 2 4" xfId="14622"/>
    <cellStyle name="Normal 2 2 4 7 2 4 2" xfId="14623"/>
    <cellStyle name="Normal 2 2 4 7 2 4 2 2" xfId="14624"/>
    <cellStyle name="Normal 2 2 4 7 2 4 3" xfId="14625"/>
    <cellStyle name="Normal 2 2 4 7 2 5" xfId="14626"/>
    <cellStyle name="Normal 2 2 4 7 2 5 2" xfId="14627"/>
    <cellStyle name="Normal 2 2 4 7 2 6" xfId="14628"/>
    <cellStyle name="Normal 2 2 4 7 3" xfId="1934"/>
    <cellStyle name="Normal 2 2 4 7 3 2" xfId="4654"/>
    <cellStyle name="Normal 2 2 4 7 3 2 2" xfId="14629"/>
    <cellStyle name="Normal 2 2 4 7 3 2 2 2" xfId="14630"/>
    <cellStyle name="Normal 2 2 4 7 3 2 2 2 2" xfId="14631"/>
    <cellStyle name="Normal 2 2 4 7 3 2 2 3" xfId="14632"/>
    <cellStyle name="Normal 2 2 4 7 3 2 3" xfId="14633"/>
    <cellStyle name="Normal 2 2 4 7 3 2 3 2" xfId="14634"/>
    <cellStyle name="Normal 2 2 4 7 3 2 4" xfId="14635"/>
    <cellStyle name="Normal 2 2 4 7 3 3" xfId="14636"/>
    <cellStyle name="Normal 2 2 4 7 3 3 2" xfId="14637"/>
    <cellStyle name="Normal 2 2 4 7 3 3 2 2" xfId="14638"/>
    <cellStyle name="Normal 2 2 4 7 3 3 3" xfId="14639"/>
    <cellStyle name="Normal 2 2 4 7 3 4" xfId="14640"/>
    <cellStyle name="Normal 2 2 4 7 3 4 2" xfId="14641"/>
    <cellStyle name="Normal 2 2 4 7 3 5" xfId="14642"/>
    <cellStyle name="Normal 2 2 4 7 4" xfId="3294"/>
    <cellStyle name="Normal 2 2 4 7 4 2" xfId="14643"/>
    <cellStyle name="Normal 2 2 4 7 4 2 2" xfId="14644"/>
    <cellStyle name="Normal 2 2 4 7 4 2 2 2" xfId="14645"/>
    <cellStyle name="Normal 2 2 4 7 4 2 3" xfId="14646"/>
    <cellStyle name="Normal 2 2 4 7 4 3" xfId="14647"/>
    <cellStyle name="Normal 2 2 4 7 4 3 2" xfId="14648"/>
    <cellStyle name="Normal 2 2 4 7 4 4" xfId="14649"/>
    <cellStyle name="Normal 2 2 4 7 5" xfId="14650"/>
    <cellStyle name="Normal 2 2 4 7 5 2" xfId="14651"/>
    <cellStyle name="Normal 2 2 4 7 5 2 2" xfId="14652"/>
    <cellStyle name="Normal 2 2 4 7 5 3" xfId="14653"/>
    <cellStyle name="Normal 2 2 4 7 6" xfId="14654"/>
    <cellStyle name="Normal 2 2 4 7 6 2" xfId="14655"/>
    <cellStyle name="Normal 2 2 4 7 7" xfId="14656"/>
    <cellStyle name="Normal 2 2 4 8" xfId="710"/>
    <cellStyle name="Normal 2 2 4 8 2" xfId="2070"/>
    <cellStyle name="Normal 2 2 4 8 2 2" xfId="4790"/>
    <cellStyle name="Normal 2 2 4 8 2 2 2" xfId="14657"/>
    <cellStyle name="Normal 2 2 4 8 2 2 2 2" xfId="14658"/>
    <cellStyle name="Normal 2 2 4 8 2 2 2 2 2" xfId="14659"/>
    <cellStyle name="Normal 2 2 4 8 2 2 2 3" xfId="14660"/>
    <cellStyle name="Normal 2 2 4 8 2 2 3" xfId="14661"/>
    <cellStyle name="Normal 2 2 4 8 2 2 3 2" xfId="14662"/>
    <cellStyle name="Normal 2 2 4 8 2 2 4" xfId="14663"/>
    <cellStyle name="Normal 2 2 4 8 2 3" xfId="14664"/>
    <cellStyle name="Normal 2 2 4 8 2 3 2" xfId="14665"/>
    <cellStyle name="Normal 2 2 4 8 2 3 2 2" xfId="14666"/>
    <cellStyle name="Normal 2 2 4 8 2 3 3" xfId="14667"/>
    <cellStyle name="Normal 2 2 4 8 2 4" xfId="14668"/>
    <cellStyle name="Normal 2 2 4 8 2 4 2" xfId="14669"/>
    <cellStyle name="Normal 2 2 4 8 2 5" xfId="14670"/>
    <cellStyle name="Normal 2 2 4 8 3" xfId="3430"/>
    <cellStyle name="Normal 2 2 4 8 3 2" xfId="14671"/>
    <cellStyle name="Normal 2 2 4 8 3 2 2" xfId="14672"/>
    <cellStyle name="Normal 2 2 4 8 3 2 2 2" xfId="14673"/>
    <cellStyle name="Normal 2 2 4 8 3 2 3" xfId="14674"/>
    <cellStyle name="Normal 2 2 4 8 3 3" xfId="14675"/>
    <cellStyle name="Normal 2 2 4 8 3 3 2" xfId="14676"/>
    <cellStyle name="Normal 2 2 4 8 3 4" xfId="14677"/>
    <cellStyle name="Normal 2 2 4 8 4" xfId="14678"/>
    <cellStyle name="Normal 2 2 4 8 4 2" xfId="14679"/>
    <cellStyle name="Normal 2 2 4 8 4 2 2" xfId="14680"/>
    <cellStyle name="Normal 2 2 4 8 4 3" xfId="14681"/>
    <cellStyle name="Normal 2 2 4 8 5" xfId="14682"/>
    <cellStyle name="Normal 2 2 4 8 5 2" xfId="14683"/>
    <cellStyle name="Normal 2 2 4 8 6" xfId="14684"/>
    <cellStyle name="Normal 2 2 4 9" xfId="1390"/>
    <cellStyle name="Normal 2 2 4 9 2" xfId="4110"/>
    <cellStyle name="Normal 2 2 4 9 2 2" xfId="14685"/>
    <cellStyle name="Normal 2 2 4 9 2 2 2" xfId="14686"/>
    <cellStyle name="Normal 2 2 4 9 2 2 2 2" xfId="14687"/>
    <cellStyle name="Normal 2 2 4 9 2 2 3" xfId="14688"/>
    <cellStyle name="Normal 2 2 4 9 2 3" xfId="14689"/>
    <cellStyle name="Normal 2 2 4 9 2 3 2" xfId="14690"/>
    <cellStyle name="Normal 2 2 4 9 2 4" xfId="14691"/>
    <cellStyle name="Normal 2 2 4 9 3" xfId="14692"/>
    <cellStyle name="Normal 2 2 4 9 3 2" xfId="14693"/>
    <cellStyle name="Normal 2 2 4 9 3 2 2" xfId="14694"/>
    <cellStyle name="Normal 2 2 4 9 3 3" xfId="14695"/>
    <cellStyle name="Normal 2 2 4 9 4" xfId="14696"/>
    <cellStyle name="Normal 2 2 4 9 4 2" xfId="14697"/>
    <cellStyle name="Normal 2 2 4 9 5" xfId="14698"/>
    <cellStyle name="Normal 2 2 5" xfId="34"/>
    <cellStyle name="Normal 2 2 5 10" xfId="14699"/>
    <cellStyle name="Normal 2 2 5 10 2" xfId="14700"/>
    <cellStyle name="Normal 2 2 5 10 2 2" xfId="14701"/>
    <cellStyle name="Normal 2 2 5 10 3" xfId="14702"/>
    <cellStyle name="Normal 2 2 5 11" xfId="14703"/>
    <cellStyle name="Normal 2 2 5 11 2" xfId="14704"/>
    <cellStyle name="Normal 2 2 5 12" xfId="14705"/>
    <cellStyle name="Normal 2 2 5 2" xfId="69"/>
    <cellStyle name="Normal 2 2 5 2 10" xfId="14706"/>
    <cellStyle name="Normal 2 2 5 2 10 2" xfId="14707"/>
    <cellStyle name="Normal 2 2 5 2 11" xfId="14708"/>
    <cellStyle name="Normal 2 2 5 2 2" xfId="137"/>
    <cellStyle name="Normal 2 2 5 2 2 10" xfId="14709"/>
    <cellStyle name="Normal 2 2 5 2 2 2" xfId="274"/>
    <cellStyle name="Normal 2 2 5 2 2 2 2" xfId="546"/>
    <cellStyle name="Normal 2 2 5 2 2 2 2 2" xfId="1226"/>
    <cellStyle name="Normal 2 2 5 2 2 2 2 2 2" xfId="2586"/>
    <cellStyle name="Normal 2 2 5 2 2 2 2 2 2 2" xfId="5306"/>
    <cellStyle name="Normal 2 2 5 2 2 2 2 2 2 2 2" xfId="14710"/>
    <cellStyle name="Normal 2 2 5 2 2 2 2 2 2 2 2 2" xfId="14711"/>
    <cellStyle name="Normal 2 2 5 2 2 2 2 2 2 2 2 2 2" xfId="14712"/>
    <cellStyle name="Normal 2 2 5 2 2 2 2 2 2 2 2 3" xfId="14713"/>
    <cellStyle name="Normal 2 2 5 2 2 2 2 2 2 2 3" xfId="14714"/>
    <cellStyle name="Normal 2 2 5 2 2 2 2 2 2 2 3 2" xfId="14715"/>
    <cellStyle name="Normal 2 2 5 2 2 2 2 2 2 2 4" xfId="14716"/>
    <cellStyle name="Normal 2 2 5 2 2 2 2 2 2 3" xfId="14717"/>
    <cellStyle name="Normal 2 2 5 2 2 2 2 2 2 3 2" xfId="14718"/>
    <cellStyle name="Normal 2 2 5 2 2 2 2 2 2 3 2 2" xfId="14719"/>
    <cellStyle name="Normal 2 2 5 2 2 2 2 2 2 3 3" xfId="14720"/>
    <cellStyle name="Normal 2 2 5 2 2 2 2 2 2 4" xfId="14721"/>
    <cellStyle name="Normal 2 2 5 2 2 2 2 2 2 4 2" xfId="14722"/>
    <cellStyle name="Normal 2 2 5 2 2 2 2 2 2 5" xfId="14723"/>
    <cellStyle name="Normal 2 2 5 2 2 2 2 2 3" xfId="3946"/>
    <cellStyle name="Normal 2 2 5 2 2 2 2 2 3 2" xfId="14724"/>
    <cellStyle name="Normal 2 2 5 2 2 2 2 2 3 2 2" xfId="14725"/>
    <cellStyle name="Normal 2 2 5 2 2 2 2 2 3 2 2 2" xfId="14726"/>
    <cellStyle name="Normal 2 2 5 2 2 2 2 2 3 2 3" xfId="14727"/>
    <cellStyle name="Normal 2 2 5 2 2 2 2 2 3 3" xfId="14728"/>
    <cellStyle name="Normal 2 2 5 2 2 2 2 2 3 3 2" xfId="14729"/>
    <cellStyle name="Normal 2 2 5 2 2 2 2 2 3 4" xfId="14730"/>
    <cellStyle name="Normal 2 2 5 2 2 2 2 2 4" xfId="14731"/>
    <cellStyle name="Normal 2 2 5 2 2 2 2 2 4 2" xfId="14732"/>
    <cellStyle name="Normal 2 2 5 2 2 2 2 2 4 2 2" xfId="14733"/>
    <cellStyle name="Normal 2 2 5 2 2 2 2 2 4 3" xfId="14734"/>
    <cellStyle name="Normal 2 2 5 2 2 2 2 2 5" xfId="14735"/>
    <cellStyle name="Normal 2 2 5 2 2 2 2 2 5 2" xfId="14736"/>
    <cellStyle name="Normal 2 2 5 2 2 2 2 2 6" xfId="14737"/>
    <cellStyle name="Normal 2 2 5 2 2 2 2 3" xfId="1906"/>
    <cellStyle name="Normal 2 2 5 2 2 2 2 3 2" xfId="4626"/>
    <cellStyle name="Normal 2 2 5 2 2 2 2 3 2 2" xfId="14738"/>
    <cellStyle name="Normal 2 2 5 2 2 2 2 3 2 2 2" xfId="14739"/>
    <cellStyle name="Normal 2 2 5 2 2 2 2 3 2 2 2 2" xfId="14740"/>
    <cellStyle name="Normal 2 2 5 2 2 2 2 3 2 2 3" xfId="14741"/>
    <cellStyle name="Normal 2 2 5 2 2 2 2 3 2 3" xfId="14742"/>
    <cellStyle name="Normal 2 2 5 2 2 2 2 3 2 3 2" xfId="14743"/>
    <cellStyle name="Normal 2 2 5 2 2 2 2 3 2 4" xfId="14744"/>
    <cellStyle name="Normal 2 2 5 2 2 2 2 3 3" xfId="14745"/>
    <cellStyle name="Normal 2 2 5 2 2 2 2 3 3 2" xfId="14746"/>
    <cellStyle name="Normal 2 2 5 2 2 2 2 3 3 2 2" xfId="14747"/>
    <cellStyle name="Normal 2 2 5 2 2 2 2 3 3 3" xfId="14748"/>
    <cellStyle name="Normal 2 2 5 2 2 2 2 3 4" xfId="14749"/>
    <cellStyle name="Normal 2 2 5 2 2 2 2 3 4 2" xfId="14750"/>
    <cellStyle name="Normal 2 2 5 2 2 2 2 3 5" xfId="14751"/>
    <cellStyle name="Normal 2 2 5 2 2 2 2 4" xfId="3266"/>
    <cellStyle name="Normal 2 2 5 2 2 2 2 4 2" xfId="14752"/>
    <cellStyle name="Normal 2 2 5 2 2 2 2 4 2 2" xfId="14753"/>
    <cellStyle name="Normal 2 2 5 2 2 2 2 4 2 2 2" xfId="14754"/>
    <cellStyle name="Normal 2 2 5 2 2 2 2 4 2 3" xfId="14755"/>
    <cellStyle name="Normal 2 2 5 2 2 2 2 4 3" xfId="14756"/>
    <cellStyle name="Normal 2 2 5 2 2 2 2 4 3 2" xfId="14757"/>
    <cellStyle name="Normal 2 2 5 2 2 2 2 4 4" xfId="14758"/>
    <cellStyle name="Normal 2 2 5 2 2 2 2 5" xfId="14759"/>
    <cellStyle name="Normal 2 2 5 2 2 2 2 5 2" xfId="14760"/>
    <cellStyle name="Normal 2 2 5 2 2 2 2 5 2 2" xfId="14761"/>
    <cellStyle name="Normal 2 2 5 2 2 2 2 5 3" xfId="14762"/>
    <cellStyle name="Normal 2 2 5 2 2 2 2 6" xfId="14763"/>
    <cellStyle name="Normal 2 2 5 2 2 2 2 6 2" xfId="14764"/>
    <cellStyle name="Normal 2 2 5 2 2 2 2 7" xfId="14765"/>
    <cellStyle name="Normal 2 2 5 2 2 2 3" xfId="954"/>
    <cellStyle name="Normal 2 2 5 2 2 2 3 2" xfId="2314"/>
    <cellStyle name="Normal 2 2 5 2 2 2 3 2 2" xfId="5034"/>
    <cellStyle name="Normal 2 2 5 2 2 2 3 2 2 2" xfId="14766"/>
    <cellStyle name="Normal 2 2 5 2 2 2 3 2 2 2 2" xfId="14767"/>
    <cellStyle name="Normal 2 2 5 2 2 2 3 2 2 2 2 2" xfId="14768"/>
    <cellStyle name="Normal 2 2 5 2 2 2 3 2 2 2 3" xfId="14769"/>
    <cellStyle name="Normal 2 2 5 2 2 2 3 2 2 3" xfId="14770"/>
    <cellStyle name="Normal 2 2 5 2 2 2 3 2 2 3 2" xfId="14771"/>
    <cellStyle name="Normal 2 2 5 2 2 2 3 2 2 4" xfId="14772"/>
    <cellStyle name="Normal 2 2 5 2 2 2 3 2 3" xfId="14773"/>
    <cellStyle name="Normal 2 2 5 2 2 2 3 2 3 2" xfId="14774"/>
    <cellStyle name="Normal 2 2 5 2 2 2 3 2 3 2 2" xfId="14775"/>
    <cellStyle name="Normal 2 2 5 2 2 2 3 2 3 3" xfId="14776"/>
    <cellStyle name="Normal 2 2 5 2 2 2 3 2 4" xfId="14777"/>
    <cellStyle name="Normal 2 2 5 2 2 2 3 2 4 2" xfId="14778"/>
    <cellStyle name="Normal 2 2 5 2 2 2 3 2 5" xfId="14779"/>
    <cellStyle name="Normal 2 2 5 2 2 2 3 3" xfId="3674"/>
    <cellStyle name="Normal 2 2 5 2 2 2 3 3 2" xfId="14780"/>
    <cellStyle name="Normal 2 2 5 2 2 2 3 3 2 2" xfId="14781"/>
    <cellStyle name="Normal 2 2 5 2 2 2 3 3 2 2 2" xfId="14782"/>
    <cellStyle name="Normal 2 2 5 2 2 2 3 3 2 3" xfId="14783"/>
    <cellStyle name="Normal 2 2 5 2 2 2 3 3 3" xfId="14784"/>
    <cellStyle name="Normal 2 2 5 2 2 2 3 3 3 2" xfId="14785"/>
    <cellStyle name="Normal 2 2 5 2 2 2 3 3 4" xfId="14786"/>
    <cellStyle name="Normal 2 2 5 2 2 2 3 4" xfId="14787"/>
    <cellStyle name="Normal 2 2 5 2 2 2 3 4 2" xfId="14788"/>
    <cellStyle name="Normal 2 2 5 2 2 2 3 4 2 2" xfId="14789"/>
    <cellStyle name="Normal 2 2 5 2 2 2 3 4 3" xfId="14790"/>
    <cellStyle name="Normal 2 2 5 2 2 2 3 5" xfId="14791"/>
    <cellStyle name="Normal 2 2 5 2 2 2 3 5 2" xfId="14792"/>
    <cellStyle name="Normal 2 2 5 2 2 2 3 6" xfId="14793"/>
    <cellStyle name="Normal 2 2 5 2 2 2 4" xfId="1634"/>
    <cellStyle name="Normal 2 2 5 2 2 2 4 2" xfId="4354"/>
    <cellStyle name="Normal 2 2 5 2 2 2 4 2 2" xfId="14794"/>
    <cellStyle name="Normal 2 2 5 2 2 2 4 2 2 2" xfId="14795"/>
    <cellStyle name="Normal 2 2 5 2 2 2 4 2 2 2 2" xfId="14796"/>
    <cellStyle name="Normal 2 2 5 2 2 2 4 2 2 3" xfId="14797"/>
    <cellStyle name="Normal 2 2 5 2 2 2 4 2 3" xfId="14798"/>
    <cellStyle name="Normal 2 2 5 2 2 2 4 2 3 2" xfId="14799"/>
    <cellStyle name="Normal 2 2 5 2 2 2 4 2 4" xfId="14800"/>
    <cellStyle name="Normal 2 2 5 2 2 2 4 3" xfId="14801"/>
    <cellStyle name="Normal 2 2 5 2 2 2 4 3 2" xfId="14802"/>
    <cellStyle name="Normal 2 2 5 2 2 2 4 3 2 2" xfId="14803"/>
    <cellStyle name="Normal 2 2 5 2 2 2 4 3 3" xfId="14804"/>
    <cellStyle name="Normal 2 2 5 2 2 2 4 4" xfId="14805"/>
    <cellStyle name="Normal 2 2 5 2 2 2 4 4 2" xfId="14806"/>
    <cellStyle name="Normal 2 2 5 2 2 2 4 5" xfId="14807"/>
    <cellStyle name="Normal 2 2 5 2 2 2 5" xfId="2994"/>
    <cellStyle name="Normal 2 2 5 2 2 2 5 2" xfId="14808"/>
    <cellStyle name="Normal 2 2 5 2 2 2 5 2 2" xfId="14809"/>
    <cellStyle name="Normal 2 2 5 2 2 2 5 2 2 2" xfId="14810"/>
    <cellStyle name="Normal 2 2 5 2 2 2 5 2 3" xfId="14811"/>
    <cellStyle name="Normal 2 2 5 2 2 2 5 3" xfId="14812"/>
    <cellStyle name="Normal 2 2 5 2 2 2 5 3 2" xfId="14813"/>
    <cellStyle name="Normal 2 2 5 2 2 2 5 4" xfId="14814"/>
    <cellStyle name="Normal 2 2 5 2 2 2 6" xfId="14815"/>
    <cellStyle name="Normal 2 2 5 2 2 2 6 2" xfId="14816"/>
    <cellStyle name="Normal 2 2 5 2 2 2 6 2 2" xfId="14817"/>
    <cellStyle name="Normal 2 2 5 2 2 2 6 3" xfId="14818"/>
    <cellStyle name="Normal 2 2 5 2 2 2 7" xfId="14819"/>
    <cellStyle name="Normal 2 2 5 2 2 2 7 2" xfId="14820"/>
    <cellStyle name="Normal 2 2 5 2 2 2 8" xfId="14821"/>
    <cellStyle name="Normal 2 2 5 2 2 3" xfId="410"/>
    <cellStyle name="Normal 2 2 5 2 2 3 2" xfId="1090"/>
    <cellStyle name="Normal 2 2 5 2 2 3 2 2" xfId="2450"/>
    <cellStyle name="Normal 2 2 5 2 2 3 2 2 2" xfId="5170"/>
    <cellStyle name="Normal 2 2 5 2 2 3 2 2 2 2" xfId="14822"/>
    <cellStyle name="Normal 2 2 5 2 2 3 2 2 2 2 2" xfId="14823"/>
    <cellStyle name="Normal 2 2 5 2 2 3 2 2 2 2 2 2" xfId="14824"/>
    <cellStyle name="Normal 2 2 5 2 2 3 2 2 2 2 3" xfId="14825"/>
    <cellStyle name="Normal 2 2 5 2 2 3 2 2 2 3" xfId="14826"/>
    <cellStyle name="Normal 2 2 5 2 2 3 2 2 2 3 2" xfId="14827"/>
    <cellStyle name="Normal 2 2 5 2 2 3 2 2 2 4" xfId="14828"/>
    <cellStyle name="Normal 2 2 5 2 2 3 2 2 3" xfId="14829"/>
    <cellStyle name="Normal 2 2 5 2 2 3 2 2 3 2" xfId="14830"/>
    <cellStyle name="Normal 2 2 5 2 2 3 2 2 3 2 2" xfId="14831"/>
    <cellStyle name="Normal 2 2 5 2 2 3 2 2 3 3" xfId="14832"/>
    <cellStyle name="Normal 2 2 5 2 2 3 2 2 4" xfId="14833"/>
    <cellStyle name="Normal 2 2 5 2 2 3 2 2 4 2" xfId="14834"/>
    <cellStyle name="Normal 2 2 5 2 2 3 2 2 5" xfId="14835"/>
    <cellStyle name="Normal 2 2 5 2 2 3 2 3" xfId="3810"/>
    <cellStyle name="Normal 2 2 5 2 2 3 2 3 2" xfId="14836"/>
    <cellStyle name="Normal 2 2 5 2 2 3 2 3 2 2" xfId="14837"/>
    <cellStyle name="Normal 2 2 5 2 2 3 2 3 2 2 2" xfId="14838"/>
    <cellStyle name="Normal 2 2 5 2 2 3 2 3 2 3" xfId="14839"/>
    <cellStyle name="Normal 2 2 5 2 2 3 2 3 3" xfId="14840"/>
    <cellStyle name="Normal 2 2 5 2 2 3 2 3 3 2" xfId="14841"/>
    <cellStyle name="Normal 2 2 5 2 2 3 2 3 4" xfId="14842"/>
    <cellStyle name="Normal 2 2 5 2 2 3 2 4" xfId="14843"/>
    <cellStyle name="Normal 2 2 5 2 2 3 2 4 2" xfId="14844"/>
    <cellStyle name="Normal 2 2 5 2 2 3 2 4 2 2" xfId="14845"/>
    <cellStyle name="Normal 2 2 5 2 2 3 2 4 3" xfId="14846"/>
    <cellStyle name="Normal 2 2 5 2 2 3 2 5" xfId="14847"/>
    <cellStyle name="Normal 2 2 5 2 2 3 2 5 2" xfId="14848"/>
    <cellStyle name="Normal 2 2 5 2 2 3 2 6" xfId="14849"/>
    <cellStyle name="Normal 2 2 5 2 2 3 3" xfId="1770"/>
    <cellStyle name="Normal 2 2 5 2 2 3 3 2" xfId="4490"/>
    <cellStyle name="Normal 2 2 5 2 2 3 3 2 2" xfId="14850"/>
    <cellStyle name="Normal 2 2 5 2 2 3 3 2 2 2" xfId="14851"/>
    <cellStyle name="Normal 2 2 5 2 2 3 3 2 2 2 2" xfId="14852"/>
    <cellStyle name="Normal 2 2 5 2 2 3 3 2 2 3" xfId="14853"/>
    <cellStyle name="Normal 2 2 5 2 2 3 3 2 3" xfId="14854"/>
    <cellStyle name="Normal 2 2 5 2 2 3 3 2 3 2" xfId="14855"/>
    <cellStyle name="Normal 2 2 5 2 2 3 3 2 4" xfId="14856"/>
    <cellStyle name="Normal 2 2 5 2 2 3 3 3" xfId="14857"/>
    <cellStyle name="Normal 2 2 5 2 2 3 3 3 2" xfId="14858"/>
    <cellStyle name="Normal 2 2 5 2 2 3 3 3 2 2" xfId="14859"/>
    <cellStyle name="Normal 2 2 5 2 2 3 3 3 3" xfId="14860"/>
    <cellStyle name="Normal 2 2 5 2 2 3 3 4" xfId="14861"/>
    <cellStyle name="Normal 2 2 5 2 2 3 3 4 2" xfId="14862"/>
    <cellStyle name="Normal 2 2 5 2 2 3 3 5" xfId="14863"/>
    <cellStyle name="Normal 2 2 5 2 2 3 4" xfId="3130"/>
    <cellStyle name="Normal 2 2 5 2 2 3 4 2" xfId="14864"/>
    <cellStyle name="Normal 2 2 5 2 2 3 4 2 2" xfId="14865"/>
    <cellStyle name="Normal 2 2 5 2 2 3 4 2 2 2" xfId="14866"/>
    <cellStyle name="Normal 2 2 5 2 2 3 4 2 3" xfId="14867"/>
    <cellStyle name="Normal 2 2 5 2 2 3 4 3" xfId="14868"/>
    <cellStyle name="Normal 2 2 5 2 2 3 4 3 2" xfId="14869"/>
    <cellStyle name="Normal 2 2 5 2 2 3 4 4" xfId="14870"/>
    <cellStyle name="Normal 2 2 5 2 2 3 5" xfId="14871"/>
    <cellStyle name="Normal 2 2 5 2 2 3 5 2" xfId="14872"/>
    <cellStyle name="Normal 2 2 5 2 2 3 5 2 2" xfId="14873"/>
    <cellStyle name="Normal 2 2 5 2 2 3 5 3" xfId="14874"/>
    <cellStyle name="Normal 2 2 5 2 2 3 6" xfId="14875"/>
    <cellStyle name="Normal 2 2 5 2 2 3 6 2" xfId="14876"/>
    <cellStyle name="Normal 2 2 5 2 2 3 7" xfId="14877"/>
    <cellStyle name="Normal 2 2 5 2 2 4" xfId="682"/>
    <cellStyle name="Normal 2 2 5 2 2 4 2" xfId="1362"/>
    <cellStyle name="Normal 2 2 5 2 2 4 2 2" xfId="2722"/>
    <cellStyle name="Normal 2 2 5 2 2 4 2 2 2" xfId="5442"/>
    <cellStyle name="Normal 2 2 5 2 2 4 2 2 2 2" xfId="14878"/>
    <cellStyle name="Normal 2 2 5 2 2 4 2 2 2 2 2" xfId="14879"/>
    <cellStyle name="Normal 2 2 5 2 2 4 2 2 2 2 2 2" xfId="14880"/>
    <cellStyle name="Normal 2 2 5 2 2 4 2 2 2 2 3" xfId="14881"/>
    <cellStyle name="Normal 2 2 5 2 2 4 2 2 2 3" xfId="14882"/>
    <cellStyle name="Normal 2 2 5 2 2 4 2 2 2 3 2" xfId="14883"/>
    <cellStyle name="Normal 2 2 5 2 2 4 2 2 2 4" xfId="14884"/>
    <cellStyle name="Normal 2 2 5 2 2 4 2 2 3" xfId="14885"/>
    <cellStyle name="Normal 2 2 5 2 2 4 2 2 3 2" xfId="14886"/>
    <cellStyle name="Normal 2 2 5 2 2 4 2 2 3 2 2" xfId="14887"/>
    <cellStyle name="Normal 2 2 5 2 2 4 2 2 3 3" xfId="14888"/>
    <cellStyle name="Normal 2 2 5 2 2 4 2 2 4" xfId="14889"/>
    <cellStyle name="Normal 2 2 5 2 2 4 2 2 4 2" xfId="14890"/>
    <cellStyle name="Normal 2 2 5 2 2 4 2 2 5" xfId="14891"/>
    <cellStyle name="Normal 2 2 5 2 2 4 2 3" xfId="4082"/>
    <cellStyle name="Normal 2 2 5 2 2 4 2 3 2" xfId="14892"/>
    <cellStyle name="Normal 2 2 5 2 2 4 2 3 2 2" xfId="14893"/>
    <cellStyle name="Normal 2 2 5 2 2 4 2 3 2 2 2" xfId="14894"/>
    <cellStyle name="Normal 2 2 5 2 2 4 2 3 2 3" xfId="14895"/>
    <cellStyle name="Normal 2 2 5 2 2 4 2 3 3" xfId="14896"/>
    <cellStyle name="Normal 2 2 5 2 2 4 2 3 3 2" xfId="14897"/>
    <cellStyle name="Normal 2 2 5 2 2 4 2 3 4" xfId="14898"/>
    <cellStyle name="Normal 2 2 5 2 2 4 2 4" xfId="14899"/>
    <cellStyle name="Normal 2 2 5 2 2 4 2 4 2" xfId="14900"/>
    <cellStyle name="Normal 2 2 5 2 2 4 2 4 2 2" xfId="14901"/>
    <cellStyle name="Normal 2 2 5 2 2 4 2 4 3" xfId="14902"/>
    <cellStyle name="Normal 2 2 5 2 2 4 2 5" xfId="14903"/>
    <cellStyle name="Normal 2 2 5 2 2 4 2 5 2" xfId="14904"/>
    <cellStyle name="Normal 2 2 5 2 2 4 2 6" xfId="14905"/>
    <cellStyle name="Normal 2 2 5 2 2 4 3" xfId="2042"/>
    <cellStyle name="Normal 2 2 5 2 2 4 3 2" xfId="4762"/>
    <cellStyle name="Normal 2 2 5 2 2 4 3 2 2" xfId="14906"/>
    <cellStyle name="Normal 2 2 5 2 2 4 3 2 2 2" xfId="14907"/>
    <cellStyle name="Normal 2 2 5 2 2 4 3 2 2 2 2" xfId="14908"/>
    <cellStyle name="Normal 2 2 5 2 2 4 3 2 2 3" xfId="14909"/>
    <cellStyle name="Normal 2 2 5 2 2 4 3 2 3" xfId="14910"/>
    <cellStyle name="Normal 2 2 5 2 2 4 3 2 3 2" xfId="14911"/>
    <cellStyle name="Normal 2 2 5 2 2 4 3 2 4" xfId="14912"/>
    <cellStyle name="Normal 2 2 5 2 2 4 3 3" xfId="14913"/>
    <cellStyle name="Normal 2 2 5 2 2 4 3 3 2" xfId="14914"/>
    <cellStyle name="Normal 2 2 5 2 2 4 3 3 2 2" xfId="14915"/>
    <cellStyle name="Normal 2 2 5 2 2 4 3 3 3" xfId="14916"/>
    <cellStyle name="Normal 2 2 5 2 2 4 3 4" xfId="14917"/>
    <cellStyle name="Normal 2 2 5 2 2 4 3 4 2" xfId="14918"/>
    <cellStyle name="Normal 2 2 5 2 2 4 3 5" xfId="14919"/>
    <cellStyle name="Normal 2 2 5 2 2 4 4" xfId="3402"/>
    <cellStyle name="Normal 2 2 5 2 2 4 4 2" xfId="14920"/>
    <cellStyle name="Normal 2 2 5 2 2 4 4 2 2" xfId="14921"/>
    <cellStyle name="Normal 2 2 5 2 2 4 4 2 2 2" xfId="14922"/>
    <cellStyle name="Normal 2 2 5 2 2 4 4 2 3" xfId="14923"/>
    <cellStyle name="Normal 2 2 5 2 2 4 4 3" xfId="14924"/>
    <cellStyle name="Normal 2 2 5 2 2 4 4 3 2" xfId="14925"/>
    <cellStyle name="Normal 2 2 5 2 2 4 4 4" xfId="14926"/>
    <cellStyle name="Normal 2 2 5 2 2 4 5" xfId="14927"/>
    <cellStyle name="Normal 2 2 5 2 2 4 5 2" xfId="14928"/>
    <cellStyle name="Normal 2 2 5 2 2 4 5 2 2" xfId="14929"/>
    <cellStyle name="Normal 2 2 5 2 2 4 5 3" xfId="14930"/>
    <cellStyle name="Normal 2 2 5 2 2 4 6" xfId="14931"/>
    <cellStyle name="Normal 2 2 5 2 2 4 6 2" xfId="14932"/>
    <cellStyle name="Normal 2 2 5 2 2 4 7" xfId="14933"/>
    <cellStyle name="Normal 2 2 5 2 2 5" xfId="818"/>
    <cellStyle name="Normal 2 2 5 2 2 5 2" xfId="2178"/>
    <cellStyle name="Normal 2 2 5 2 2 5 2 2" xfId="4898"/>
    <cellStyle name="Normal 2 2 5 2 2 5 2 2 2" xfId="14934"/>
    <cellStyle name="Normal 2 2 5 2 2 5 2 2 2 2" xfId="14935"/>
    <cellStyle name="Normal 2 2 5 2 2 5 2 2 2 2 2" xfId="14936"/>
    <cellStyle name="Normal 2 2 5 2 2 5 2 2 2 3" xfId="14937"/>
    <cellStyle name="Normal 2 2 5 2 2 5 2 2 3" xfId="14938"/>
    <cellStyle name="Normal 2 2 5 2 2 5 2 2 3 2" xfId="14939"/>
    <cellStyle name="Normal 2 2 5 2 2 5 2 2 4" xfId="14940"/>
    <cellStyle name="Normal 2 2 5 2 2 5 2 3" xfId="14941"/>
    <cellStyle name="Normal 2 2 5 2 2 5 2 3 2" xfId="14942"/>
    <cellStyle name="Normal 2 2 5 2 2 5 2 3 2 2" xfId="14943"/>
    <cellStyle name="Normal 2 2 5 2 2 5 2 3 3" xfId="14944"/>
    <cellStyle name="Normal 2 2 5 2 2 5 2 4" xfId="14945"/>
    <cellStyle name="Normal 2 2 5 2 2 5 2 4 2" xfId="14946"/>
    <cellStyle name="Normal 2 2 5 2 2 5 2 5" xfId="14947"/>
    <cellStyle name="Normal 2 2 5 2 2 5 3" xfId="3538"/>
    <cellStyle name="Normal 2 2 5 2 2 5 3 2" xfId="14948"/>
    <cellStyle name="Normal 2 2 5 2 2 5 3 2 2" xfId="14949"/>
    <cellStyle name="Normal 2 2 5 2 2 5 3 2 2 2" xfId="14950"/>
    <cellStyle name="Normal 2 2 5 2 2 5 3 2 3" xfId="14951"/>
    <cellStyle name="Normal 2 2 5 2 2 5 3 3" xfId="14952"/>
    <cellStyle name="Normal 2 2 5 2 2 5 3 3 2" xfId="14953"/>
    <cellStyle name="Normal 2 2 5 2 2 5 3 4" xfId="14954"/>
    <cellStyle name="Normal 2 2 5 2 2 5 4" xfId="14955"/>
    <cellStyle name="Normal 2 2 5 2 2 5 4 2" xfId="14956"/>
    <cellStyle name="Normal 2 2 5 2 2 5 4 2 2" xfId="14957"/>
    <cellStyle name="Normal 2 2 5 2 2 5 4 3" xfId="14958"/>
    <cellStyle name="Normal 2 2 5 2 2 5 5" xfId="14959"/>
    <cellStyle name="Normal 2 2 5 2 2 5 5 2" xfId="14960"/>
    <cellStyle name="Normal 2 2 5 2 2 5 6" xfId="14961"/>
    <cellStyle name="Normal 2 2 5 2 2 6" xfId="1498"/>
    <cellStyle name="Normal 2 2 5 2 2 6 2" xfId="4218"/>
    <cellStyle name="Normal 2 2 5 2 2 6 2 2" xfId="14962"/>
    <cellStyle name="Normal 2 2 5 2 2 6 2 2 2" xfId="14963"/>
    <cellStyle name="Normal 2 2 5 2 2 6 2 2 2 2" xfId="14964"/>
    <cellStyle name="Normal 2 2 5 2 2 6 2 2 3" xfId="14965"/>
    <cellStyle name="Normal 2 2 5 2 2 6 2 3" xfId="14966"/>
    <cellStyle name="Normal 2 2 5 2 2 6 2 3 2" xfId="14967"/>
    <cellStyle name="Normal 2 2 5 2 2 6 2 4" xfId="14968"/>
    <cellStyle name="Normal 2 2 5 2 2 6 3" xfId="14969"/>
    <cellStyle name="Normal 2 2 5 2 2 6 3 2" xfId="14970"/>
    <cellStyle name="Normal 2 2 5 2 2 6 3 2 2" xfId="14971"/>
    <cellStyle name="Normal 2 2 5 2 2 6 3 3" xfId="14972"/>
    <cellStyle name="Normal 2 2 5 2 2 6 4" xfId="14973"/>
    <cellStyle name="Normal 2 2 5 2 2 6 4 2" xfId="14974"/>
    <cellStyle name="Normal 2 2 5 2 2 6 5" xfId="14975"/>
    <cellStyle name="Normal 2 2 5 2 2 7" xfId="2858"/>
    <cellStyle name="Normal 2 2 5 2 2 7 2" xfId="14976"/>
    <cellStyle name="Normal 2 2 5 2 2 7 2 2" xfId="14977"/>
    <cellStyle name="Normal 2 2 5 2 2 7 2 2 2" xfId="14978"/>
    <cellStyle name="Normal 2 2 5 2 2 7 2 3" xfId="14979"/>
    <cellStyle name="Normal 2 2 5 2 2 7 3" xfId="14980"/>
    <cellStyle name="Normal 2 2 5 2 2 7 3 2" xfId="14981"/>
    <cellStyle name="Normal 2 2 5 2 2 7 4" xfId="14982"/>
    <cellStyle name="Normal 2 2 5 2 2 8" xfId="14983"/>
    <cellStyle name="Normal 2 2 5 2 2 8 2" xfId="14984"/>
    <cellStyle name="Normal 2 2 5 2 2 8 2 2" xfId="14985"/>
    <cellStyle name="Normal 2 2 5 2 2 8 3" xfId="14986"/>
    <cellStyle name="Normal 2 2 5 2 2 9" xfId="14987"/>
    <cellStyle name="Normal 2 2 5 2 2 9 2" xfId="14988"/>
    <cellStyle name="Normal 2 2 5 2 3" xfId="206"/>
    <cellStyle name="Normal 2 2 5 2 3 2" xfId="478"/>
    <cellStyle name="Normal 2 2 5 2 3 2 2" xfId="1158"/>
    <cellStyle name="Normal 2 2 5 2 3 2 2 2" xfId="2518"/>
    <cellStyle name="Normal 2 2 5 2 3 2 2 2 2" xfId="5238"/>
    <cellStyle name="Normal 2 2 5 2 3 2 2 2 2 2" xfId="14989"/>
    <cellStyle name="Normal 2 2 5 2 3 2 2 2 2 2 2" xfId="14990"/>
    <cellStyle name="Normal 2 2 5 2 3 2 2 2 2 2 2 2" xfId="14991"/>
    <cellStyle name="Normal 2 2 5 2 3 2 2 2 2 2 3" xfId="14992"/>
    <cellStyle name="Normal 2 2 5 2 3 2 2 2 2 3" xfId="14993"/>
    <cellStyle name="Normal 2 2 5 2 3 2 2 2 2 3 2" xfId="14994"/>
    <cellStyle name="Normal 2 2 5 2 3 2 2 2 2 4" xfId="14995"/>
    <cellStyle name="Normal 2 2 5 2 3 2 2 2 3" xfId="14996"/>
    <cellStyle name="Normal 2 2 5 2 3 2 2 2 3 2" xfId="14997"/>
    <cellStyle name="Normal 2 2 5 2 3 2 2 2 3 2 2" xfId="14998"/>
    <cellStyle name="Normal 2 2 5 2 3 2 2 2 3 3" xfId="14999"/>
    <cellStyle name="Normal 2 2 5 2 3 2 2 2 4" xfId="15000"/>
    <cellStyle name="Normal 2 2 5 2 3 2 2 2 4 2" xfId="15001"/>
    <cellStyle name="Normal 2 2 5 2 3 2 2 2 5" xfId="15002"/>
    <cellStyle name="Normal 2 2 5 2 3 2 2 3" xfId="3878"/>
    <cellStyle name="Normal 2 2 5 2 3 2 2 3 2" xfId="15003"/>
    <cellStyle name="Normal 2 2 5 2 3 2 2 3 2 2" xfId="15004"/>
    <cellStyle name="Normal 2 2 5 2 3 2 2 3 2 2 2" xfId="15005"/>
    <cellStyle name="Normal 2 2 5 2 3 2 2 3 2 3" xfId="15006"/>
    <cellStyle name="Normal 2 2 5 2 3 2 2 3 3" xfId="15007"/>
    <cellStyle name="Normal 2 2 5 2 3 2 2 3 3 2" xfId="15008"/>
    <cellStyle name="Normal 2 2 5 2 3 2 2 3 4" xfId="15009"/>
    <cellStyle name="Normal 2 2 5 2 3 2 2 4" xfId="15010"/>
    <cellStyle name="Normal 2 2 5 2 3 2 2 4 2" xfId="15011"/>
    <cellStyle name="Normal 2 2 5 2 3 2 2 4 2 2" xfId="15012"/>
    <cellStyle name="Normal 2 2 5 2 3 2 2 4 3" xfId="15013"/>
    <cellStyle name="Normal 2 2 5 2 3 2 2 5" xfId="15014"/>
    <cellStyle name="Normal 2 2 5 2 3 2 2 5 2" xfId="15015"/>
    <cellStyle name="Normal 2 2 5 2 3 2 2 6" xfId="15016"/>
    <cellStyle name="Normal 2 2 5 2 3 2 3" xfId="1838"/>
    <cellStyle name="Normal 2 2 5 2 3 2 3 2" xfId="4558"/>
    <cellStyle name="Normal 2 2 5 2 3 2 3 2 2" xfId="15017"/>
    <cellStyle name="Normal 2 2 5 2 3 2 3 2 2 2" xfId="15018"/>
    <cellStyle name="Normal 2 2 5 2 3 2 3 2 2 2 2" xfId="15019"/>
    <cellStyle name="Normal 2 2 5 2 3 2 3 2 2 3" xfId="15020"/>
    <cellStyle name="Normal 2 2 5 2 3 2 3 2 3" xfId="15021"/>
    <cellStyle name="Normal 2 2 5 2 3 2 3 2 3 2" xfId="15022"/>
    <cellStyle name="Normal 2 2 5 2 3 2 3 2 4" xfId="15023"/>
    <cellStyle name="Normal 2 2 5 2 3 2 3 3" xfId="15024"/>
    <cellStyle name="Normal 2 2 5 2 3 2 3 3 2" xfId="15025"/>
    <cellStyle name="Normal 2 2 5 2 3 2 3 3 2 2" xfId="15026"/>
    <cellStyle name="Normal 2 2 5 2 3 2 3 3 3" xfId="15027"/>
    <cellStyle name="Normal 2 2 5 2 3 2 3 4" xfId="15028"/>
    <cellStyle name="Normal 2 2 5 2 3 2 3 4 2" xfId="15029"/>
    <cellStyle name="Normal 2 2 5 2 3 2 3 5" xfId="15030"/>
    <cellStyle name="Normal 2 2 5 2 3 2 4" xfId="3198"/>
    <cellStyle name="Normal 2 2 5 2 3 2 4 2" xfId="15031"/>
    <cellStyle name="Normal 2 2 5 2 3 2 4 2 2" xfId="15032"/>
    <cellStyle name="Normal 2 2 5 2 3 2 4 2 2 2" xfId="15033"/>
    <cellStyle name="Normal 2 2 5 2 3 2 4 2 3" xfId="15034"/>
    <cellStyle name="Normal 2 2 5 2 3 2 4 3" xfId="15035"/>
    <cellStyle name="Normal 2 2 5 2 3 2 4 3 2" xfId="15036"/>
    <cellStyle name="Normal 2 2 5 2 3 2 4 4" xfId="15037"/>
    <cellStyle name="Normal 2 2 5 2 3 2 5" xfId="15038"/>
    <cellStyle name="Normal 2 2 5 2 3 2 5 2" xfId="15039"/>
    <cellStyle name="Normal 2 2 5 2 3 2 5 2 2" xfId="15040"/>
    <cellStyle name="Normal 2 2 5 2 3 2 5 3" xfId="15041"/>
    <cellStyle name="Normal 2 2 5 2 3 2 6" xfId="15042"/>
    <cellStyle name="Normal 2 2 5 2 3 2 6 2" xfId="15043"/>
    <cellStyle name="Normal 2 2 5 2 3 2 7" xfId="15044"/>
    <cellStyle name="Normal 2 2 5 2 3 3" xfId="886"/>
    <cellStyle name="Normal 2 2 5 2 3 3 2" xfId="2246"/>
    <cellStyle name="Normal 2 2 5 2 3 3 2 2" xfId="4966"/>
    <cellStyle name="Normal 2 2 5 2 3 3 2 2 2" xfId="15045"/>
    <cellStyle name="Normal 2 2 5 2 3 3 2 2 2 2" xfId="15046"/>
    <cellStyle name="Normal 2 2 5 2 3 3 2 2 2 2 2" xfId="15047"/>
    <cellStyle name="Normal 2 2 5 2 3 3 2 2 2 3" xfId="15048"/>
    <cellStyle name="Normal 2 2 5 2 3 3 2 2 3" xfId="15049"/>
    <cellStyle name="Normal 2 2 5 2 3 3 2 2 3 2" xfId="15050"/>
    <cellStyle name="Normal 2 2 5 2 3 3 2 2 4" xfId="15051"/>
    <cellStyle name="Normal 2 2 5 2 3 3 2 3" xfId="15052"/>
    <cellStyle name="Normal 2 2 5 2 3 3 2 3 2" xfId="15053"/>
    <cellStyle name="Normal 2 2 5 2 3 3 2 3 2 2" xfId="15054"/>
    <cellStyle name="Normal 2 2 5 2 3 3 2 3 3" xfId="15055"/>
    <cellStyle name="Normal 2 2 5 2 3 3 2 4" xfId="15056"/>
    <cellStyle name="Normal 2 2 5 2 3 3 2 4 2" xfId="15057"/>
    <cellStyle name="Normal 2 2 5 2 3 3 2 5" xfId="15058"/>
    <cellStyle name="Normal 2 2 5 2 3 3 3" xfId="3606"/>
    <cellStyle name="Normal 2 2 5 2 3 3 3 2" xfId="15059"/>
    <cellStyle name="Normal 2 2 5 2 3 3 3 2 2" xfId="15060"/>
    <cellStyle name="Normal 2 2 5 2 3 3 3 2 2 2" xfId="15061"/>
    <cellStyle name="Normal 2 2 5 2 3 3 3 2 3" xfId="15062"/>
    <cellStyle name="Normal 2 2 5 2 3 3 3 3" xfId="15063"/>
    <cellStyle name="Normal 2 2 5 2 3 3 3 3 2" xfId="15064"/>
    <cellStyle name="Normal 2 2 5 2 3 3 3 4" xfId="15065"/>
    <cellStyle name="Normal 2 2 5 2 3 3 4" xfId="15066"/>
    <cellStyle name="Normal 2 2 5 2 3 3 4 2" xfId="15067"/>
    <cellStyle name="Normal 2 2 5 2 3 3 4 2 2" xfId="15068"/>
    <cellStyle name="Normal 2 2 5 2 3 3 4 3" xfId="15069"/>
    <cellStyle name="Normal 2 2 5 2 3 3 5" xfId="15070"/>
    <cellStyle name="Normal 2 2 5 2 3 3 5 2" xfId="15071"/>
    <cellStyle name="Normal 2 2 5 2 3 3 6" xfId="15072"/>
    <cellStyle name="Normal 2 2 5 2 3 4" xfId="1566"/>
    <cellStyle name="Normal 2 2 5 2 3 4 2" xfId="4286"/>
    <cellStyle name="Normal 2 2 5 2 3 4 2 2" xfId="15073"/>
    <cellStyle name="Normal 2 2 5 2 3 4 2 2 2" xfId="15074"/>
    <cellStyle name="Normal 2 2 5 2 3 4 2 2 2 2" xfId="15075"/>
    <cellStyle name="Normal 2 2 5 2 3 4 2 2 3" xfId="15076"/>
    <cellStyle name="Normal 2 2 5 2 3 4 2 3" xfId="15077"/>
    <cellStyle name="Normal 2 2 5 2 3 4 2 3 2" xfId="15078"/>
    <cellStyle name="Normal 2 2 5 2 3 4 2 4" xfId="15079"/>
    <cellStyle name="Normal 2 2 5 2 3 4 3" xfId="15080"/>
    <cellStyle name="Normal 2 2 5 2 3 4 3 2" xfId="15081"/>
    <cellStyle name="Normal 2 2 5 2 3 4 3 2 2" xfId="15082"/>
    <cellStyle name="Normal 2 2 5 2 3 4 3 3" xfId="15083"/>
    <cellStyle name="Normal 2 2 5 2 3 4 4" xfId="15084"/>
    <cellStyle name="Normal 2 2 5 2 3 4 4 2" xfId="15085"/>
    <cellStyle name="Normal 2 2 5 2 3 4 5" xfId="15086"/>
    <cellStyle name="Normal 2 2 5 2 3 5" xfId="2926"/>
    <cellStyle name="Normal 2 2 5 2 3 5 2" xfId="15087"/>
    <cellStyle name="Normal 2 2 5 2 3 5 2 2" xfId="15088"/>
    <cellStyle name="Normal 2 2 5 2 3 5 2 2 2" xfId="15089"/>
    <cellStyle name="Normal 2 2 5 2 3 5 2 3" xfId="15090"/>
    <cellStyle name="Normal 2 2 5 2 3 5 3" xfId="15091"/>
    <cellStyle name="Normal 2 2 5 2 3 5 3 2" xfId="15092"/>
    <cellStyle name="Normal 2 2 5 2 3 5 4" xfId="15093"/>
    <cellStyle name="Normal 2 2 5 2 3 6" xfId="15094"/>
    <cellStyle name="Normal 2 2 5 2 3 6 2" xfId="15095"/>
    <cellStyle name="Normal 2 2 5 2 3 6 2 2" xfId="15096"/>
    <cellStyle name="Normal 2 2 5 2 3 6 3" xfId="15097"/>
    <cellStyle name="Normal 2 2 5 2 3 7" xfId="15098"/>
    <cellStyle name="Normal 2 2 5 2 3 7 2" xfId="15099"/>
    <cellStyle name="Normal 2 2 5 2 3 8" xfId="15100"/>
    <cellStyle name="Normal 2 2 5 2 4" xfId="342"/>
    <cellStyle name="Normal 2 2 5 2 4 2" xfId="1022"/>
    <cellStyle name="Normal 2 2 5 2 4 2 2" xfId="2382"/>
    <cellStyle name="Normal 2 2 5 2 4 2 2 2" xfId="5102"/>
    <cellStyle name="Normal 2 2 5 2 4 2 2 2 2" xfId="15101"/>
    <cellStyle name="Normal 2 2 5 2 4 2 2 2 2 2" xfId="15102"/>
    <cellStyle name="Normal 2 2 5 2 4 2 2 2 2 2 2" xfId="15103"/>
    <cellStyle name="Normal 2 2 5 2 4 2 2 2 2 3" xfId="15104"/>
    <cellStyle name="Normal 2 2 5 2 4 2 2 2 3" xfId="15105"/>
    <cellStyle name="Normal 2 2 5 2 4 2 2 2 3 2" xfId="15106"/>
    <cellStyle name="Normal 2 2 5 2 4 2 2 2 4" xfId="15107"/>
    <cellStyle name="Normal 2 2 5 2 4 2 2 3" xfId="15108"/>
    <cellStyle name="Normal 2 2 5 2 4 2 2 3 2" xfId="15109"/>
    <cellStyle name="Normal 2 2 5 2 4 2 2 3 2 2" xfId="15110"/>
    <cellStyle name="Normal 2 2 5 2 4 2 2 3 3" xfId="15111"/>
    <cellStyle name="Normal 2 2 5 2 4 2 2 4" xfId="15112"/>
    <cellStyle name="Normal 2 2 5 2 4 2 2 4 2" xfId="15113"/>
    <cellStyle name="Normal 2 2 5 2 4 2 2 5" xfId="15114"/>
    <cellStyle name="Normal 2 2 5 2 4 2 3" xfId="3742"/>
    <cellStyle name="Normal 2 2 5 2 4 2 3 2" xfId="15115"/>
    <cellStyle name="Normal 2 2 5 2 4 2 3 2 2" xfId="15116"/>
    <cellStyle name="Normal 2 2 5 2 4 2 3 2 2 2" xfId="15117"/>
    <cellStyle name="Normal 2 2 5 2 4 2 3 2 3" xfId="15118"/>
    <cellStyle name="Normal 2 2 5 2 4 2 3 3" xfId="15119"/>
    <cellStyle name="Normal 2 2 5 2 4 2 3 3 2" xfId="15120"/>
    <cellStyle name="Normal 2 2 5 2 4 2 3 4" xfId="15121"/>
    <cellStyle name="Normal 2 2 5 2 4 2 4" xfId="15122"/>
    <cellStyle name="Normal 2 2 5 2 4 2 4 2" xfId="15123"/>
    <cellStyle name="Normal 2 2 5 2 4 2 4 2 2" xfId="15124"/>
    <cellStyle name="Normal 2 2 5 2 4 2 4 3" xfId="15125"/>
    <cellStyle name="Normal 2 2 5 2 4 2 5" xfId="15126"/>
    <cellStyle name="Normal 2 2 5 2 4 2 5 2" xfId="15127"/>
    <cellStyle name="Normal 2 2 5 2 4 2 6" xfId="15128"/>
    <cellStyle name="Normal 2 2 5 2 4 3" xfId="1702"/>
    <cellStyle name="Normal 2 2 5 2 4 3 2" xfId="4422"/>
    <cellStyle name="Normal 2 2 5 2 4 3 2 2" xfId="15129"/>
    <cellStyle name="Normal 2 2 5 2 4 3 2 2 2" xfId="15130"/>
    <cellStyle name="Normal 2 2 5 2 4 3 2 2 2 2" xfId="15131"/>
    <cellStyle name="Normal 2 2 5 2 4 3 2 2 3" xfId="15132"/>
    <cellStyle name="Normal 2 2 5 2 4 3 2 3" xfId="15133"/>
    <cellStyle name="Normal 2 2 5 2 4 3 2 3 2" xfId="15134"/>
    <cellStyle name="Normal 2 2 5 2 4 3 2 4" xfId="15135"/>
    <cellStyle name="Normal 2 2 5 2 4 3 3" xfId="15136"/>
    <cellStyle name="Normal 2 2 5 2 4 3 3 2" xfId="15137"/>
    <cellStyle name="Normal 2 2 5 2 4 3 3 2 2" xfId="15138"/>
    <cellStyle name="Normal 2 2 5 2 4 3 3 3" xfId="15139"/>
    <cellStyle name="Normal 2 2 5 2 4 3 4" xfId="15140"/>
    <cellStyle name="Normal 2 2 5 2 4 3 4 2" xfId="15141"/>
    <cellStyle name="Normal 2 2 5 2 4 3 5" xfId="15142"/>
    <cellStyle name="Normal 2 2 5 2 4 4" xfId="3062"/>
    <cellStyle name="Normal 2 2 5 2 4 4 2" xfId="15143"/>
    <cellStyle name="Normal 2 2 5 2 4 4 2 2" xfId="15144"/>
    <cellStyle name="Normal 2 2 5 2 4 4 2 2 2" xfId="15145"/>
    <cellStyle name="Normal 2 2 5 2 4 4 2 3" xfId="15146"/>
    <cellStyle name="Normal 2 2 5 2 4 4 3" xfId="15147"/>
    <cellStyle name="Normal 2 2 5 2 4 4 3 2" xfId="15148"/>
    <cellStyle name="Normal 2 2 5 2 4 4 4" xfId="15149"/>
    <cellStyle name="Normal 2 2 5 2 4 5" xfId="15150"/>
    <cellStyle name="Normal 2 2 5 2 4 5 2" xfId="15151"/>
    <cellStyle name="Normal 2 2 5 2 4 5 2 2" xfId="15152"/>
    <cellStyle name="Normal 2 2 5 2 4 5 3" xfId="15153"/>
    <cellStyle name="Normal 2 2 5 2 4 6" xfId="15154"/>
    <cellStyle name="Normal 2 2 5 2 4 6 2" xfId="15155"/>
    <cellStyle name="Normal 2 2 5 2 4 7" xfId="15156"/>
    <cellStyle name="Normal 2 2 5 2 5" xfId="614"/>
    <cellStyle name="Normal 2 2 5 2 5 2" xfId="1294"/>
    <cellStyle name="Normal 2 2 5 2 5 2 2" xfId="2654"/>
    <cellStyle name="Normal 2 2 5 2 5 2 2 2" xfId="5374"/>
    <cellStyle name="Normal 2 2 5 2 5 2 2 2 2" xfId="15157"/>
    <cellStyle name="Normal 2 2 5 2 5 2 2 2 2 2" xfId="15158"/>
    <cellStyle name="Normal 2 2 5 2 5 2 2 2 2 2 2" xfId="15159"/>
    <cellStyle name="Normal 2 2 5 2 5 2 2 2 2 3" xfId="15160"/>
    <cellStyle name="Normal 2 2 5 2 5 2 2 2 3" xfId="15161"/>
    <cellStyle name="Normal 2 2 5 2 5 2 2 2 3 2" xfId="15162"/>
    <cellStyle name="Normal 2 2 5 2 5 2 2 2 4" xfId="15163"/>
    <cellStyle name="Normal 2 2 5 2 5 2 2 3" xfId="15164"/>
    <cellStyle name="Normal 2 2 5 2 5 2 2 3 2" xfId="15165"/>
    <cellStyle name="Normal 2 2 5 2 5 2 2 3 2 2" xfId="15166"/>
    <cellStyle name="Normal 2 2 5 2 5 2 2 3 3" xfId="15167"/>
    <cellStyle name="Normal 2 2 5 2 5 2 2 4" xfId="15168"/>
    <cellStyle name="Normal 2 2 5 2 5 2 2 4 2" xfId="15169"/>
    <cellStyle name="Normal 2 2 5 2 5 2 2 5" xfId="15170"/>
    <cellStyle name="Normal 2 2 5 2 5 2 3" xfId="4014"/>
    <cellStyle name="Normal 2 2 5 2 5 2 3 2" xfId="15171"/>
    <cellStyle name="Normal 2 2 5 2 5 2 3 2 2" xfId="15172"/>
    <cellStyle name="Normal 2 2 5 2 5 2 3 2 2 2" xfId="15173"/>
    <cellStyle name="Normal 2 2 5 2 5 2 3 2 3" xfId="15174"/>
    <cellStyle name="Normal 2 2 5 2 5 2 3 3" xfId="15175"/>
    <cellStyle name="Normal 2 2 5 2 5 2 3 3 2" xfId="15176"/>
    <cellStyle name="Normal 2 2 5 2 5 2 3 4" xfId="15177"/>
    <cellStyle name="Normal 2 2 5 2 5 2 4" xfId="15178"/>
    <cellStyle name="Normal 2 2 5 2 5 2 4 2" xfId="15179"/>
    <cellStyle name="Normal 2 2 5 2 5 2 4 2 2" xfId="15180"/>
    <cellStyle name="Normal 2 2 5 2 5 2 4 3" xfId="15181"/>
    <cellStyle name="Normal 2 2 5 2 5 2 5" xfId="15182"/>
    <cellStyle name="Normal 2 2 5 2 5 2 5 2" xfId="15183"/>
    <cellStyle name="Normal 2 2 5 2 5 2 6" xfId="15184"/>
    <cellStyle name="Normal 2 2 5 2 5 3" xfId="1974"/>
    <cellStyle name="Normal 2 2 5 2 5 3 2" xfId="4694"/>
    <cellStyle name="Normal 2 2 5 2 5 3 2 2" xfId="15185"/>
    <cellStyle name="Normal 2 2 5 2 5 3 2 2 2" xfId="15186"/>
    <cellStyle name="Normal 2 2 5 2 5 3 2 2 2 2" xfId="15187"/>
    <cellStyle name="Normal 2 2 5 2 5 3 2 2 3" xfId="15188"/>
    <cellStyle name="Normal 2 2 5 2 5 3 2 3" xfId="15189"/>
    <cellStyle name="Normal 2 2 5 2 5 3 2 3 2" xfId="15190"/>
    <cellStyle name="Normal 2 2 5 2 5 3 2 4" xfId="15191"/>
    <cellStyle name="Normal 2 2 5 2 5 3 3" xfId="15192"/>
    <cellStyle name="Normal 2 2 5 2 5 3 3 2" xfId="15193"/>
    <cellStyle name="Normal 2 2 5 2 5 3 3 2 2" xfId="15194"/>
    <cellStyle name="Normal 2 2 5 2 5 3 3 3" xfId="15195"/>
    <cellStyle name="Normal 2 2 5 2 5 3 4" xfId="15196"/>
    <cellStyle name="Normal 2 2 5 2 5 3 4 2" xfId="15197"/>
    <cellStyle name="Normal 2 2 5 2 5 3 5" xfId="15198"/>
    <cellStyle name="Normal 2 2 5 2 5 4" xfId="3334"/>
    <cellStyle name="Normal 2 2 5 2 5 4 2" xfId="15199"/>
    <cellStyle name="Normal 2 2 5 2 5 4 2 2" xfId="15200"/>
    <cellStyle name="Normal 2 2 5 2 5 4 2 2 2" xfId="15201"/>
    <cellStyle name="Normal 2 2 5 2 5 4 2 3" xfId="15202"/>
    <cellStyle name="Normal 2 2 5 2 5 4 3" xfId="15203"/>
    <cellStyle name="Normal 2 2 5 2 5 4 3 2" xfId="15204"/>
    <cellStyle name="Normal 2 2 5 2 5 4 4" xfId="15205"/>
    <cellStyle name="Normal 2 2 5 2 5 5" xfId="15206"/>
    <cellStyle name="Normal 2 2 5 2 5 5 2" xfId="15207"/>
    <cellStyle name="Normal 2 2 5 2 5 5 2 2" xfId="15208"/>
    <cellStyle name="Normal 2 2 5 2 5 5 3" xfId="15209"/>
    <cellStyle name="Normal 2 2 5 2 5 6" xfId="15210"/>
    <cellStyle name="Normal 2 2 5 2 5 6 2" xfId="15211"/>
    <cellStyle name="Normal 2 2 5 2 5 7" xfId="15212"/>
    <cellStyle name="Normal 2 2 5 2 6" xfId="750"/>
    <cellStyle name="Normal 2 2 5 2 6 2" xfId="2110"/>
    <cellStyle name="Normal 2 2 5 2 6 2 2" xfId="4830"/>
    <cellStyle name="Normal 2 2 5 2 6 2 2 2" xfId="15213"/>
    <cellStyle name="Normal 2 2 5 2 6 2 2 2 2" xfId="15214"/>
    <cellStyle name="Normal 2 2 5 2 6 2 2 2 2 2" xfId="15215"/>
    <cellStyle name="Normal 2 2 5 2 6 2 2 2 3" xfId="15216"/>
    <cellStyle name="Normal 2 2 5 2 6 2 2 3" xfId="15217"/>
    <cellStyle name="Normal 2 2 5 2 6 2 2 3 2" xfId="15218"/>
    <cellStyle name="Normal 2 2 5 2 6 2 2 4" xfId="15219"/>
    <cellStyle name="Normal 2 2 5 2 6 2 3" xfId="15220"/>
    <cellStyle name="Normal 2 2 5 2 6 2 3 2" xfId="15221"/>
    <cellStyle name="Normal 2 2 5 2 6 2 3 2 2" xfId="15222"/>
    <cellStyle name="Normal 2 2 5 2 6 2 3 3" xfId="15223"/>
    <cellStyle name="Normal 2 2 5 2 6 2 4" xfId="15224"/>
    <cellStyle name="Normal 2 2 5 2 6 2 4 2" xfId="15225"/>
    <cellStyle name="Normal 2 2 5 2 6 2 5" xfId="15226"/>
    <cellStyle name="Normal 2 2 5 2 6 3" xfId="3470"/>
    <cellStyle name="Normal 2 2 5 2 6 3 2" xfId="15227"/>
    <cellStyle name="Normal 2 2 5 2 6 3 2 2" xfId="15228"/>
    <cellStyle name="Normal 2 2 5 2 6 3 2 2 2" xfId="15229"/>
    <cellStyle name="Normal 2 2 5 2 6 3 2 3" xfId="15230"/>
    <cellStyle name="Normal 2 2 5 2 6 3 3" xfId="15231"/>
    <cellStyle name="Normal 2 2 5 2 6 3 3 2" xfId="15232"/>
    <cellStyle name="Normal 2 2 5 2 6 3 4" xfId="15233"/>
    <cellStyle name="Normal 2 2 5 2 6 4" xfId="15234"/>
    <cellStyle name="Normal 2 2 5 2 6 4 2" xfId="15235"/>
    <cellStyle name="Normal 2 2 5 2 6 4 2 2" xfId="15236"/>
    <cellStyle name="Normal 2 2 5 2 6 4 3" xfId="15237"/>
    <cellStyle name="Normal 2 2 5 2 6 5" xfId="15238"/>
    <cellStyle name="Normal 2 2 5 2 6 5 2" xfId="15239"/>
    <cellStyle name="Normal 2 2 5 2 6 6" xfId="15240"/>
    <cellStyle name="Normal 2 2 5 2 7" xfId="1430"/>
    <cellStyle name="Normal 2 2 5 2 7 2" xfId="4150"/>
    <cellStyle name="Normal 2 2 5 2 7 2 2" xfId="15241"/>
    <cellStyle name="Normal 2 2 5 2 7 2 2 2" xfId="15242"/>
    <cellStyle name="Normal 2 2 5 2 7 2 2 2 2" xfId="15243"/>
    <cellStyle name="Normal 2 2 5 2 7 2 2 3" xfId="15244"/>
    <cellStyle name="Normal 2 2 5 2 7 2 3" xfId="15245"/>
    <cellStyle name="Normal 2 2 5 2 7 2 3 2" xfId="15246"/>
    <cellStyle name="Normal 2 2 5 2 7 2 4" xfId="15247"/>
    <cellStyle name="Normal 2 2 5 2 7 3" xfId="15248"/>
    <cellStyle name="Normal 2 2 5 2 7 3 2" xfId="15249"/>
    <cellStyle name="Normal 2 2 5 2 7 3 2 2" xfId="15250"/>
    <cellStyle name="Normal 2 2 5 2 7 3 3" xfId="15251"/>
    <cellStyle name="Normal 2 2 5 2 7 4" xfId="15252"/>
    <cellStyle name="Normal 2 2 5 2 7 4 2" xfId="15253"/>
    <cellStyle name="Normal 2 2 5 2 7 5" xfId="15254"/>
    <cellStyle name="Normal 2 2 5 2 8" xfId="2790"/>
    <cellStyle name="Normal 2 2 5 2 8 2" xfId="15255"/>
    <cellStyle name="Normal 2 2 5 2 8 2 2" xfId="15256"/>
    <cellStyle name="Normal 2 2 5 2 8 2 2 2" xfId="15257"/>
    <cellStyle name="Normal 2 2 5 2 8 2 3" xfId="15258"/>
    <cellStyle name="Normal 2 2 5 2 8 3" xfId="15259"/>
    <cellStyle name="Normal 2 2 5 2 8 3 2" xfId="15260"/>
    <cellStyle name="Normal 2 2 5 2 8 4" xfId="15261"/>
    <cellStyle name="Normal 2 2 5 2 9" xfId="15262"/>
    <cellStyle name="Normal 2 2 5 2 9 2" xfId="15263"/>
    <cellStyle name="Normal 2 2 5 2 9 2 2" xfId="15264"/>
    <cellStyle name="Normal 2 2 5 2 9 3" xfId="15265"/>
    <cellStyle name="Normal 2 2 5 3" xfId="103"/>
    <cellStyle name="Normal 2 2 5 3 10" xfId="15266"/>
    <cellStyle name="Normal 2 2 5 3 2" xfId="240"/>
    <cellStyle name="Normal 2 2 5 3 2 2" xfId="512"/>
    <cellStyle name="Normal 2 2 5 3 2 2 2" xfId="1192"/>
    <cellStyle name="Normal 2 2 5 3 2 2 2 2" xfId="2552"/>
    <cellStyle name="Normal 2 2 5 3 2 2 2 2 2" xfId="5272"/>
    <cellStyle name="Normal 2 2 5 3 2 2 2 2 2 2" xfId="15267"/>
    <cellStyle name="Normal 2 2 5 3 2 2 2 2 2 2 2" xfId="15268"/>
    <cellStyle name="Normal 2 2 5 3 2 2 2 2 2 2 2 2" xfId="15269"/>
    <cellStyle name="Normal 2 2 5 3 2 2 2 2 2 2 3" xfId="15270"/>
    <cellStyle name="Normal 2 2 5 3 2 2 2 2 2 3" xfId="15271"/>
    <cellStyle name="Normal 2 2 5 3 2 2 2 2 2 3 2" xfId="15272"/>
    <cellStyle name="Normal 2 2 5 3 2 2 2 2 2 4" xfId="15273"/>
    <cellStyle name="Normal 2 2 5 3 2 2 2 2 3" xfId="15274"/>
    <cellStyle name="Normal 2 2 5 3 2 2 2 2 3 2" xfId="15275"/>
    <cellStyle name="Normal 2 2 5 3 2 2 2 2 3 2 2" xfId="15276"/>
    <cellStyle name="Normal 2 2 5 3 2 2 2 2 3 3" xfId="15277"/>
    <cellStyle name="Normal 2 2 5 3 2 2 2 2 4" xfId="15278"/>
    <cellStyle name="Normal 2 2 5 3 2 2 2 2 4 2" xfId="15279"/>
    <cellStyle name="Normal 2 2 5 3 2 2 2 2 5" xfId="15280"/>
    <cellStyle name="Normal 2 2 5 3 2 2 2 3" xfId="3912"/>
    <cellStyle name="Normal 2 2 5 3 2 2 2 3 2" xfId="15281"/>
    <cellStyle name="Normal 2 2 5 3 2 2 2 3 2 2" xfId="15282"/>
    <cellStyle name="Normal 2 2 5 3 2 2 2 3 2 2 2" xfId="15283"/>
    <cellStyle name="Normal 2 2 5 3 2 2 2 3 2 3" xfId="15284"/>
    <cellStyle name="Normal 2 2 5 3 2 2 2 3 3" xfId="15285"/>
    <cellStyle name="Normal 2 2 5 3 2 2 2 3 3 2" xfId="15286"/>
    <cellStyle name="Normal 2 2 5 3 2 2 2 3 4" xfId="15287"/>
    <cellStyle name="Normal 2 2 5 3 2 2 2 4" xfId="15288"/>
    <cellStyle name="Normal 2 2 5 3 2 2 2 4 2" xfId="15289"/>
    <cellStyle name="Normal 2 2 5 3 2 2 2 4 2 2" xfId="15290"/>
    <cellStyle name="Normal 2 2 5 3 2 2 2 4 3" xfId="15291"/>
    <cellStyle name="Normal 2 2 5 3 2 2 2 5" xfId="15292"/>
    <cellStyle name="Normal 2 2 5 3 2 2 2 5 2" xfId="15293"/>
    <cellStyle name="Normal 2 2 5 3 2 2 2 6" xfId="15294"/>
    <cellStyle name="Normal 2 2 5 3 2 2 3" xfId="1872"/>
    <cellStyle name="Normal 2 2 5 3 2 2 3 2" xfId="4592"/>
    <cellStyle name="Normal 2 2 5 3 2 2 3 2 2" xfId="15295"/>
    <cellStyle name="Normal 2 2 5 3 2 2 3 2 2 2" xfId="15296"/>
    <cellStyle name="Normal 2 2 5 3 2 2 3 2 2 2 2" xfId="15297"/>
    <cellStyle name="Normal 2 2 5 3 2 2 3 2 2 3" xfId="15298"/>
    <cellStyle name="Normal 2 2 5 3 2 2 3 2 3" xfId="15299"/>
    <cellStyle name="Normal 2 2 5 3 2 2 3 2 3 2" xfId="15300"/>
    <cellStyle name="Normal 2 2 5 3 2 2 3 2 4" xfId="15301"/>
    <cellStyle name="Normal 2 2 5 3 2 2 3 3" xfId="15302"/>
    <cellStyle name="Normal 2 2 5 3 2 2 3 3 2" xfId="15303"/>
    <cellStyle name="Normal 2 2 5 3 2 2 3 3 2 2" xfId="15304"/>
    <cellStyle name="Normal 2 2 5 3 2 2 3 3 3" xfId="15305"/>
    <cellStyle name="Normal 2 2 5 3 2 2 3 4" xfId="15306"/>
    <cellStyle name="Normal 2 2 5 3 2 2 3 4 2" xfId="15307"/>
    <cellStyle name="Normal 2 2 5 3 2 2 3 5" xfId="15308"/>
    <cellStyle name="Normal 2 2 5 3 2 2 4" xfId="3232"/>
    <cellStyle name="Normal 2 2 5 3 2 2 4 2" xfId="15309"/>
    <cellStyle name="Normal 2 2 5 3 2 2 4 2 2" xfId="15310"/>
    <cellStyle name="Normal 2 2 5 3 2 2 4 2 2 2" xfId="15311"/>
    <cellStyle name="Normal 2 2 5 3 2 2 4 2 3" xfId="15312"/>
    <cellStyle name="Normal 2 2 5 3 2 2 4 3" xfId="15313"/>
    <cellStyle name="Normal 2 2 5 3 2 2 4 3 2" xfId="15314"/>
    <cellStyle name="Normal 2 2 5 3 2 2 4 4" xfId="15315"/>
    <cellStyle name="Normal 2 2 5 3 2 2 5" xfId="15316"/>
    <cellStyle name="Normal 2 2 5 3 2 2 5 2" xfId="15317"/>
    <cellStyle name="Normal 2 2 5 3 2 2 5 2 2" xfId="15318"/>
    <cellStyle name="Normal 2 2 5 3 2 2 5 3" xfId="15319"/>
    <cellStyle name="Normal 2 2 5 3 2 2 6" xfId="15320"/>
    <cellStyle name="Normal 2 2 5 3 2 2 6 2" xfId="15321"/>
    <cellStyle name="Normal 2 2 5 3 2 2 7" xfId="15322"/>
    <cellStyle name="Normal 2 2 5 3 2 3" xfId="920"/>
    <cellStyle name="Normal 2 2 5 3 2 3 2" xfId="2280"/>
    <cellStyle name="Normal 2 2 5 3 2 3 2 2" xfId="5000"/>
    <cellStyle name="Normal 2 2 5 3 2 3 2 2 2" xfId="15323"/>
    <cellStyle name="Normal 2 2 5 3 2 3 2 2 2 2" xfId="15324"/>
    <cellStyle name="Normal 2 2 5 3 2 3 2 2 2 2 2" xfId="15325"/>
    <cellStyle name="Normal 2 2 5 3 2 3 2 2 2 3" xfId="15326"/>
    <cellStyle name="Normal 2 2 5 3 2 3 2 2 3" xfId="15327"/>
    <cellStyle name="Normal 2 2 5 3 2 3 2 2 3 2" xfId="15328"/>
    <cellStyle name="Normal 2 2 5 3 2 3 2 2 4" xfId="15329"/>
    <cellStyle name="Normal 2 2 5 3 2 3 2 3" xfId="15330"/>
    <cellStyle name="Normal 2 2 5 3 2 3 2 3 2" xfId="15331"/>
    <cellStyle name="Normal 2 2 5 3 2 3 2 3 2 2" xfId="15332"/>
    <cellStyle name="Normal 2 2 5 3 2 3 2 3 3" xfId="15333"/>
    <cellStyle name="Normal 2 2 5 3 2 3 2 4" xfId="15334"/>
    <cellStyle name="Normal 2 2 5 3 2 3 2 4 2" xfId="15335"/>
    <cellStyle name="Normal 2 2 5 3 2 3 2 5" xfId="15336"/>
    <cellStyle name="Normal 2 2 5 3 2 3 3" xfId="3640"/>
    <cellStyle name="Normal 2 2 5 3 2 3 3 2" xfId="15337"/>
    <cellStyle name="Normal 2 2 5 3 2 3 3 2 2" xfId="15338"/>
    <cellStyle name="Normal 2 2 5 3 2 3 3 2 2 2" xfId="15339"/>
    <cellStyle name="Normal 2 2 5 3 2 3 3 2 3" xfId="15340"/>
    <cellStyle name="Normal 2 2 5 3 2 3 3 3" xfId="15341"/>
    <cellStyle name="Normal 2 2 5 3 2 3 3 3 2" xfId="15342"/>
    <cellStyle name="Normal 2 2 5 3 2 3 3 4" xfId="15343"/>
    <cellStyle name="Normal 2 2 5 3 2 3 4" xfId="15344"/>
    <cellStyle name="Normal 2 2 5 3 2 3 4 2" xfId="15345"/>
    <cellStyle name="Normal 2 2 5 3 2 3 4 2 2" xfId="15346"/>
    <cellStyle name="Normal 2 2 5 3 2 3 4 3" xfId="15347"/>
    <cellStyle name="Normal 2 2 5 3 2 3 5" xfId="15348"/>
    <cellStyle name="Normal 2 2 5 3 2 3 5 2" xfId="15349"/>
    <cellStyle name="Normal 2 2 5 3 2 3 6" xfId="15350"/>
    <cellStyle name="Normal 2 2 5 3 2 4" xfId="1600"/>
    <cellStyle name="Normal 2 2 5 3 2 4 2" xfId="4320"/>
    <cellStyle name="Normal 2 2 5 3 2 4 2 2" xfId="15351"/>
    <cellStyle name="Normal 2 2 5 3 2 4 2 2 2" xfId="15352"/>
    <cellStyle name="Normal 2 2 5 3 2 4 2 2 2 2" xfId="15353"/>
    <cellStyle name="Normal 2 2 5 3 2 4 2 2 3" xfId="15354"/>
    <cellStyle name="Normal 2 2 5 3 2 4 2 3" xfId="15355"/>
    <cellStyle name="Normal 2 2 5 3 2 4 2 3 2" xfId="15356"/>
    <cellStyle name="Normal 2 2 5 3 2 4 2 4" xfId="15357"/>
    <cellStyle name="Normal 2 2 5 3 2 4 3" xfId="15358"/>
    <cellStyle name="Normal 2 2 5 3 2 4 3 2" xfId="15359"/>
    <cellStyle name="Normal 2 2 5 3 2 4 3 2 2" xfId="15360"/>
    <cellStyle name="Normal 2 2 5 3 2 4 3 3" xfId="15361"/>
    <cellStyle name="Normal 2 2 5 3 2 4 4" xfId="15362"/>
    <cellStyle name="Normal 2 2 5 3 2 4 4 2" xfId="15363"/>
    <cellStyle name="Normal 2 2 5 3 2 4 5" xfId="15364"/>
    <cellStyle name="Normal 2 2 5 3 2 5" xfId="2960"/>
    <cellStyle name="Normal 2 2 5 3 2 5 2" xfId="15365"/>
    <cellStyle name="Normal 2 2 5 3 2 5 2 2" xfId="15366"/>
    <cellStyle name="Normal 2 2 5 3 2 5 2 2 2" xfId="15367"/>
    <cellStyle name="Normal 2 2 5 3 2 5 2 3" xfId="15368"/>
    <cellStyle name="Normal 2 2 5 3 2 5 3" xfId="15369"/>
    <cellStyle name="Normal 2 2 5 3 2 5 3 2" xfId="15370"/>
    <cellStyle name="Normal 2 2 5 3 2 5 4" xfId="15371"/>
    <cellStyle name="Normal 2 2 5 3 2 6" xfId="15372"/>
    <cellStyle name="Normal 2 2 5 3 2 6 2" xfId="15373"/>
    <cellStyle name="Normal 2 2 5 3 2 6 2 2" xfId="15374"/>
    <cellStyle name="Normal 2 2 5 3 2 6 3" xfId="15375"/>
    <cellStyle name="Normal 2 2 5 3 2 7" xfId="15376"/>
    <cellStyle name="Normal 2 2 5 3 2 7 2" xfId="15377"/>
    <cellStyle name="Normal 2 2 5 3 2 8" xfId="15378"/>
    <cellStyle name="Normal 2 2 5 3 3" xfId="376"/>
    <cellStyle name="Normal 2 2 5 3 3 2" xfId="1056"/>
    <cellStyle name="Normal 2 2 5 3 3 2 2" xfId="2416"/>
    <cellStyle name="Normal 2 2 5 3 3 2 2 2" xfId="5136"/>
    <cellStyle name="Normal 2 2 5 3 3 2 2 2 2" xfId="15379"/>
    <cellStyle name="Normal 2 2 5 3 3 2 2 2 2 2" xfId="15380"/>
    <cellStyle name="Normal 2 2 5 3 3 2 2 2 2 2 2" xfId="15381"/>
    <cellStyle name="Normal 2 2 5 3 3 2 2 2 2 3" xfId="15382"/>
    <cellStyle name="Normal 2 2 5 3 3 2 2 2 3" xfId="15383"/>
    <cellStyle name="Normal 2 2 5 3 3 2 2 2 3 2" xfId="15384"/>
    <cellStyle name="Normal 2 2 5 3 3 2 2 2 4" xfId="15385"/>
    <cellStyle name="Normal 2 2 5 3 3 2 2 3" xfId="15386"/>
    <cellStyle name="Normal 2 2 5 3 3 2 2 3 2" xfId="15387"/>
    <cellStyle name="Normal 2 2 5 3 3 2 2 3 2 2" xfId="15388"/>
    <cellStyle name="Normal 2 2 5 3 3 2 2 3 3" xfId="15389"/>
    <cellStyle name="Normal 2 2 5 3 3 2 2 4" xfId="15390"/>
    <cellStyle name="Normal 2 2 5 3 3 2 2 4 2" xfId="15391"/>
    <cellStyle name="Normal 2 2 5 3 3 2 2 5" xfId="15392"/>
    <cellStyle name="Normal 2 2 5 3 3 2 3" xfId="3776"/>
    <cellStyle name="Normal 2 2 5 3 3 2 3 2" xfId="15393"/>
    <cellStyle name="Normal 2 2 5 3 3 2 3 2 2" xfId="15394"/>
    <cellStyle name="Normal 2 2 5 3 3 2 3 2 2 2" xfId="15395"/>
    <cellStyle name="Normal 2 2 5 3 3 2 3 2 3" xfId="15396"/>
    <cellStyle name="Normal 2 2 5 3 3 2 3 3" xfId="15397"/>
    <cellStyle name="Normal 2 2 5 3 3 2 3 3 2" xfId="15398"/>
    <cellStyle name="Normal 2 2 5 3 3 2 3 4" xfId="15399"/>
    <cellStyle name="Normal 2 2 5 3 3 2 4" xfId="15400"/>
    <cellStyle name="Normal 2 2 5 3 3 2 4 2" xfId="15401"/>
    <cellStyle name="Normal 2 2 5 3 3 2 4 2 2" xfId="15402"/>
    <cellStyle name="Normal 2 2 5 3 3 2 4 3" xfId="15403"/>
    <cellStyle name="Normal 2 2 5 3 3 2 5" xfId="15404"/>
    <cellStyle name="Normal 2 2 5 3 3 2 5 2" xfId="15405"/>
    <cellStyle name="Normal 2 2 5 3 3 2 6" xfId="15406"/>
    <cellStyle name="Normal 2 2 5 3 3 3" xfId="1736"/>
    <cellStyle name="Normal 2 2 5 3 3 3 2" xfId="4456"/>
    <cellStyle name="Normal 2 2 5 3 3 3 2 2" xfId="15407"/>
    <cellStyle name="Normal 2 2 5 3 3 3 2 2 2" xfId="15408"/>
    <cellStyle name="Normal 2 2 5 3 3 3 2 2 2 2" xfId="15409"/>
    <cellStyle name="Normal 2 2 5 3 3 3 2 2 3" xfId="15410"/>
    <cellStyle name="Normal 2 2 5 3 3 3 2 3" xfId="15411"/>
    <cellStyle name="Normal 2 2 5 3 3 3 2 3 2" xfId="15412"/>
    <cellStyle name="Normal 2 2 5 3 3 3 2 4" xfId="15413"/>
    <cellStyle name="Normal 2 2 5 3 3 3 3" xfId="15414"/>
    <cellStyle name="Normal 2 2 5 3 3 3 3 2" xfId="15415"/>
    <cellStyle name="Normal 2 2 5 3 3 3 3 2 2" xfId="15416"/>
    <cellStyle name="Normal 2 2 5 3 3 3 3 3" xfId="15417"/>
    <cellStyle name="Normal 2 2 5 3 3 3 4" xfId="15418"/>
    <cellStyle name="Normal 2 2 5 3 3 3 4 2" xfId="15419"/>
    <cellStyle name="Normal 2 2 5 3 3 3 5" xfId="15420"/>
    <cellStyle name="Normal 2 2 5 3 3 4" xfId="3096"/>
    <cellStyle name="Normal 2 2 5 3 3 4 2" xfId="15421"/>
    <cellStyle name="Normal 2 2 5 3 3 4 2 2" xfId="15422"/>
    <cellStyle name="Normal 2 2 5 3 3 4 2 2 2" xfId="15423"/>
    <cellStyle name="Normal 2 2 5 3 3 4 2 3" xfId="15424"/>
    <cellStyle name="Normal 2 2 5 3 3 4 3" xfId="15425"/>
    <cellStyle name="Normal 2 2 5 3 3 4 3 2" xfId="15426"/>
    <cellStyle name="Normal 2 2 5 3 3 4 4" xfId="15427"/>
    <cellStyle name="Normal 2 2 5 3 3 5" xfId="15428"/>
    <cellStyle name="Normal 2 2 5 3 3 5 2" xfId="15429"/>
    <cellStyle name="Normal 2 2 5 3 3 5 2 2" xfId="15430"/>
    <cellStyle name="Normal 2 2 5 3 3 5 3" xfId="15431"/>
    <cellStyle name="Normal 2 2 5 3 3 6" xfId="15432"/>
    <cellStyle name="Normal 2 2 5 3 3 6 2" xfId="15433"/>
    <cellStyle name="Normal 2 2 5 3 3 7" xfId="15434"/>
    <cellStyle name="Normal 2 2 5 3 4" xfId="648"/>
    <cellStyle name="Normal 2 2 5 3 4 2" xfId="1328"/>
    <cellStyle name="Normal 2 2 5 3 4 2 2" xfId="2688"/>
    <cellStyle name="Normal 2 2 5 3 4 2 2 2" xfId="5408"/>
    <cellStyle name="Normal 2 2 5 3 4 2 2 2 2" xfId="15435"/>
    <cellStyle name="Normal 2 2 5 3 4 2 2 2 2 2" xfId="15436"/>
    <cellStyle name="Normal 2 2 5 3 4 2 2 2 2 2 2" xfId="15437"/>
    <cellStyle name="Normal 2 2 5 3 4 2 2 2 2 3" xfId="15438"/>
    <cellStyle name="Normal 2 2 5 3 4 2 2 2 3" xfId="15439"/>
    <cellStyle name="Normal 2 2 5 3 4 2 2 2 3 2" xfId="15440"/>
    <cellStyle name="Normal 2 2 5 3 4 2 2 2 4" xfId="15441"/>
    <cellStyle name="Normal 2 2 5 3 4 2 2 3" xfId="15442"/>
    <cellStyle name="Normal 2 2 5 3 4 2 2 3 2" xfId="15443"/>
    <cellStyle name="Normal 2 2 5 3 4 2 2 3 2 2" xfId="15444"/>
    <cellStyle name="Normal 2 2 5 3 4 2 2 3 3" xfId="15445"/>
    <cellStyle name="Normal 2 2 5 3 4 2 2 4" xfId="15446"/>
    <cellStyle name="Normal 2 2 5 3 4 2 2 4 2" xfId="15447"/>
    <cellStyle name="Normal 2 2 5 3 4 2 2 5" xfId="15448"/>
    <cellStyle name="Normal 2 2 5 3 4 2 3" xfId="4048"/>
    <cellStyle name="Normal 2 2 5 3 4 2 3 2" xfId="15449"/>
    <cellStyle name="Normal 2 2 5 3 4 2 3 2 2" xfId="15450"/>
    <cellStyle name="Normal 2 2 5 3 4 2 3 2 2 2" xfId="15451"/>
    <cellStyle name="Normal 2 2 5 3 4 2 3 2 3" xfId="15452"/>
    <cellStyle name="Normal 2 2 5 3 4 2 3 3" xfId="15453"/>
    <cellStyle name="Normal 2 2 5 3 4 2 3 3 2" xfId="15454"/>
    <cellStyle name="Normal 2 2 5 3 4 2 3 4" xfId="15455"/>
    <cellStyle name="Normal 2 2 5 3 4 2 4" xfId="15456"/>
    <cellStyle name="Normal 2 2 5 3 4 2 4 2" xfId="15457"/>
    <cellStyle name="Normal 2 2 5 3 4 2 4 2 2" xfId="15458"/>
    <cellStyle name="Normal 2 2 5 3 4 2 4 3" xfId="15459"/>
    <cellStyle name="Normal 2 2 5 3 4 2 5" xfId="15460"/>
    <cellStyle name="Normal 2 2 5 3 4 2 5 2" xfId="15461"/>
    <cellStyle name="Normal 2 2 5 3 4 2 6" xfId="15462"/>
    <cellStyle name="Normal 2 2 5 3 4 3" xfId="2008"/>
    <cellStyle name="Normal 2 2 5 3 4 3 2" xfId="4728"/>
    <cellStyle name="Normal 2 2 5 3 4 3 2 2" xfId="15463"/>
    <cellStyle name="Normal 2 2 5 3 4 3 2 2 2" xfId="15464"/>
    <cellStyle name="Normal 2 2 5 3 4 3 2 2 2 2" xfId="15465"/>
    <cellStyle name="Normal 2 2 5 3 4 3 2 2 3" xfId="15466"/>
    <cellStyle name="Normal 2 2 5 3 4 3 2 3" xfId="15467"/>
    <cellStyle name="Normal 2 2 5 3 4 3 2 3 2" xfId="15468"/>
    <cellStyle name="Normal 2 2 5 3 4 3 2 4" xfId="15469"/>
    <cellStyle name="Normal 2 2 5 3 4 3 3" xfId="15470"/>
    <cellStyle name="Normal 2 2 5 3 4 3 3 2" xfId="15471"/>
    <cellStyle name="Normal 2 2 5 3 4 3 3 2 2" xfId="15472"/>
    <cellStyle name="Normal 2 2 5 3 4 3 3 3" xfId="15473"/>
    <cellStyle name="Normal 2 2 5 3 4 3 4" xfId="15474"/>
    <cellStyle name="Normal 2 2 5 3 4 3 4 2" xfId="15475"/>
    <cellStyle name="Normal 2 2 5 3 4 3 5" xfId="15476"/>
    <cellStyle name="Normal 2 2 5 3 4 4" xfId="3368"/>
    <cellStyle name="Normal 2 2 5 3 4 4 2" xfId="15477"/>
    <cellStyle name="Normal 2 2 5 3 4 4 2 2" xfId="15478"/>
    <cellStyle name="Normal 2 2 5 3 4 4 2 2 2" xfId="15479"/>
    <cellStyle name="Normal 2 2 5 3 4 4 2 3" xfId="15480"/>
    <cellStyle name="Normal 2 2 5 3 4 4 3" xfId="15481"/>
    <cellStyle name="Normal 2 2 5 3 4 4 3 2" xfId="15482"/>
    <cellStyle name="Normal 2 2 5 3 4 4 4" xfId="15483"/>
    <cellStyle name="Normal 2 2 5 3 4 5" xfId="15484"/>
    <cellStyle name="Normal 2 2 5 3 4 5 2" xfId="15485"/>
    <cellStyle name="Normal 2 2 5 3 4 5 2 2" xfId="15486"/>
    <cellStyle name="Normal 2 2 5 3 4 5 3" xfId="15487"/>
    <cellStyle name="Normal 2 2 5 3 4 6" xfId="15488"/>
    <cellStyle name="Normal 2 2 5 3 4 6 2" xfId="15489"/>
    <cellStyle name="Normal 2 2 5 3 4 7" xfId="15490"/>
    <cellStyle name="Normal 2 2 5 3 5" xfId="784"/>
    <cellStyle name="Normal 2 2 5 3 5 2" xfId="2144"/>
    <cellStyle name="Normal 2 2 5 3 5 2 2" xfId="4864"/>
    <cellStyle name="Normal 2 2 5 3 5 2 2 2" xfId="15491"/>
    <cellStyle name="Normal 2 2 5 3 5 2 2 2 2" xfId="15492"/>
    <cellStyle name="Normal 2 2 5 3 5 2 2 2 2 2" xfId="15493"/>
    <cellStyle name="Normal 2 2 5 3 5 2 2 2 3" xfId="15494"/>
    <cellStyle name="Normal 2 2 5 3 5 2 2 3" xfId="15495"/>
    <cellStyle name="Normal 2 2 5 3 5 2 2 3 2" xfId="15496"/>
    <cellStyle name="Normal 2 2 5 3 5 2 2 4" xfId="15497"/>
    <cellStyle name="Normal 2 2 5 3 5 2 3" xfId="15498"/>
    <cellStyle name="Normal 2 2 5 3 5 2 3 2" xfId="15499"/>
    <cellStyle name="Normal 2 2 5 3 5 2 3 2 2" xfId="15500"/>
    <cellStyle name="Normal 2 2 5 3 5 2 3 3" xfId="15501"/>
    <cellStyle name="Normal 2 2 5 3 5 2 4" xfId="15502"/>
    <cellStyle name="Normal 2 2 5 3 5 2 4 2" xfId="15503"/>
    <cellStyle name="Normal 2 2 5 3 5 2 5" xfId="15504"/>
    <cellStyle name="Normal 2 2 5 3 5 3" xfId="3504"/>
    <cellStyle name="Normal 2 2 5 3 5 3 2" xfId="15505"/>
    <cellStyle name="Normal 2 2 5 3 5 3 2 2" xfId="15506"/>
    <cellStyle name="Normal 2 2 5 3 5 3 2 2 2" xfId="15507"/>
    <cellStyle name="Normal 2 2 5 3 5 3 2 3" xfId="15508"/>
    <cellStyle name="Normal 2 2 5 3 5 3 3" xfId="15509"/>
    <cellStyle name="Normal 2 2 5 3 5 3 3 2" xfId="15510"/>
    <cellStyle name="Normal 2 2 5 3 5 3 4" xfId="15511"/>
    <cellStyle name="Normal 2 2 5 3 5 4" xfId="15512"/>
    <cellStyle name="Normal 2 2 5 3 5 4 2" xfId="15513"/>
    <cellStyle name="Normal 2 2 5 3 5 4 2 2" xfId="15514"/>
    <cellStyle name="Normal 2 2 5 3 5 4 3" xfId="15515"/>
    <cellStyle name="Normal 2 2 5 3 5 5" xfId="15516"/>
    <cellStyle name="Normal 2 2 5 3 5 5 2" xfId="15517"/>
    <cellStyle name="Normal 2 2 5 3 5 6" xfId="15518"/>
    <cellStyle name="Normal 2 2 5 3 6" xfId="1464"/>
    <cellStyle name="Normal 2 2 5 3 6 2" xfId="4184"/>
    <cellStyle name="Normal 2 2 5 3 6 2 2" xfId="15519"/>
    <cellStyle name="Normal 2 2 5 3 6 2 2 2" xfId="15520"/>
    <cellStyle name="Normal 2 2 5 3 6 2 2 2 2" xfId="15521"/>
    <cellStyle name="Normal 2 2 5 3 6 2 2 3" xfId="15522"/>
    <cellStyle name="Normal 2 2 5 3 6 2 3" xfId="15523"/>
    <cellStyle name="Normal 2 2 5 3 6 2 3 2" xfId="15524"/>
    <cellStyle name="Normal 2 2 5 3 6 2 4" xfId="15525"/>
    <cellStyle name="Normal 2 2 5 3 6 3" xfId="15526"/>
    <cellStyle name="Normal 2 2 5 3 6 3 2" xfId="15527"/>
    <cellStyle name="Normal 2 2 5 3 6 3 2 2" xfId="15528"/>
    <cellStyle name="Normal 2 2 5 3 6 3 3" xfId="15529"/>
    <cellStyle name="Normal 2 2 5 3 6 4" xfId="15530"/>
    <cellStyle name="Normal 2 2 5 3 6 4 2" xfId="15531"/>
    <cellStyle name="Normal 2 2 5 3 6 5" xfId="15532"/>
    <cellStyle name="Normal 2 2 5 3 7" xfId="2824"/>
    <cellStyle name="Normal 2 2 5 3 7 2" xfId="15533"/>
    <cellStyle name="Normal 2 2 5 3 7 2 2" xfId="15534"/>
    <cellStyle name="Normal 2 2 5 3 7 2 2 2" xfId="15535"/>
    <cellStyle name="Normal 2 2 5 3 7 2 3" xfId="15536"/>
    <cellStyle name="Normal 2 2 5 3 7 3" xfId="15537"/>
    <cellStyle name="Normal 2 2 5 3 7 3 2" xfId="15538"/>
    <cellStyle name="Normal 2 2 5 3 7 4" xfId="15539"/>
    <cellStyle name="Normal 2 2 5 3 8" xfId="15540"/>
    <cellStyle name="Normal 2 2 5 3 8 2" xfId="15541"/>
    <cellStyle name="Normal 2 2 5 3 8 2 2" xfId="15542"/>
    <cellStyle name="Normal 2 2 5 3 8 3" xfId="15543"/>
    <cellStyle name="Normal 2 2 5 3 9" xfId="15544"/>
    <cellStyle name="Normal 2 2 5 3 9 2" xfId="15545"/>
    <cellStyle name="Normal 2 2 5 4" xfId="172"/>
    <cellStyle name="Normal 2 2 5 4 2" xfId="444"/>
    <cellStyle name="Normal 2 2 5 4 2 2" xfId="1124"/>
    <cellStyle name="Normal 2 2 5 4 2 2 2" xfId="2484"/>
    <cellStyle name="Normal 2 2 5 4 2 2 2 2" xfId="5204"/>
    <cellStyle name="Normal 2 2 5 4 2 2 2 2 2" xfId="15546"/>
    <cellStyle name="Normal 2 2 5 4 2 2 2 2 2 2" xfId="15547"/>
    <cellStyle name="Normal 2 2 5 4 2 2 2 2 2 2 2" xfId="15548"/>
    <cellStyle name="Normal 2 2 5 4 2 2 2 2 2 3" xfId="15549"/>
    <cellStyle name="Normal 2 2 5 4 2 2 2 2 3" xfId="15550"/>
    <cellStyle name="Normal 2 2 5 4 2 2 2 2 3 2" xfId="15551"/>
    <cellStyle name="Normal 2 2 5 4 2 2 2 2 4" xfId="15552"/>
    <cellStyle name="Normal 2 2 5 4 2 2 2 3" xfId="15553"/>
    <cellStyle name="Normal 2 2 5 4 2 2 2 3 2" xfId="15554"/>
    <cellStyle name="Normal 2 2 5 4 2 2 2 3 2 2" xfId="15555"/>
    <cellStyle name="Normal 2 2 5 4 2 2 2 3 3" xfId="15556"/>
    <cellStyle name="Normal 2 2 5 4 2 2 2 4" xfId="15557"/>
    <cellStyle name="Normal 2 2 5 4 2 2 2 4 2" xfId="15558"/>
    <cellStyle name="Normal 2 2 5 4 2 2 2 5" xfId="15559"/>
    <cellStyle name="Normal 2 2 5 4 2 2 3" xfId="3844"/>
    <cellStyle name="Normal 2 2 5 4 2 2 3 2" xfId="15560"/>
    <cellStyle name="Normal 2 2 5 4 2 2 3 2 2" xfId="15561"/>
    <cellStyle name="Normal 2 2 5 4 2 2 3 2 2 2" xfId="15562"/>
    <cellStyle name="Normal 2 2 5 4 2 2 3 2 3" xfId="15563"/>
    <cellStyle name="Normal 2 2 5 4 2 2 3 3" xfId="15564"/>
    <cellStyle name="Normal 2 2 5 4 2 2 3 3 2" xfId="15565"/>
    <cellStyle name="Normal 2 2 5 4 2 2 3 4" xfId="15566"/>
    <cellStyle name="Normal 2 2 5 4 2 2 4" xfId="15567"/>
    <cellStyle name="Normal 2 2 5 4 2 2 4 2" xfId="15568"/>
    <cellStyle name="Normal 2 2 5 4 2 2 4 2 2" xfId="15569"/>
    <cellStyle name="Normal 2 2 5 4 2 2 4 3" xfId="15570"/>
    <cellStyle name="Normal 2 2 5 4 2 2 5" xfId="15571"/>
    <cellStyle name="Normal 2 2 5 4 2 2 5 2" xfId="15572"/>
    <cellStyle name="Normal 2 2 5 4 2 2 6" xfId="15573"/>
    <cellStyle name="Normal 2 2 5 4 2 3" xfId="1804"/>
    <cellStyle name="Normal 2 2 5 4 2 3 2" xfId="4524"/>
    <cellStyle name="Normal 2 2 5 4 2 3 2 2" xfId="15574"/>
    <cellStyle name="Normal 2 2 5 4 2 3 2 2 2" xfId="15575"/>
    <cellStyle name="Normal 2 2 5 4 2 3 2 2 2 2" xfId="15576"/>
    <cellStyle name="Normal 2 2 5 4 2 3 2 2 3" xfId="15577"/>
    <cellStyle name="Normal 2 2 5 4 2 3 2 3" xfId="15578"/>
    <cellStyle name="Normal 2 2 5 4 2 3 2 3 2" xfId="15579"/>
    <cellStyle name="Normal 2 2 5 4 2 3 2 4" xfId="15580"/>
    <cellStyle name="Normal 2 2 5 4 2 3 3" xfId="15581"/>
    <cellStyle name="Normal 2 2 5 4 2 3 3 2" xfId="15582"/>
    <cellStyle name="Normal 2 2 5 4 2 3 3 2 2" xfId="15583"/>
    <cellStyle name="Normal 2 2 5 4 2 3 3 3" xfId="15584"/>
    <cellStyle name="Normal 2 2 5 4 2 3 4" xfId="15585"/>
    <cellStyle name="Normal 2 2 5 4 2 3 4 2" xfId="15586"/>
    <cellStyle name="Normal 2 2 5 4 2 3 5" xfId="15587"/>
    <cellStyle name="Normal 2 2 5 4 2 4" xfId="3164"/>
    <cellStyle name="Normal 2 2 5 4 2 4 2" xfId="15588"/>
    <cellStyle name="Normal 2 2 5 4 2 4 2 2" xfId="15589"/>
    <cellStyle name="Normal 2 2 5 4 2 4 2 2 2" xfId="15590"/>
    <cellStyle name="Normal 2 2 5 4 2 4 2 3" xfId="15591"/>
    <cellStyle name="Normal 2 2 5 4 2 4 3" xfId="15592"/>
    <cellStyle name="Normal 2 2 5 4 2 4 3 2" xfId="15593"/>
    <cellStyle name="Normal 2 2 5 4 2 4 4" xfId="15594"/>
    <cellStyle name="Normal 2 2 5 4 2 5" xfId="15595"/>
    <cellStyle name="Normal 2 2 5 4 2 5 2" xfId="15596"/>
    <cellStyle name="Normal 2 2 5 4 2 5 2 2" xfId="15597"/>
    <cellStyle name="Normal 2 2 5 4 2 5 3" xfId="15598"/>
    <cellStyle name="Normal 2 2 5 4 2 6" xfId="15599"/>
    <cellStyle name="Normal 2 2 5 4 2 6 2" xfId="15600"/>
    <cellStyle name="Normal 2 2 5 4 2 7" xfId="15601"/>
    <cellStyle name="Normal 2 2 5 4 3" xfId="852"/>
    <cellStyle name="Normal 2 2 5 4 3 2" xfId="2212"/>
    <cellStyle name="Normal 2 2 5 4 3 2 2" xfId="4932"/>
    <cellStyle name="Normal 2 2 5 4 3 2 2 2" xfId="15602"/>
    <cellStyle name="Normal 2 2 5 4 3 2 2 2 2" xfId="15603"/>
    <cellStyle name="Normal 2 2 5 4 3 2 2 2 2 2" xfId="15604"/>
    <cellStyle name="Normal 2 2 5 4 3 2 2 2 3" xfId="15605"/>
    <cellStyle name="Normal 2 2 5 4 3 2 2 3" xfId="15606"/>
    <cellStyle name="Normal 2 2 5 4 3 2 2 3 2" xfId="15607"/>
    <cellStyle name="Normal 2 2 5 4 3 2 2 4" xfId="15608"/>
    <cellStyle name="Normal 2 2 5 4 3 2 3" xfId="15609"/>
    <cellStyle name="Normal 2 2 5 4 3 2 3 2" xfId="15610"/>
    <cellStyle name="Normal 2 2 5 4 3 2 3 2 2" xfId="15611"/>
    <cellStyle name="Normal 2 2 5 4 3 2 3 3" xfId="15612"/>
    <cellStyle name="Normal 2 2 5 4 3 2 4" xfId="15613"/>
    <cellStyle name="Normal 2 2 5 4 3 2 4 2" xfId="15614"/>
    <cellStyle name="Normal 2 2 5 4 3 2 5" xfId="15615"/>
    <cellStyle name="Normal 2 2 5 4 3 3" xfId="3572"/>
    <cellStyle name="Normal 2 2 5 4 3 3 2" xfId="15616"/>
    <cellStyle name="Normal 2 2 5 4 3 3 2 2" xfId="15617"/>
    <cellStyle name="Normal 2 2 5 4 3 3 2 2 2" xfId="15618"/>
    <cellStyle name="Normal 2 2 5 4 3 3 2 3" xfId="15619"/>
    <cellStyle name="Normal 2 2 5 4 3 3 3" xfId="15620"/>
    <cellStyle name="Normal 2 2 5 4 3 3 3 2" xfId="15621"/>
    <cellStyle name="Normal 2 2 5 4 3 3 4" xfId="15622"/>
    <cellStyle name="Normal 2 2 5 4 3 4" xfId="15623"/>
    <cellStyle name="Normal 2 2 5 4 3 4 2" xfId="15624"/>
    <cellStyle name="Normal 2 2 5 4 3 4 2 2" xfId="15625"/>
    <cellStyle name="Normal 2 2 5 4 3 4 3" xfId="15626"/>
    <cellStyle name="Normal 2 2 5 4 3 5" xfId="15627"/>
    <cellStyle name="Normal 2 2 5 4 3 5 2" xfId="15628"/>
    <cellStyle name="Normal 2 2 5 4 3 6" xfId="15629"/>
    <cellStyle name="Normal 2 2 5 4 4" xfId="1532"/>
    <cellStyle name="Normal 2 2 5 4 4 2" xfId="4252"/>
    <cellStyle name="Normal 2 2 5 4 4 2 2" xfId="15630"/>
    <cellStyle name="Normal 2 2 5 4 4 2 2 2" xfId="15631"/>
    <cellStyle name="Normal 2 2 5 4 4 2 2 2 2" xfId="15632"/>
    <cellStyle name="Normal 2 2 5 4 4 2 2 3" xfId="15633"/>
    <cellStyle name="Normal 2 2 5 4 4 2 3" xfId="15634"/>
    <cellStyle name="Normal 2 2 5 4 4 2 3 2" xfId="15635"/>
    <cellStyle name="Normal 2 2 5 4 4 2 4" xfId="15636"/>
    <cellStyle name="Normal 2 2 5 4 4 3" xfId="15637"/>
    <cellStyle name="Normal 2 2 5 4 4 3 2" xfId="15638"/>
    <cellStyle name="Normal 2 2 5 4 4 3 2 2" xfId="15639"/>
    <cellStyle name="Normal 2 2 5 4 4 3 3" xfId="15640"/>
    <cellStyle name="Normal 2 2 5 4 4 4" xfId="15641"/>
    <cellStyle name="Normal 2 2 5 4 4 4 2" xfId="15642"/>
    <cellStyle name="Normal 2 2 5 4 4 5" xfId="15643"/>
    <cellStyle name="Normal 2 2 5 4 5" xfId="2892"/>
    <cellStyle name="Normal 2 2 5 4 5 2" xfId="15644"/>
    <cellStyle name="Normal 2 2 5 4 5 2 2" xfId="15645"/>
    <cellStyle name="Normal 2 2 5 4 5 2 2 2" xfId="15646"/>
    <cellStyle name="Normal 2 2 5 4 5 2 3" xfId="15647"/>
    <cellStyle name="Normal 2 2 5 4 5 3" xfId="15648"/>
    <cellStyle name="Normal 2 2 5 4 5 3 2" xfId="15649"/>
    <cellStyle name="Normal 2 2 5 4 5 4" xfId="15650"/>
    <cellStyle name="Normal 2 2 5 4 6" xfId="15651"/>
    <cellStyle name="Normal 2 2 5 4 6 2" xfId="15652"/>
    <cellStyle name="Normal 2 2 5 4 6 2 2" xfId="15653"/>
    <cellStyle name="Normal 2 2 5 4 6 3" xfId="15654"/>
    <cellStyle name="Normal 2 2 5 4 7" xfId="15655"/>
    <cellStyle name="Normal 2 2 5 4 7 2" xfId="15656"/>
    <cellStyle name="Normal 2 2 5 4 8" xfId="15657"/>
    <cellStyle name="Normal 2 2 5 5" xfId="308"/>
    <cellStyle name="Normal 2 2 5 5 2" xfId="988"/>
    <cellStyle name="Normal 2 2 5 5 2 2" xfId="2348"/>
    <cellStyle name="Normal 2 2 5 5 2 2 2" xfId="5068"/>
    <cellStyle name="Normal 2 2 5 5 2 2 2 2" xfId="15658"/>
    <cellStyle name="Normal 2 2 5 5 2 2 2 2 2" xfId="15659"/>
    <cellStyle name="Normal 2 2 5 5 2 2 2 2 2 2" xfId="15660"/>
    <cellStyle name="Normal 2 2 5 5 2 2 2 2 3" xfId="15661"/>
    <cellStyle name="Normal 2 2 5 5 2 2 2 3" xfId="15662"/>
    <cellStyle name="Normal 2 2 5 5 2 2 2 3 2" xfId="15663"/>
    <cellStyle name="Normal 2 2 5 5 2 2 2 4" xfId="15664"/>
    <cellStyle name="Normal 2 2 5 5 2 2 3" xfId="15665"/>
    <cellStyle name="Normal 2 2 5 5 2 2 3 2" xfId="15666"/>
    <cellStyle name="Normal 2 2 5 5 2 2 3 2 2" xfId="15667"/>
    <cellStyle name="Normal 2 2 5 5 2 2 3 3" xfId="15668"/>
    <cellStyle name="Normal 2 2 5 5 2 2 4" xfId="15669"/>
    <cellStyle name="Normal 2 2 5 5 2 2 4 2" xfId="15670"/>
    <cellStyle name="Normal 2 2 5 5 2 2 5" xfId="15671"/>
    <cellStyle name="Normal 2 2 5 5 2 3" xfId="3708"/>
    <cellStyle name="Normal 2 2 5 5 2 3 2" xfId="15672"/>
    <cellStyle name="Normal 2 2 5 5 2 3 2 2" xfId="15673"/>
    <cellStyle name="Normal 2 2 5 5 2 3 2 2 2" xfId="15674"/>
    <cellStyle name="Normal 2 2 5 5 2 3 2 3" xfId="15675"/>
    <cellStyle name="Normal 2 2 5 5 2 3 3" xfId="15676"/>
    <cellStyle name="Normal 2 2 5 5 2 3 3 2" xfId="15677"/>
    <cellStyle name="Normal 2 2 5 5 2 3 4" xfId="15678"/>
    <cellStyle name="Normal 2 2 5 5 2 4" xfId="15679"/>
    <cellStyle name="Normal 2 2 5 5 2 4 2" xfId="15680"/>
    <cellStyle name="Normal 2 2 5 5 2 4 2 2" xfId="15681"/>
    <cellStyle name="Normal 2 2 5 5 2 4 3" xfId="15682"/>
    <cellStyle name="Normal 2 2 5 5 2 5" xfId="15683"/>
    <cellStyle name="Normal 2 2 5 5 2 5 2" xfId="15684"/>
    <cellStyle name="Normal 2 2 5 5 2 6" xfId="15685"/>
    <cellStyle name="Normal 2 2 5 5 3" xfId="1668"/>
    <cellStyle name="Normal 2 2 5 5 3 2" xfId="4388"/>
    <cellStyle name="Normal 2 2 5 5 3 2 2" xfId="15686"/>
    <cellStyle name="Normal 2 2 5 5 3 2 2 2" xfId="15687"/>
    <cellStyle name="Normal 2 2 5 5 3 2 2 2 2" xfId="15688"/>
    <cellStyle name="Normal 2 2 5 5 3 2 2 3" xfId="15689"/>
    <cellStyle name="Normal 2 2 5 5 3 2 3" xfId="15690"/>
    <cellStyle name="Normal 2 2 5 5 3 2 3 2" xfId="15691"/>
    <cellStyle name="Normal 2 2 5 5 3 2 4" xfId="15692"/>
    <cellStyle name="Normal 2 2 5 5 3 3" xfId="15693"/>
    <cellStyle name="Normal 2 2 5 5 3 3 2" xfId="15694"/>
    <cellStyle name="Normal 2 2 5 5 3 3 2 2" xfId="15695"/>
    <cellStyle name="Normal 2 2 5 5 3 3 3" xfId="15696"/>
    <cellStyle name="Normal 2 2 5 5 3 4" xfId="15697"/>
    <cellStyle name="Normal 2 2 5 5 3 4 2" xfId="15698"/>
    <cellStyle name="Normal 2 2 5 5 3 5" xfId="15699"/>
    <cellStyle name="Normal 2 2 5 5 4" xfId="3028"/>
    <cellStyle name="Normal 2 2 5 5 4 2" xfId="15700"/>
    <cellStyle name="Normal 2 2 5 5 4 2 2" xfId="15701"/>
    <cellStyle name="Normal 2 2 5 5 4 2 2 2" xfId="15702"/>
    <cellStyle name="Normal 2 2 5 5 4 2 3" xfId="15703"/>
    <cellStyle name="Normal 2 2 5 5 4 3" xfId="15704"/>
    <cellStyle name="Normal 2 2 5 5 4 3 2" xfId="15705"/>
    <cellStyle name="Normal 2 2 5 5 4 4" xfId="15706"/>
    <cellStyle name="Normal 2 2 5 5 5" xfId="15707"/>
    <cellStyle name="Normal 2 2 5 5 5 2" xfId="15708"/>
    <cellStyle name="Normal 2 2 5 5 5 2 2" xfId="15709"/>
    <cellStyle name="Normal 2 2 5 5 5 3" xfId="15710"/>
    <cellStyle name="Normal 2 2 5 5 6" xfId="15711"/>
    <cellStyle name="Normal 2 2 5 5 6 2" xfId="15712"/>
    <cellStyle name="Normal 2 2 5 5 7" xfId="15713"/>
    <cellStyle name="Normal 2 2 5 6" xfId="580"/>
    <cellStyle name="Normal 2 2 5 6 2" xfId="1260"/>
    <cellStyle name="Normal 2 2 5 6 2 2" xfId="2620"/>
    <cellStyle name="Normal 2 2 5 6 2 2 2" xfId="5340"/>
    <cellStyle name="Normal 2 2 5 6 2 2 2 2" xfId="15714"/>
    <cellStyle name="Normal 2 2 5 6 2 2 2 2 2" xfId="15715"/>
    <cellStyle name="Normal 2 2 5 6 2 2 2 2 2 2" xfId="15716"/>
    <cellStyle name="Normal 2 2 5 6 2 2 2 2 3" xfId="15717"/>
    <cellStyle name="Normal 2 2 5 6 2 2 2 3" xfId="15718"/>
    <cellStyle name="Normal 2 2 5 6 2 2 2 3 2" xfId="15719"/>
    <cellStyle name="Normal 2 2 5 6 2 2 2 4" xfId="15720"/>
    <cellStyle name="Normal 2 2 5 6 2 2 3" xfId="15721"/>
    <cellStyle name="Normal 2 2 5 6 2 2 3 2" xfId="15722"/>
    <cellStyle name="Normal 2 2 5 6 2 2 3 2 2" xfId="15723"/>
    <cellStyle name="Normal 2 2 5 6 2 2 3 3" xfId="15724"/>
    <cellStyle name="Normal 2 2 5 6 2 2 4" xfId="15725"/>
    <cellStyle name="Normal 2 2 5 6 2 2 4 2" xfId="15726"/>
    <cellStyle name="Normal 2 2 5 6 2 2 5" xfId="15727"/>
    <cellStyle name="Normal 2 2 5 6 2 3" xfId="3980"/>
    <cellStyle name="Normal 2 2 5 6 2 3 2" xfId="15728"/>
    <cellStyle name="Normal 2 2 5 6 2 3 2 2" xfId="15729"/>
    <cellStyle name="Normal 2 2 5 6 2 3 2 2 2" xfId="15730"/>
    <cellStyle name="Normal 2 2 5 6 2 3 2 3" xfId="15731"/>
    <cellStyle name="Normal 2 2 5 6 2 3 3" xfId="15732"/>
    <cellStyle name="Normal 2 2 5 6 2 3 3 2" xfId="15733"/>
    <cellStyle name="Normal 2 2 5 6 2 3 4" xfId="15734"/>
    <cellStyle name="Normal 2 2 5 6 2 4" xfId="15735"/>
    <cellStyle name="Normal 2 2 5 6 2 4 2" xfId="15736"/>
    <cellStyle name="Normal 2 2 5 6 2 4 2 2" xfId="15737"/>
    <cellStyle name="Normal 2 2 5 6 2 4 3" xfId="15738"/>
    <cellStyle name="Normal 2 2 5 6 2 5" xfId="15739"/>
    <cellStyle name="Normal 2 2 5 6 2 5 2" xfId="15740"/>
    <cellStyle name="Normal 2 2 5 6 2 6" xfId="15741"/>
    <cellStyle name="Normal 2 2 5 6 3" xfId="1940"/>
    <cellStyle name="Normal 2 2 5 6 3 2" xfId="4660"/>
    <cellStyle name="Normal 2 2 5 6 3 2 2" xfId="15742"/>
    <cellStyle name="Normal 2 2 5 6 3 2 2 2" xfId="15743"/>
    <cellStyle name="Normal 2 2 5 6 3 2 2 2 2" xfId="15744"/>
    <cellStyle name="Normal 2 2 5 6 3 2 2 3" xfId="15745"/>
    <cellStyle name="Normal 2 2 5 6 3 2 3" xfId="15746"/>
    <cellStyle name="Normal 2 2 5 6 3 2 3 2" xfId="15747"/>
    <cellStyle name="Normal 2 2 5 6 3 2 4" xfId="15748"/>
    <cellStyle name="Normal 2 2 5 6 3 3" xfId="15749"/>
    <cellStyle name="Normal 2 2 5 6 3 3 2" xfId="15750"/>
    <cellStyle name="Normal 2 2 5 6 3 3 2 2" xfId="15751"/>
    <cellStyle name="Normal 2 2 5 6 3 3 3" xfId="15752"/>
    <cellStyle name="Normal 2 2 5 6 3 4" xfId="15753"/>
    <cellStyle name="Normal 2 2 5 6 3 4 2" xfId="15754"/>
    <cellStyle name="Normal 2 2 5 6 3 5" xfId="15755"/>
    <cellStyle name="Normal 2 2 5 6 4" xfId="3300"/>
    <cellStyle name="Normal 2 2 5 6 4 2" xfId="15756"/>
    <cellStyle name="Normal 2 2 5 6 4 2 2" xfId="15757"/>
    <cellStyle name="Normal 2 2 5 6 4 2 2 2" xfId="15758"/>
    <cellStyle name="Normal 2 2 5 6 4 2 3" xfId="15759"/>
    <cellStyle name="Normal 2 2 5 6 4 3" xfId="15760"/>
    <cellStyle name="Normal 2 2 5 6 4 3 2" xfId="15761"/>
    <cellStyle name="Normal 2 2 5 6 4 4" xfId="15762"/>
    <cellStyle name="Normal 2 2 5 6 5" xfId="15763"/>
    <cellStyle name="Normal 2 2 5 6 5 2" xfId="15764"/>
    <cellStyle name="Normal 2 2 5 6 5 2 2" xfId="15765"/>
    <cellStyle name="Normal 2 2 5 6 5 3" xfId="15766"/>
    <cellStyle name="Normal 2 2 5 6 6" xfId="15767"/>
    <cellStyle name="Normal 2 2 5 6 6 2" xfId="15768"/>
    <cellStyle name="Normal 2 2 5 6 7" xfId="15769"/>
    <cellStyle name="Normal 2 2 5 7" xfId="716"/>
    <cellStyle name="Normal 2 2 5 7 2" xfId="2076"/>
    <cellStyle name="Normal 2 2 5 7 2 2" xfId="4796"/>
    <cellStyle name="Normal 2 2 5 7 2 2 2" xfId="15770"/>
    <cellStyle name="Normal 2 2 5 7 2 2 2 2" xfId="15771"/>
    <cellStyle name="Normal 2 2 5 7 2 2 2 2 2" xfId="15772"/>
    <cellStyle name="Normal 2 2 5 7 2 2 2 3" xfId="15773"/>
    <cellStyle name="Normal 2 2 5 7 2 2 3" xfId="15774"/>
    <cellStyle name="Normal 2 2 5 7 2 2 3 2" xfId="15775"/>
    <cellStyle name="Normal 2 2 5 7 2 2 4" xfId="15776"/>
    <cellStyle name="Normal 2 2 5 7 2 3" xfId="15777"/>
    <cellStyle name="Normal 2 2 5 7 2 3 2" xfId="15778"/>
    <cellStyle name="Normal 2 2 5 7 2 3 2 2" xfId="15779"/>
    <cellStyle name="Normal 2 2 5 7 2 3 3" xfId="15780"/>
    <cellStyle name="Normal 2 2 5 7 2 4" xfId="15781"/>
    <cellStyle name="Normal 2 2 5 7 2 4 2" xfId="15782"/>
    <cellStyle name="Normal 2 2 5 7 2 5" xfId="15783"/>
    <cellStyle name="Normal 2 2 5 7 3" xfId="3436"/>
    <cellStyle name="Normal 2 2 5 7 3 2" xfId="15784"/>
    <cellStyle name="Normal 2 2 5 7 3 2 2" xfId="15785"/>
    <cellStyle name="Normal 2 2 5 7 3 2 2 2" xfId="15786"/>
    <cellStyle name="Normal 2 2 5 7 3 2 3" xfId="15787"/>
    <cellStyle name="Normal 2 2 5 7 3 3" xfId="15788"/>
    <cellStyle name="Normal 2 2 5 7 3 3 2" xfId="15789"/>
    <cellStyle name="Normal 2 2 5 7 3 4" xfId="15790"/>
    <cellStyle name="Normal 2 2 5 7 4" xfId="15791"/>
    <cellStyle name="Normal 2 2 5 7 4 2" xfId="15792"/>
    <cellStyle name="Normal 2 2 5 7 4 2 2" xfId="15793"/>
    <cellStyle name="Normal 2 2 5 7 4 3" xfId="15794"/>
    <cellStyle name="Normal 2 2 5 7 5" xfId="15795"/>
    <cellStyle name="Normal 2 2 5 7 5 2" xfId="15796"/>
    <cellStyle name="Normal 2 2 5 7 6" xfId="15797"/>
    <cellStyle name="Normal 2 2 5 8" xfId="1396"/>
    <cellStyle name="Normal 2 2 5 8 2" xfId="4116"/>
    <cellStyle name="Normal 2 2 5 8 2 2" xfId="15798"/>
    <cellStyle name="Normal 2 2 5 8 2 2 2" xfId="15799"/>
    <cellStyle name="Normal 2 2 5 8 2 2 2 2" xfId="15800"/>
    <cellStyle name="Normal 2 2 5 8 2 2 3" xfId="15801"/>
    <cellStyle name="Normal 2 2 5 8 2 3" xfId="15802"/>
    <cellStyle name="Normal 2 2 5 8 2 3 2" xfId="15803"/>
    <cellStyle name="Normal 2 2 5 8 2 4" xfId="15804"/>
    <cellStyle name="Normal 2 2 5 8 3" xfId="15805"/>
    <cellStyle name="Normal 2 2 5 8 3 2" xfId="15806"/>
    <cellStyle name="Normal 2 2 5 8 3 2 2" xfId="15807"/>
    <cellStyle name="Normal 2 2 5 8 3 3" xfId="15808"/>
    <cellStyle name="Normal 2 2 5 8 4" xfId="15809"/>
    <cellStyle name="Normal 2 2 5 8 4 2" xfId="15810"/>
    <cellStyle name="Normal 2 2 5 8 5" xfId="15811"/>
    <cellStyle name="Normal 2 2 5 9" xfId="2756"/>
    <cellStyle name="Normal 2 2 5 9 2" xfId="15812"/>
    <cellStyle name="Normal 2 2 5 9 2 2" xfId="15813"/>
    <cellStyle name="Normal 2 2 5 9 2 2 2" xfId="15814"/>
    <cellStyle name="Normal 2 2 5 9 2 3" xfId="15815"/>
    <cellStyle name="Normal 2 2 5 9 3" xfId="15816"/>
    <cellStyle name="Normal 2 2 5 9 3 2" xfId="15817"/>
    <cellStyle name="Normal 2 2 5 9 4" xfId="15818"/>
    <cellStyle name="Normal 2 2 6" xfId="52"/>
    <cellStyle name="Normal 2 2 6 10" xfId="15819"/>
    <cellStyle name="Normal 2 2 6 10 2" xfId="15820"/>
    <cellStyle name="Normal 2 2 6 11" xfId="15821"/>
    <cellStyle name="Normal 2 2 6 2" xfId="120"/>
    <cellStyle name="Normal 2 2 6 2 10" xfId="15822"/>
    <cellStyle name="Normal 2 2 6 2 2" xfId="257"/>
    <cellStyle name="Normal 2 2 6 2 2 2" xfId="529"/>
    <cellStyle name="Normal 2 2 6 2 2 2 2" xfId="1209"/>
    <cellStyle name="Normal 2 2 6 2 2 2 2 2" xfId="2569"/>
    <cellStyle name="Normal 2 2 6 2 2 2 2 2 2" xfId="5289"/>
    <cellStyle name="Normal 2 2 6 2 2 2 2 2 2 2" xfId="15823"/>
    <cellStyle name="Normal 2 2 6 2 2 2 2 2 2 2 2" xfId="15824"/>
    <cellStyle name="Normal 2 2 6 2 2 2 2 2 2 2 2 2" xfId="15825"/>
    <cellStyle name="Normal 2 2 6 2 2 2 2 2 2 2 3" xfId="15826"/>
    <cellStyle name="Normal 2 2 6 2 2 2 2 2 2 3" xfId="15827"/>
    <cellStyle name="Normal 2 2 6 2 2 2 2 2 2 3 2" xfId="15828"/>
    <cellStyle name="Normal 2 2 6 2 2 2 2 2 2 4" xfId="15829"/>
    <cellStyle name="Normal 2 2 6 2 2 2 2 2 3" xfId="15830"/>
    <cellStyle name="Normal 2 2 6 2 2 2 2 2 3 2" xfId="15831"/>
    <cellStyle name="Normal 2 2 6 2 2 2 2 2 3 2 2" xfId="15832"/>
    <cellStyle name="Normal 2 2 6 2 2 2 2 2 3 3" xfId="15833"/>
    <cellStyle name="Normal 2 2 6 2 2 2 2 2 4" xfId="15834"/>
    <cellStyle name="Normal 2 2 6 2 2 2 2 2 4 2" xfId="15835"/>
    <cellStyle name="Normal 2 2 6 2 2 2 2 2 5" xfId="15836"/>
    <cellStyle name="Normal 2 2 6 2 2 2 2 3" xfId="3929"/>
    <cellStyle name="Normal 2 2 6 2 2 2 2 3 2" xfId="15837"/>
    <cellStyle name="Normal 2 2 6 2 2 2 2 3 2 2" xfId="15838"/>
    <cellStyle name="Normal 2 2 6 2 2 2 2 3 2 2 2" xfId="15839"/>
    <cellStyle name="Normal 2 2 6 2 2 2 2 3 2 3" xfId="15840"/>
    <cellStyle name="Normal 2 2 6 2 2 2 2 3 3" xfId="15841"/>
    <cellStyle name="Normal 2 2 6 2 2 2 2 3 3 2" xfId="15842"/>
    <cellStyle name="Normal 2 2 6 2 2 2 2 3 4" xfId="15843"/>
    <cellStyle name="Normal 2 2 6 2 2 2 2 4" xfId="15844"/>
    <cellStyle name="Normal 2 2 6 2 2 2 2 4 2" xfId="15845"/>
    <cellStyle name="Normal 2 2 6 2 2 2 2 4 2 2" xfId="15846"/>
    <cellStyle name="Normal 2 2 6 2 2 2 2 4 3" xfId="15847"/>
    <cellStyle name="Normal 2 2 6 2 2 2 2 5" xfId="15848"/>
    <cellStyle name="Normal 2 2 6 2 2 2 2 5 2" xfId="15849"/>
    <cellStyle name="Normal 2 2 6 2 2 2 2 6" xfId="15850"/>
    <cellStyle name="Normal 2 2 6 2 2 2 3" xfId="1889"/>
    <cellStyle name="Normal 2 2 6 2 2 2 3 2" xfId="4609"/>
    <cellStyle name="Normal 2 2 6 2 2 2 3 2 2" xfId="15851"/>
    <cellStyle name="Normal 2 2 6 2 2 2 3 2 2 2" xfId="15852"/>
    <cellStyle name="Normal 2 2 6 2 2 2 3 2 2 2 2" xfId="15853"/>
    <cellStyle name="Normal 2 2 6 2 2 2 3 2 2 3" xfId="15854"/>
    <cellStyle name="Normal 2 2 6 2 2 2 3 2 3" xfId="15855"/>
    <cellStyle name="Normal 2 2 6 2 2 2 3 2 3 2" xfId="15856"/>
    <cellStyle name="Normal 2 2 6 2 2 2 3 2 4" xfId="15857"/>
    <cellStyle name="Normal 2 2 6 2 2 2 3 3" xfId="15858"/>
    <cellStyle name="Normal 2 2 6 2 2 2 3 3 2" xfId="15859"/>
    <cellStyle name="Normal 2 2 6 2 2 2 3 3 2 2" xfId="15860"/>
    <cellStyle name="Normal 2 2 6 2 2 2 3 3 3" xfId="15861"/>
    <cellStyle name="Normal 2 2 6 2 2 2 3 4" xfId="15862"/>
    <cellStyle name="Normal 2 2 6 2 2 2 3 4 2" xfId="15863"/>
    <cellStyle name="Normal 2 2 6 2 2 2 3 5" xfId="15864"/>
    <cellStyle name="Normal 2 2 6 2 2 2 4" xfId="3249"/>
    <cellStyle name="Normal 2 2 6 2 2 2 4 2" xfId="15865"/>
    <cellStyle name="Normal 2 2 6 2 2 2 4 2 2" xfId="15866"/>
    <cellStyle name="Normal 2 2 6 2 2 2 4 2 2 2" xfId="15867"/>
    <cellStyle name="Normal 2 2 6 2 2 2 4 2 3" xfId="15868"/>
    <cellStyle name="Normal 2 2 6 2 2 2 4 3" xfId="15869"/>
    <cellStyle name="Normal 2 2 6 2 2 2 4 3 2" xfId="15870"/>
    <cellStyle name="Normal 2 2 6 2 2 2 4 4" xfId="15871"/>
    <cellStyle name="Normal 2 2 6 2 2 2 5" xfId="15872"/>
    <cellStyle name="Normal 2 2 6 2 2 2 5 2" xfId="15873"/>
    <cellStyle name="Normal 2 2 6 2 2 2 5 2 2" xfId="15874"/>
    <cellStyle name="Normal 2 2 6 2 2 2 5 3" xfId="15875"/>
    <cellStyle name="Normal 2 2 6 2 2 2 6" xfId="15876"/>
    <cellStyle name="Normal 2 2 6 2 2 2 6 2" xfId="15877"/>
    <cellStyle name="Normal 2 2 6 2 2 2 7" xfId="15878"/>
    <cellStyle name="Normal 2 2 6 2 2 3" xfId="937"/>
    <cellStyle name="Normal 2 2 6 2 2 3 2" xfId="2297"/>
    <cellStyle name="Normal 2 2 6 2 2 3 2 2" xfId="5017"/>
    <cellStyle name="Normal 2 2 6 2 2 3 2 2 2" xfId="15879"/>
    <cellStyle name="Normal 2 2 6 2 2 3 2 2 2 2" xfId="15880"/>
    <cellStyle name="Normal 2 2 6 2 2 3 2 2 2 2 2" xfId="15881"/>
    <cellStyle name="Normal 2 2 6 2 2 3 2 2 2 3" xfId="15882"/>
    <cellStyle name="Normal 2 2 6 2 2 3 2 2 3" xfId="15883"/>
    <cellStyle name="Normal 2 2 6 2 2 3 2 2 3 2" xfId="15884"/>
    <cellStyle name="Normal 2 2 6 2 2 3 2 2 4" xfId="15885"/>
    <cellStyle name="Normal 2 2 6 2 2 3 2 3" xfId="15886"/>
    <cellStyle name="Normal 2 2 6 2 2 3 2 3 2" xfId="15887"/>
    <cellStyle name="Normal 2 2 6 2 2 3 2 3 2 2" xfId="15888"/>
    <cellStyle name="Normal 2 2 6 2 2 3 2 3 3" xfId="15889"/>
    <cellStyle name="Normal 2 2 6 2 2 3 2 4" xfId="15890"/>
    <cellStyle name="Normal 2 2 6 2 2 3 2 4 2" xfId="15891"/>
    <cellStyle name="Normal 2 2 6 2 2 3 2 5" xfId="15892"/>
    <cellStyle name="Normal 2 2 6 2 2 3 3" xfId="3657"/>
    <cellStyle name="Normal 2 2 6 2 2 3 3 2" xfId="15893"/>
    <cellStyle name="Normal 2 2 6 2 2 3 3 2 2" xfId="15894"/>
    <cellStyle name="Normal 2 2 6 2 2 3 3 2 2 2" xfId="15895"/>
    <cellStyle name="Normal 2 2 6 2 2 3 3 2 3" xfId="15896"/>
    <cellStyle name="Normal 2 2 6 2 2 3 3 3" xfId="15897"/>
    <cellStyle name="Normal 2 2 6 2 2 3 3 3 2" xfId="15898"/>
    <cellStyle name="Normal 2 2 6 2 2 3 3 4" xfId="15899"/>
    <cellStyle name="Normal 2 2 6 2 2 3 4" xfId="15900"/>
    <cellStyle name="Normal 2 2 6 2 2 3 4 2" xfId="15901"/>
    <cellStyle name="Normal 2 2 6 2 2 3 4 2 2" xfId="15902"/>
    <cellStyle name="Normal 2 2 6 2 2 3 4 3" xfId="15903"/>
    <cellStyle name="Normal 2 2 6 2 2 3 5" xfId="15904"/>
    <cellStyle name="Normal 2 2 6 2 2 3 5 2" xfId="15905"/>
    <cellStyle name="Normal 2 2 6 2 2 3 6" xfId="15906"/>
    <cellStyle name="Normal 2 2 6 2 2 4" xfId="1617"/>
    <cellStyle name="Normal 2 2 6 2 2 4 2" xfId="4337"/>
    <cellStyle name="Normal 2 2 6 2 2 4 2 2" xfId="15907"/>
    <cellStyle name="Normal 2 2 6 2 2 4 2 2 2" xfId="15908"/>
    <cellStyle name="Normal 2 2 6 2 2 4 2 2 2 2" xfId="15909"/>
    <cellStyle name="Normal 2 2 6 2 2 4 2 2 3" xfId="15910"/>
    <cellStyle name="Normal 2 2 6 2 2 4 2 3" xfId="15911"/>
    <cellStyle name="Normal 2 2 6 2 2 4 2 3 2" xfId="15912"/>
    <cellStyle name="Normal 2 2 6 2 2 4 2 4" xfId="15913"/>
    <cellStyle name="Normal 2 2 6 2 2 4 3" xfId="15914"/>
    <cellStyle name="Normal 2 2 6 2 2 4 3 2" xfId="15915"/>
    <cellStyle name="Normal 2 2 6 2 2 4 3 2 2" xfId="15916"/>
    <cellStyle name="Normal 2 2 6 2 2 4 3 3" xfId="15917"/>
    <cellStyle name="Normal 2 2 6 2 2 4 4" xfId="15918"/>
    <cellStyle name="Normal 2 2 6 2 2 4 4 2" xfId="15919"/>
    <cellStyle name="Normal 2 2 6 2 2 4 5" xfId="15920"/>
    <cellStyle name="Normal 2 2 6 2 2 5" xfId="2977"/>
    <cellStyle name="Normal 2 2 6 2 2 5 2" xfId="15921"/>
    <cellStyle name="Normal 2 2 6 2 2 5 2 2" xfId="15922"/>
    <cellStyle name="Normal 2 2 6 2 2 5 2 2 2" xfId="15923"/>
    <cellStyle name="Normal 2 2 6 2 2 5 2 3" xfId="15924"/>
    <cellStyle name="Normal 2 2 6 2 2 5 3" xfId="15925"/>
    <cellStyle name="Normal 2 2 6 2 2 5 3 2" xfId="15926"/>
    <cellStyle name="Normal 2 2 6 2 2 5 4" xfId="15927"/>
    <cellStyle name="Normal 2 2 6 2 2 6" xfId="15928"/>
    <cellStyle name="Normal 2 2 6 2 2 6 2" xfId="15929"/>
    <cellStyle name="Normal 2 2 6 2 2 6 2 2" xfId="15930"/>
    <cellStyle name="Normal 2 2 6 2 2 6 3" xfId="15931"/>
    <cellStyle name="Normal 2 2 6 2 2 7" xfId="15932"/>
    <cellStyle name="Normal 2 2 6 2 2 7 2" xfId="15933"/>
    <cellStyle name="Normal 2 2 6 2 2 8" xfId="15934"/>
    <cellStyle name="Normal 2 2 6 2 3" xfId="393"/>
    <cellStyle name="Normal 2 2 6 2 3 2" xfId="1073"/>
    <cellStyle name="Normal 2 2 6 2 3 2 2" xfId="2433"/>
    <cellStyle name="Normal 2 2 6 2 3 2 2 2" xfId="5153"/>
    <cellStyle name="Normal 2 2 6 2 3 2 2 2 2" xfId="15935"/>
    <cellStyle name="Normal 2 2 6 2 3 2 2 2 2 2" xfId="15936"/>
    <cellStyle name="Normal 2 2 6 2 3 2 2 2 2 2 2" xfId="15937"/>
    <cellStyle name="Normal 2 2 6 2 3 2 2 2 2 3" xfId="15938"/>
    <cellStyle name="Normal 2 2 6 2 3 2 2 2 3" xfId="15939"/>
    <cellStyle name="Normal 2 2 6 2 3 2 2 2 3 2" xfId="15940"/>
    <cellStyle name="Normal 2 2 6 2 3 2 2 2 4" xfId="15941"/>
    <cellStyle name="Normal 2 2 6 2 3 2 2 3" xfId="15942"/>
    <cellStyle name="Normal 2 2 6 2 3 2 2 3 2" xfId="15943"/>
    <cellStyle name="Normal 2 2 6 2 3 2 2 3 2 2" xfId="15944"/>
    <cellStyle name="Normal 2 2 6 2 3 2 2 3 3" xfId="15945"/>
    <cellStyle name="Normal 2 2 6 2 3 2 2 4" xfId="15946"/>
    <cellStyle name="Normal 2 2 6 2 3 2 2 4 2" xfId="15947"/>
    <cellStyle name="Normal 2 2 6 2 3 2 2 5" xfId="15948"/>
    <cellStyle name="Normal 2 2 6 2 3 2 3" xfId="3793"/>
    <cellStyle name="Normal 2 2 6 2 3 2 3 2" xfId="15949"/>
    <cellStyle name="Normal 2 2 6 2 3 2 3 2 2" xfId="15950"/>
    <cellStyle name="Normal 2 2 6 2 3 2 3 2 2 2" xfId="15951"/>
    <cellStyle name="Normal 2 2 6 2 3 2 3 2 3" xfId="15952"/>
    <cellStyle name="Normal 2 2 6 2 3 2 3 3" xfId="15953"/>
    <cellStyle name="Normal 2 2 6 2 3 2 3 3 2" xfId="15954"/>
    <cellStyle name="Normal 2 2 6 2 3 2 3 4" xfId="15955"/>
    <cellStyle name="Normal 2 2 6 2 3 2 4" xfId="15956"/>
    <cellStyle name="Normal 2 2 6 2 3 2 4 2" xfId="15957"/>
    <cellStyle name="Normal 2 2 6 2 3 2 4 2 2" xfId="15958"/>
    <cellStyle name="Normal 2 2 6 2 3 2 4 3" xfId="15959"/>
    <cellStyle name="Normal 2 2 6 2 3 2 5" xfId="15960"/>
    <cellStyle name="Normal 2 2 6 2 3 2 5 2" xfId="15961"/>
    <cellStyle name="Normal 2 2 6 2 3 2 6" xfId="15962"/>
    <cellStyle name="Normal 2 2 6 2 3 3" xfId="1753"/>
    <cellStyle name="Normal 2 2 6 2 3 3 2" xfId="4473"/>
    <cellStyle name="Normal 2 2 6 2 3 3 2 2" xfId="15963"/>
    <cellStyle name="Normal 2 2 6 2 3 3 2 2 2" xfId="15964"/>
    <cellStyle name="Normal 2 2 6 2 3 3 2 2 2 2" xfId="15965"/>
    <cellStyle name="Normal 2 2 6 2 3 3 2 2 3" xfId="15966"/>
    <cellStyle name="Normal 2 2 6 2 3 3 2 3" xfId="15967"/>
    <cellStyle name="Normal 2 2 6 2 3 3 2 3 2" xfId="15968"/>
    <cellStyle name="Normal 2 2 6 2 3 3 2 4" xfId="15969"/>
    <cellStyle name="Normal 2 2 6 2 3 3 3" xfId="15970"/>
    <cellStyle name="Normal 2 2 6 2 3 3 3 2" xfId="15971"/>
    <cellStyle name="Normal 2 2 6 2 3 3 3 2 2" xfId="15972"/>
    <cellStyle name="Normal 2 2 6 2 3 3 3 3" xfId="15973"/>
    <cellStyle name="Normal 2 2 6 2 3 3 4" xfId="15974"/>
    <cellStyle name="Normal 2 2 6 2 3 3 4 2" xfId="15975"/>
    <cellStyle name="Normal 2 2 6 2 3 3 5" xfId="15976"/>
    <cellStyle name="Normal 2 2 6 2 3 4" xfId="3113"/>
    <cellStyle name="Normal 2 2 6 2 3 4 2" xfId="15977"/>
    <cellStyle name="Normal 2 2 6 2 3 4 2 2" xfId="15978"/>
    <cellStyle name="Normal 2 2 6 2 3 4 2 2 2" xfId="15979"/>
    <cellStyle name="Normal 2 2 6 2 3 4 2 3" xfId="15980"/>
    <cellStyle name="Normal 2 2 6 2 3 4 3" xfId="15981"/>
    <cellStyle name="Normal 2 2 6 2 3 4 3 2" xfId="15982"/>
    <cellStyle name="Normal 2 2 6 2 3 4 4" xfId="15983"/>
    <cellStyle name="Normal 2 2 6 2 3 5" xfId="15984"/>
    <cellStyle name="Normal 2 2 6 2 3 5 2" xfId="15985"/>
    <cellStyle name="Normal 2 2 6 2 3 5 2 2" xfId="15986"/>
    <cellStyle name="Normal 2 2 6 2 3 5 3" xfId="15987"/>
    <cellStyle name="Normal 2 2 6 2 3 6" xfId="15988"/>
    <cellStyle name="Normal 2 2 6 2 3 6 2" xfId="15989"/>
    <cellStyle name="Normal 2 2 6 2 3 7" xfId="15990"/>
    <cellStyle name="Normal 2 2 6 2 4" xfId="665"/>
    <cellStyle name="Normal 2 2 6 2 4 2" xfId="1345"/>
    <cellStyle name="Normal 2 2 6 2 4 2 2" xfId="2705"/>
    <cellStyle name="Normal 2 2 6 2 4 2 2 2" xfId="5425"/>
    <cellStyle name="Normal 2 2 6 2 4 2 2 2 2" xfId="15991"/>
    <cellStyle name="Normal 2 2 6 2 4 2 2 2 2 2" xfId="15992"/>
    <cellStyle name="Normal 2 2 6 2 4 2 2 2 2 2 2" xfId="15993"/>
    <cellStyle name="Normal 2 2 6 2 4 2 2 2 2 3" xfId="15994"/>
    <cellStyle name="Normal 2 2 6 2 4 2 2 2 3" xfId="15995"/>
    <cellStyle name="Normal 2 2 6 2 4 2 2 2 3 2" xfId="15996"/>
    <cellStyle name="Normal 2 2 6 2 4 2 2 2 4" xfId="15997"/>
    <cellStyle name="Normal 2 2 6 2 4 2 2 3" xfId="15998"/>
    <cellStyle name="Normal 2 2 6 2 4 2 2 3 2" xfId="15999"/>
    <cellStyle name="Normal 2 2 6 2 4 2 2 3 2 2" xfId="16000"/>
    <cellStyle name="Normal 2 2 6 2 4 2 2 3 3" xfId="16001"/>
    <cellStyle name="Normal 2 2 6 2 4 2 2 4" xfId="16002"/>
    <cellStyle name="Normal 2 2 6 2 4 2 2 4 2" xfId="16003"/>
    <cellStyle name="Normal 2 2 6 2 4 2 2 5" xfId="16004"/>
    <cellStyle name="Normal 2 2 6 2 4 2 3" xfId="4065"/>
    <cellStyle name="Normal 2 2 6 2 4 2 3 2" xfId="16005"/>
    <cellStyle name="Normal 2 2 6 2 4 2 3 2 2" xfId="16006"/>
    <cellStyle name="Normal 2 2 6 2 4 2 3 2 2 2" xfId="16007"/>
    <cellStyle name="Normal 2 2 6 2 4 2 3 2 3" xfId="16008"/>
    <cellStyle name="Normal 2 2 6 2 4 2 3 3" xfId="16009"/>
    <cellStyle name="Normal 2 2 6 2 4 2 3 3 2" xfId="16010"/>
    <cellStyle name="Normal 2 2 6 2 4 2 3 4" xfId="16011"/>
    <cellStyle name="Normal 2 2 6 2 4 2 4" xfId="16012"/>
    <cellStyle name="Normal 2 2 6 2 4 2 4 2" xfId="16013"/>
    <cellStyle name="Normal 2 2 6 2 4 2 4 2 2" xfId="16014"/>
    <cellStyle name="Normal 2 2 6 2 4 2 4 3" xfId="16015"/>
    <cellStyle name="Normal 2 2 6 2 4 2 5" xfId="16016"/>
    <cellStyle name="Normal 2 2 6 2 4 2 5 2" xfId="16017"/>
    <cellStyle name="Normal 2 2 6 2 4 2 6" xfId="16018"/>
    <cellStyle name="Normal 2 2 6 2 4 3" xfId="2025"/>
    <cellStyle name="Normal 2 2 6 2 4 3 2" xfId="4745"/>
    <cellStyle name="Normal 2 2 6 2 4 3 2 2" xfId="16019"/>
    <cellStyle name="Normal 2 2 6 2 4 3 2 2 2" xfId="16020"/>
    <cellStyle name="Normal 2 2 6 2 4 3 2 2 2 2" xfId="16021"/>
    <cellStyle name="Normal 2 2 6 2 4 3 2 2 3" xfId="16022"/>
    <cellStyle name="Normal 2 2 6 2 4 3 2 3" xfId="16023"/>
    <cellStyle name="Normal 2 2 6 2 4 3 2 3 2" xfId="16024"/>
    <cellStyle name="Normal 2 2 6 2 4 3 2 4" xfId="16025"/>
    <cellStyle name="Normal 2 2 6 2 4 3 3" xfId="16026"/>
    <cellStyle name="Normal 2 2 6 2 4 3 3 2" xfId="16027"/>
    <cellStyle name="Normal 2 2 6 2 4 3 3 2 2" xfId="16028"/>
    <cellStyle name="Normal 2 2 6 2 4 3 3 3" xfId="16029"/>
    <cellStyle name="Normal 2 2 6 2 4 3 4" xfId="16030"/>
    <cellStyle name="Normal 2 2 6 2 4 3 4 2" xfId="16031"/>
    <cellStyle name="Normal 2 2 6 2 4 3 5" xfId="16032"/>
    <cellStyle name="Normal 2 2 6 2 4 4" xfId="3385"/>
    <cellStyle name="Normal 2 2 6 2 4 4 2" xfId="16033"/>
    <cellStyle name="Normal 2 2 6 2 4 4 2 2" xfId="16034"/>
    <cellStyle name="Normal 2 2 6 2 4 4 2 2 2" xfId="16035"/>
    <cellStyle name="Normal 2 2 6 2 4 4 2 3" xfId="16036"/>
    <cellStyle name="Normal 2 2 6 2 4 4 3" xfId="16037"/>
    <cellStyle name="Normal 2 2 6 2 4 4 3 2" xfId="16038"/>
    <cellStyle name="Normal 2 2 6 2 4 4 4" xfId="16039"/>
    <cellStyle name="Normal 2 2 6 2 4 5" xfId="16040"/>
    <cellStyle name="Normal 2 2 6 2 4 5 2" xfId="16041"/>
    <cellStyle name="Normal 2 2 6 2 4 5 2 2" xfId="16042"/>
    <cellStyle name="Normal 2 2 6 2 4 5 3" xfId="16043"/>
    <cellStyle name="Normal 2 2 6 2 4 6" xfId="16044"/>
    <cellStyle name="Normal 2 2 6 2 4 6 2" xfId="16045"/>
    <cellStyle name="Normal 2 2 6 2 4 7" xfId="16046"/>
    <cellStyle name="Normal 2 2 6 2 5" xfId="801"/>
    <cellStyle name="Normal 2 2 6 2 5 2" xfId="2161"/>
    <cellStyle name="Normal 2 2 6 2 5 2 2" xfId="4881"/>
    <cellStyle name="Normal 2 2 6 2 5 2 2 2" xfId="16047"/>
    <cellStyle name="Normal 2 2 6 2 5 2 2 2 2" xfId="16048"/>
    <cellStyle name="Normal 2 2 6 2 5 2 2 2 2 2" xfId="16049"/>
    <cellStyle name="Normal 2 2 6 2 5 2 2 2 3" xfId="16050"/>
    <cellStyle name="Normal 2 2 6 2 5 2 2 3" xfId="16051"/>
    <cellStyle name="Normal 2 2 6 2 5 2 2 3 2" xfId="16052"/>
    <cellStyle name="Normal 2 2 6 2 5 2 2 4" xfId="16053"/>
    <cellStyle name="Normal 2 2 6 2 5 2 3" xfId="16054"/>
    <cellStyle name="Normal 2 2 6 2 5 2 3 2" xfId="16055"/>
    <cellStyle name="Normal 2 2 6 2 5 2 3 2 2" xfId="16056"/>
    <cellStyle name="Normal 2 2 6 2 5 2 3 3" xfId="16057"/>
    <cellStyle name="Normal 2 2 6 2 5 2 4" xfId="16058"/>
    <cellStyle name="Normal 2 2 6 2 5 2 4 2" xfId="16059"/>
    <cellStyle name="Normal 2 2 6 2 5 2 5" xfId="16060"/>
    <cellStyle name="Normal 2 2 6 2 5 3" xfId="3521"/>
    <cellStyle name="Normal 2 2 6 2 5 3 2" xfId="16061"/>
    <cellStyle name="Normal 2 2 6 2 5 3 2 2" xfId="16062"/>
    <cellStyle name="Normal 2 2 6 2 5 3 2 2 2" xfId="16063"/>
    <cellStyle name="Normal 2 2 6 2 5 3 2 3" xfId="16064"/>
    <cellStyle name="Normal 2 2 6 2 5 3 3" xfId="16065"/>
    <cellStyle name="Normal 2 2 6 2 5 3 3 2" xfId="16066"/>
    <cellStyle name="Normal 2 2 6 2 5 3 4" xfId="16067"/>
    <cellStyle name="Normal 2 2 6 2 5 4" xfId="16068"/>
    <cellStyle name="Normal 2 2 6 2 5 4 2" xfId="16069"/>
    <cellStyle name="Normal 2 2 6 2 5 4 2 2" xfId="16070"/>
    <cellStyle name="Normal 2 2 6 2 5 4 3" xfId="16071"/>
    <cellStyle name="Normal 2 2 6 2 5 5" xfId="16072"/>
    <cellStyle name="Normal 2 2 6 2 5 5 2" xfId="16073"/>
    <cellStyle name="Normal 2 2 6 2 5 6" xfId="16074"/>
    <cellStyle name="Normal 2 2 6 2 6" xfId="1481"/>
    <cellStyle name="Normal 2 2 6 2 6 2" xfId="4201"/>
    <cellStyle name="Normal 2 2 6 2 6 2 2" xfId="16075"/>
    <cellStyle name="Normal 2 2 6 2 6 2 2 2" xfId="16076"/>
    <cellStyle name="Normal 2 2 6 2 6 2 2 2 2" xfId="16077"/>
    <cellStyle name="Normal 2 2 6 2 6 2 2 3" xfId="16078"/>
    <cellStyle name="Normal 2 2 6 2 6 2 3" xfId="16079"/>
    <cellStyle name="Normal 2 2 6 2 6 2 3 2" xfId="16080"/>
    <cellStyle name="Normal 2 2 6 2 6 2 4" xfId="16081"/>
    <cellStyle name="Normal 2 2 6 2 6 3" xfId="16082"/>
    <cellStyle name="Normal 2 2 6 2 6 3 2" xfId="16083"/>
    <cellStyle name="Normal 2 2 6 2 6 3 2 2" xfId="16084"/>
    <cellStyle name="Normal 2 2 6 2 6 3 3" xfId="16085"/>
    <cellStyle name="Normal 2 2 6 2 6 4" xfId="16086"/>
    <cellStyle name="Normal 2 2 6 2 6 4 2" xfId="16087"/>
    <cellStyle name="Normal 2 2 6 2 6 5" xfId="16088"/>
    <cellStyle name="Normal 2 2 6 2 7" xfId="2841"/>
    <cellStyle name="Normal 2 2 6 2 7 2" xfId="16089"/>
    <cellStyle name="Normal 2 2 6 2 7 2 2" xfId="16090"/>
    <cellStyle name="Normal 2 2 6 2 7 2 2 2" xfId="16091"/>
    <cellStyle name="Normal 2 2 6 2 7 2 3" xfId="16092"/>
    <cellStyle name="Normal 2 2 6 2 7 3" xfId="16093"/>
    <cellStyle name="Normal 2 2 6 2 7 3 2" xfId="16094"/>
    <cellStyle name="Normal 2 2 6 2 7 4" xfId="16095"/>
    <cellStyle name="Normal 2 2 6 2 8" xfId="16096"/>
    <cellStyle name="Normal 2 2 6 2 8 2" xfId="16097"/>
    <cellStyle name="Normal 2 2 6 2 8 2 2" xfId="16098"/>
    <cellStyle name="Normal 2 2 6 2 8 3" xfId="16099"/>
    <cellStyle name="Normal 2 2 6 2 9" xfId="16100"/>
    <cellStyle name="Normal 2 2 6 2 9 2" xfId="16101"/>
    <cellStyle name="Normal 2 2 6 3" xfId="189"/>
    <cellStyle name="Normal 2 2 6 3 2" xfId="461"/>
    <cellStyle name="Normal 2 2 6 3 2 2" xfId="1141"/>
    <cellStyle name="Normal 2 2 6 3 2 2 2" xfId="2501"/>
    <cellStyle name="Normal 2 2 6 3 2 2 2 2" xfId="5221"/>
    <cellStyle name="Normal 2 2 6 3 2 2 2 2 2" xfId="16102"/>
    <cellStyle name="Normal 2 2 6 3 2 2 2 2 2 2" xfId="16103"/>
    <cellStyle name="Normal 2 2 6 3 2 2 2 2 2 2 2" xfId="16104"/>
    <cellStyle name="Normal 2 2 6 3 2 2 2 2 2 3" xfId="16105"/>
    <cellStyle name="Normal 2 2 6 3 2 2 2 2 3" xfId="16106"/>
    <cellStyle name="Normal 2 2 6 3 2 2 2 2 3 2" xfId="16107"/>
    <cellStyle name="Normal 2 2 6 3 2 2 2 2 4" xfId="16108"/>
    <cellStyle name="Normal 2 2 6 3 2 2 2 3" xfId="16109"/>
    <cellStyle name="Normal 2 2 6 3 2 2 2 3 2" xfId="16110"/>
    <cellStyle name="Normal 2 2 6 3 2 2 2 3 2 2" xfId="16111"/>
    <cellStyle name="Normal 2 2 6 3 2 2 2 3 3" xfId="16112"/>
    <cellStyle name="Normal 2 2 6 3 2 2 2 4" xfId="16113"/>
    <cellStyle name="Normal 2 2 6 3 2 2 2 4 2" xfId="16114"/>
    <cellStyle name="Normal 2 2 6 3 2 2 2 5" xfId="16115"/>
    <cellStyle name="Normal 2 2 6 3 2 2 3" xfId="3861"/>
    <cellStyle name="Normal 2 2 6 3 2 2 3 2" xfId="16116"/>
    <cellStyle name="Normal 2 2 6 3 2 2 3 2 2" xfId="16117"/>
    <cellStyle name="Normal 2 2 6 3 2 2 3 2 2 2" xfId="16118"/>
    <cellStyle name="Normal 2 2 6 3 2 2 3 2 3" xfId="16119"/>
    <cellStyle name="Normal 2 2 6 3 2 2 3 3" xfId="16120"/>
    <cellStyle name="Normal 2 2 6 3 2 2 3 3 2" xfId="16121"/>
    <cellStyle name="Normal 2 2 6 3 2 2 3 4" xfId="16122"/>
    <cellStyle name="Normal 2 2 6 3 2 2 4" xfId="16123"/>
    <cellStyle name="Normal 2 2 6 3 2 2 4 2" xfId="16124"/>
    <cellStyle name="Normal 2 2 6 3 2 2 4 2 2" xfId="16125"/>
    <cellStyle name="Normal 2 2 6 3 2 2 4 3" xfId="16126"/>
    <cellStyle name="Normal 2 2 6 3 2 2 5" xfId="16127"/>
    <cellStyle name="Normal 2 2 6 3 2 2 5 2" xfId="16128"/>
    <cellStyle name="Normal 2 2 6 3 2 2 6" xfId="16129"/>
    <cellStyle name="Normal 2 2 6 3 2 3" xfId="1821"/>
    <cellStyle name="Normal 2 2 6 3 2 3 2" xfId="4541"/>
    <cellStyle name="Normal 2 2 6 3 2 3 2 2" xfId="16130"/>
    <cellStyle name="Normal 2 2 6 3 2 3 2 2 2" xfId="16131"/>
    <cellStyle name="Normal 2 2 6 3 2 3 2 2 2 2" xfId="16132"/>
    <cellStyle name="Normal 2 2 6 3 2 3 2 2 3" xfId="16133"/>
    <cellStyle name="Normal 2 2 6 3 2 3 2 3" xfId="16134"/>
    <cellStyle name="Normal 2 2 6 3 2 3 2 3 2" xfId="16135"/>
    <cellStyle name="Normal 2 2 6 3 2 3 2 4" xfId="16136"/>
    <cellStyle name="Normal 2 2 6 3 2 3 3" xfId="16137"/>
    <cellStyle name="Normal 2 2 6 3 2 3 3 2" xfId="16138"/>
    <cellStyle name="Normal 2 2 6 3 2 3 3 2 2" xfId="16139"/>
    <cellStyle name="Normal 2 2 6 3 2 3 3 3" xfId="16140"/>
    <cellStyle name="Normal 2 2 6 3 2 3 4" xfId="16141"/>
    <cellStyle name="Normal 2 2 6 3 2 3 4 2" xfId="16142"/>
    <cellStyle name="Normal 2 2 6 3 2 3 5" xfId="16143"/>
    <cellStyle name="Normal 2 2 6 3 2 4" xfId="3181"/>
    <cellStyle name="Normal 2 2 6 3 2 4 2" xfId="16144"/>
    <cellStyle name="Normal 2 2 6 3 2 4 2 2" xfId="16145"/>
    <cellStyle name="Normal 2 2 6 3 2 4 2 2 2" xfId="16146"/>
    <cellStyle name="Normal 2 2 6 3 2 4 2 3" xfId="16147"/>
    <cellStyle name="Normal 2 2 6 3 2 4 3" xfId="16148"/>
    <cellStyle name="Normal 2 2 6 3 2 4 3 2" xfId="16149"/>
    <cellStyle name="Normal 2 2 6 3 2 4 4" xfId="16150"/>
    <cellStyle name="Normal 2 2 6 3 2 5" xfId="16151"/>
    <cellStyle name="Normal 2 2 6 3 2 5 2" xfId="16152"/>
    <cellStyle name="Normal 2 2 6 3 2 5 2 2" xfId="16153"/>
    <cellStyle name="Normal 2 2 6 3 2 5 3" xfId="16154"/>
    <cellStyle name="Normal 2 2 6 3 2 6" xfId="16155"/>
    <cellStyle name="Normal 2 2 6 3 2 6 2" xfId="16156"/>
    <cellStyle name="Normal 2 2 6 3 2 7" xfId="16157"/>
    <cellStyle name="Normal 2 2 6 3 3" xfId="869"/>
    <cellStyle name="Normal 2 2 6 3 3 2" xfId="2229"/>
    <cellStyle name="Normal 2 2 6 3 3 2 2" xfId="4949"/>
    <cellStyle name="Normal 2 2 6 3 3 2 2 2" xfId="16158"/>
    <cellStyle name="Normal 2 2 6 3 3 2 2 2 2" xfId="16159"/>
    <cellStyle name="Normal 2 2 6 3 3 2 2 2 2 2" xfId="16160"/>
    <cellStyle name="Normal 2 2 6 3 3 2 2 2 3" xfId="16161"/>
    <cellStyle name="Normal 2 2 6 3 3 2 2 3" xfId="16162"/>
    <cellStyle name="Normal 2 2 6 3 3 2 2 3 2" xfId="16163"/>
    <cellStyle name="Normal 2 2 6 3 3 2 2 4" xfId="16164"/>
    <cellStyle name="Normal 2 2 6 3 3 2 3" xfId="16165"/>
    <cellStyle name="Normal 2 2 6 3 3 2 3 2" xfId="16166"/>
    <cellStyle name="Normal 2 2 6 3 3 2 3 2 2" xfId="16167"/>
    <cellStyle name="Normal 2 2 6 3 3 2 3 3" xfId="16168"/>
    <cellStyle name="Normal 2 2 6 3 3 2 4" xfId="16169"/>
    <cellStyle name="Normal 2 2 6 3 3 2 4 2" xfId="16170"/>
    <cellStyle name="Normal 2 2 6 3 3 2 5" xfId="16171"/>
    <cellStyle name="Normal 2 2 6 3 3 3" xfId="3589"/>
    <cellStyle name="Normal 2 2 6 3 3 3 2" xfId="16172"/>
    <cellStyle name="Normal 2 2 6 3 3 3 2 2" xfId="16173"/>
    <cellStyle name="Normal 2 2 6 3 3 3 2 2 2" xfId="16174"/>
    <cellStyle name="Normal 2 2 6 3 3 3 2 3" xfId="16175"/>
    <cellStyle name="Normal 2 2 6 3 3 3 3" xfId="16176"/>
    <cellStyle name="Normal 2 2 6 3 3 3 3 2" xfId="16177"/>
    <cellStyle name="Normal 2 2 6 3 3 3 4" xfId="16178"/>
    <cellStyle name="Normal 2 2 6 3 3 4" xfId="16179"/>
    <cellStyle name="Normal 2 2 6 3 3 4 2" xfId="16180"/>
    <cellStyle name="Normal 2 2 6 3 3 4 2 2" xfId="16181"/>
    <cellStyle name="Normal 2 2 6 3 3 4 3" xfId="16182"/>
    <cellStyle name="Normal 2 2 6 3 3 5" xfId="16183"/>
    <cellStyle name="Normal 2 2 6 3 3 5 2" xfId="16184"/>
    <cellStyle name="Normal 2 2 6 3 3 6" xfId="16185"/>
    <cellStyle name="Normal 2 2 6 3 4" xfId="1549"/>
    <cellStyle name="Normal 2 2 6 3 4 2" xfId="4269"/>
    <cellStyle name="Normal 2 2 6 3 4 2 2" xfId="16186"/>
    <cellStyle name="Normal 2 2 6 3 4 2 2 2" xfId="16187"/>
    <cellStyle name="Normal 2 2 6 3 4 2 2 2 2" xfId="16188"/>
    <cellStyle name="Normal 2 2 6 3 4 2 2 3" xfId="16189"/>
    <cellStyle name="Normal 2 2 6 3 4 2 3" xfId="16190"/>
    <cellStyle name="Normal 2 2 6 3 4 2 3 2" xfId="16191"/>
    <cellStyle name="Normal 2 2 6 3 4 2 4" xfId="16192"/>
    <cellStyle name="Normal 2 2 6 3 4 3" xfId="16193"/>
    <cellStyle name="Normal 2 2 6 3 4 3 2" xfId="16194"/>
    <cellStyle name="Normal 2 2 6 3 4 3 2 2" xfId="16195"/>
    <cellStyle name="Normal 2 2 6 3 4 3 3" xfId="16196"/>
    <cellStyle name="Normal 2 2 6 3 4 4" xfId="16197"/>
    <cellStyle name="Normal 2 2 6 3 4 4 2" xfId="16198"/>
    <cellStyle name="Normal 2 2 6 3 4 5" xfId="16199"/>
    <cellStyle name="Normal 2 2 6 3 5" xfId="2909"/>
    <cellStyle name="Normal 2 2 6 3 5 2" xfId="16200"/>
    <cellStyle name="Normal 2 2 6 3 5 2 2" xfId="16201"/>
    <cellStyle name="Normal 2 2 6 3 5 2 2 2" xfId="16202"/>
    <cellStyle name="Normal 2 2 6 3 5 2 3" xfId="16203"/>
    <cellStyle name="Normal 2 2 6 3 5 3" xfId="16204"/>
    <cellStyle name="Normal 2 2 6 3 5 3 2" xfId="16205"/>
    <cellStyle name="Normal 2 2 6 3 5 4" xfId="16206"/>
    <cellStyle name="Normal 2 2 6 3 6" xfId="16207"/>
    <cellStyle name="Normal 2 2 6 3 6 2" xfId="16208"/>
    <cellStyle name="Normal 2 2 6 3 6 2 2" xfId="16209"/>
    <cellStyle name="Normal 2 2 6 3 6 3" xfId="16210"/>
    <cellStyle name="Normal 2 2 6 3 7" xfId="16211"/>
    <cellStyle name="Normal 2 2 6 3 7 2" xfId="16212"/>
    <cellStyle name="Normal 2 2 6 3 8" xfId="16213"/>
    <cellStyle name="Normal 2 2 6 4" xfId="325"/>
    <cellStyle name="Normal 2 2 6 4 2" xfId="1005"/>
    <cellStyle name="Normal 2 2 6 4 2 2" xfId="2365"/>
    <cellStyle name="Normal 2 2 6 4 2 2 2" xfId="5085"/>
    <cellStyle name="Normal 2 2 6 4 2 2 2 2" xfId="16214"/>
    <cellStyle name="Normal 2 2 6 4 2 2 2 2 2" xfId="16215"/>
    <cellStyle name="Normal 2 2 6 4 2 2 2 2 2 2" xfId="16216"/>
    <cellStyle name="Normal 2 2 6 4 2 2 2 2 3" xfId="16217"/>
    <cellStyle name="Normal 2 2 6 4 2 2 2 3" xfId="16218"/>
    <cellStyle name="Normal 2 2 6 4 2 2 2 3 2" xfId="16219"/>
    <cellStyle name="Normal 2 2 6 4 2 2 2 4" xfId="16220"/>
    <cellStyle name="Normal 2 2 6 4 2 2 3" xfId="16221"/>
    <cellStyle name="Normal 2 2 6 4 2 2 3 2" xfId="16222"/>
    <cellStyle name="Normal 2 2 6 4 2 2 3 2 2" xfId="16223"/>
    <cellStyle name="Normal 2 2 6 4 2 2 3 3" xfId="16224"/>
    <cellStyle name="Normal 2 2 6 4 2 2 4" xfId="16225"/>
    <cellStyle name="Normal 2 2 6 4 2 2 4 2" xfId="16226"/>
    <cellStyle name="Normal 2 2 6 4 2 2 5" xfId="16227"/>
    <cellStyle name="Normal 2 2 6 4 2 3" xfId="3725"/>
    <cellStyle name="Normal 2 2 6 4 2 3 2" xfId="16228"/>
    <cellStyle name="Normal 2 2 6 4 2 3 2 2" xfId="16229"/>
    <cellStyle name="Normal 2 2 6 4 2 3 2 2 2" xfId="16230"/>
    <cellStyle name="Normal 2 2 6 4 2 3 2 3" xfId="16231"/>
    <cellStyle name="Normal 2 2 6 4 2 3 3" xfId="16232"/>
    <cellStyle name="Normal 2 2 6 4 2 3 3 2" xfId="16233"/>
    <cellStyle name="Normal 2 2 6 4 2 3 4" xfId="16234"/>
    <cellStyle name="Normal 2 2 6 4 2 4" xfId="16235"/>
    <cellStyle name="Normal 2 2 6 4 2 4 2" xfId="16236"/>
    <cellStyle name="Normal 2 2 6 4 2 4 2 2" xfId="16237"/>
    <cellStyle name="Normal 2 2 6 4 2 4 3" xfId="16238"/>
    <cellStyle name="Normal 2 2 6 4 2 5" xfId="16239"/>
    <cellStyle name="Normal 2 2 6 4 2 5 2" xfId="16240"/>
    <cellStyle name="Normal 2 2 6 4 2 6" xfId="16241"/>
    <cellStyle name="Normal 2 2 6 4 3" xfId="1685"/>
    <cellStyle name="Normal 2 2 6 4 3 2" xfId="4405"/>
    <cellStyle name="Normal 2 2 6 4 3 2 2" xfId="16242"/>
    <cellStyle name="Normal 2 2 6 4 3 2 2 2" xfId="16243"/>
    <cellStyle name="Normal 2 2 6 4 3 2 2 2 2" xfId="16244"/>
    <cellStyle name="Normal 2 2 6 4 3 2 2 3" xfId="16245"/>
    <cellStyle name="Normal 2 2 6 4 3 2 3" xfId="16246"/>
    <cellStyle name="Normal 2 2 6 4 3 2 3 2" xfId="16247"/>
    <cellStyle name="Normal 2 2 6 4 3 2 4" xfId="16248"/>
    <cellStyle name="Normal 2 2 6 4 3 3" xfId="16249"/>
    <cellStyle name="Normal 2 2 6 4 3 3 2" xfId="16250"/>
    <cellStyle name="Normal 2 2 6 4 3 3 2 2" xfId="16251"/>
    <cellStyle name="Normal 2 2 6 4 3 3 3" xfId="16252"/>
    <cellStyle name="Normal 2 2 6 4 3 4" xfId="16253"/>
    <cellStyle name="Normal 2 2 6 4 3 4 2" xfId="16254"/>
    <cellStyle name="Normal 2 2 6 4 3 5" xfId="16255"/>
    <cellStyle name="Normal 2 2 6 4 4" xfId="3045"/>
    <cellStyle name="Normal 2 2 6 4 4 2" xfId="16256"/>
    <cellStyle name="Normal 2 2 6 4 4 2 2" xfId="16257"/>
    <cellStyle name="Normal 2 2 6 4 4 2 2 2" xfId="16258"/>
    <cellStyle name="Normal 2 2 6 4 4 2 3" xfId="16259"/>
    <cellStyle name="Normal 2 2 6 4 4 3" xfId="16260"/>
    <cellStyle name="Normal 2 2 6 4 4 3 2" xfId="16261"/>
    <cellStyle name="Normal 2 2 6 4 4 4" xfId="16262"/>
    <cellStyle name="Normal 2 2 6 4 5" xfId="16263"/>
    <cellStyle name="Normal 2 2 6 4 5 2" xfId="16264"/>
    <cellStyle name="Normal 2 2 6 4 5 2 2" xfId="16265"/>
    <cellStyle name="Normal 2 2 6 4 5 3" xfId="16266"/>
    <cellStyle name="Normal 2 2 6 4 6" xfId="16267"/>
    <cellStyle name="Normal 2 2 6 4 6 2" xfId="16268"/>
    <cellStyle name="Normal 2 2 6 4 7" xfId="16269"/>
    <cellStyle name="Normal 2 2 6 5" xfId="597"/>
    <cellStyle name="Normal 2 2 6 5 2" xfId="1277"/>
    <cellStyle name="Normal 2 2 6 5 2 2" xfId="2637"/>
    <cellStyle name="Normal 2 2 6 5 2 2 2" xfId="5357"/>
    <cellStyle name="Normal 2 2 6 5 2 2 2 2" xfId="16270"/>
    <cellStyle name="Normal 2 2 6 5 2 2 2 2 2" xfId="16271"/>
    <cellStyle name="Normal 2 2 6 5 2 2 2 2 2 2" xfId="16272"/>
    <cellStyle name="Normal 2 2 6 5 2 2 2 2 3" xfId="16273"/>
    <cellStyle name="Normal 2 2 6 5 2 2 2 3" xfId="16274"/>
    <cellStyle name="Normal 2 2 6 5 2 2 2 3 2" xfId="16275"/>
    <cellStyle name="Normal 2 2 6 5 2 2 2 4" xfId="16276"/>
    <cellStyle name="Normal 2 2 6 5 2 2 3" xfId="16277"/>
    <cellStyle name="Normal 2 2 6 5 2 2 3 2" xfId="16278"/>
    <cellStyle name="Normal 2 2 6 5 2 2 3 2 2" xfId="16279"/>
    <cellStyle name="Normal 2 2 6 5 2 2 3 3" xfId="16280"/>
    <cellStyle name="Normal 2 2 6 5 2 2 4" xfId="16281"/>
    <cellStyle name="Normal 2 2 6 5 2 2 4 2" xfId="16282"/>
    <cellStyle name="Normal 2 2 6 5 2 2 5" xfId="16283"/>
    <cellStyle name="Normal 2 2 6 5 2 3" xfId="3997"/>
    <cellStyle name="Normal 2 2 6 5 2 3 2" xfId="16284"/>
    <cellStyle name="Normal 2 2 6 5 2 3 2 2" xfId="16285"/>
    <cellStyle name="Normal 2 2 6 5 2 3 2 2 2" xfId="16286"/>
    <cellStyle name="Normal 2 2 6 5 2 3 2 3" xfId="16287"/>
    <cellStyle name="Normal 2 2 6 5 2 3 3" xfId="16288"/>
    <cellStyle name="Normal 2 2 6 5 2 3 3 2" xfId="16289"/>
    <cellStyle name="Normal 2 2 6 5 2 3 4" xfId="16290"/>
    <cellStyle name="Normal 2 2 6 5 2 4" xfId="16291"/>
    <cellStyle name="Normal 2 2 6 5 2 4 2" xfId="16292"/>
    <cellStyle name="Normal 2 2 6 5 2 4 2 2" xfId="16293"/>
    <cellStyle name="Normal 2 2 6 5 2 4 3" xfId="16294"/>
    <cellStyle name="Normal 2 2 6 5 2 5" xfId="16295"/>
    <cellStyle name="Normal 2 2 6 5 2 5 2" xfId="16296"/>
    <cellStyle name="Normal 2 2 6 5 2 6" xfId="16297"/>
    <cellStyle name="Normal 2 2 6 5 3" xfId="1957"/>
    <cellStyle name="Normal 2 2 6 5 3 2" xfId="4677"/>
    <cellStyle name="Normal 2 2 6 5 3 2 2" xfId="16298"/>
    <cellStyle name="Normal 2 2 6 5 3 2 2 2" xfId="16299"/>
    <cellStyle name="Normal 2 2 6 5 3 2 2 2 2" xfId="16300"/>
    <cellStyle name="Normal 2 2 6 5 3 2 2 3" xfId="16301"/>
    <cellStyle name="Normal 2 2 6 5 3 2 3" xfId="16302"/>
    <cellStyle name="Normal 2 2 6 5 3 2 3 2" xfId="16303"/>
    <cellStyle name="Normal 2 2 6 5 3 2 4" xfId="16304"/>
    <cellStyle name="Normal 2 2 6 5 3 3" xfId="16305"/>
    <cellStyle name="Normal 2 2 6 5 3 3 2" xfId="16306"/>
    <cellStyle name="Normal 2 2 6 5 3 3 2 2" xfId="16307"/>
    <cellStyle name="Normal 2 2 6 5 3 3 3" xfId="16308"/>
    <cellStyle name="Normal 2 2 6 5 3 4" xfId="16309"/>
    <cellStyle name="Normal 2 2 6 5 3 4 2" xfId="16310"/>
    <cellStyle name="Normal 2 2 6 5 3 5" xfId="16311"/>
    <cellStyle name="Normal 2 2 6 5 4" xfId="3317"/>
    <cellStyle name="Normal 2 2 6 5 4 2" xfId="16312"/>
    <cellStyle name="Normal 2 2 6 5 4 2 2" xfId="16313"/>
    <cellStyle name="Normal 2 2 6 5 4 2 2 2" xfId="16314"/>
    <cellStyle name="Normal 2 2 6 5 4 2 3" xfId="16315"/>
    <cellStyle name="Normal 2 2 6 5 4 3" xfId="16316"/>
    <cellStyle name="Normal 2 2 6 5 4 3 2" xfId="16317"/>
    <cellStyle name="Normal 2 2 6 5 4 4" xfId="16318"/>
    <cellStyle name="Normal 2 2 6 5 5" xfId="16319"/>
    <cellStyle name="Normal 2 2 6 5 5 2" xfId="16320"/>
    <cellStyle name="Normal 2 2 6 5 5 2 2" xfId="16321"/>
    <cellStyle name="Normal 2 2 6 5 5 3" xfId="16322"/>
    <cellStyle name="Normal 2 2 6 5 6" xfId="16323"/>
    <cellStyle name="Normal 2 2 6 5 6 2" xfId="16324"/>
    <cellStyle name="Normal 2 2 6 5 7" xfId="16325"/>
    <cellStyle name="Normal 2 2 6 6" xfId="733"/>
    <cellStyle name="Normal 2 2 6 6 2" xfId="2093"/>
    <cellStyle name="Normal 2 2 6 6 2 2" xfId="4813"/>
    <cellStyle name="Normal 2 2 6 6 2 2 2" xfId="16326"/>
    <cellStyle name="Normal 2 2 6 6 2 2 2 2" xfId="16327"/>
    <cellStyle name="Normal 2 2 6 6 2 2 2 2 2" xfId="16328"/>
    <cellStyle name="Normal 2 2 6 6 2 2 2 3" xfId="16329"/>
    <cellStyle name="Normal 2 2 6 6 2 2 3" xfId="16330"/>
    <cellStyle name="Normal 2 2 6 6 2 2 3 2" xfId="16331"/>
    <cellStyle name="Normal 2 2 6 6 2 2 4" xfId="16332"/>
    <cellStyle name="Normal 2 2 6 6 2 3" xfId="16333"/>
    <cellStyle name="Normal 2 2 6 6 2 3 2" xfId="16334"/>
    <cellStyle name="Normal 2 2 6 6 2 3 2 2" xfId="16335"/>
    <cellStyle name="Normal 2 2 6 6 2 3 3" xfId="16336"/>
    <cellStyle name="Normal 2 2 6 6 2 4" xfId="16337"/>
    <cellStyle name="Normal 2 2 6 6 2 4 2" xfId="16338"/>
    <cellStyle name="Normal 2 2 6 6 2 5" xfId="16339"/>
    <cellStyle name="Normal 2 2 6 6 3" xfId="3453"/>
    <cellStyle name="Normal 2 2 6 6 3 2" xfId="16340"/>
    <cellStyle name="Normal 2 2 6 6 3 2 2" xfId="16341"/>
    <cellStyle name="Normal 2 2 6 6 3 2 2 2" xfId="16342"/>
    <cellStyle name="Normal 2 2 6 6 3 2 3" xfId="16343"/>
    <cellStyle name="Normal 2 2 6 6 3 3" xfId="16344"/>
    <cellStyle name="Normal 2 2 6 6 3 3 2" xfId="16345"/>
    <cellStyle name="Normal 2 2 6 6 3 4" xfId="16346"/>
    <cellStyle name="Normal 2 2 6 6 4" xfId="16347"/>
    <cellStyle name="Normal 2 2 6 6 4 2" xfId="16348"/>
    <cellStyle name="Normal 2 2 6 6 4 2 2" xfId="16349"/>
    <cellStyle name="Normal 2 2 6 6 4 3" xfId="16350"/>
    <cellStyle name="Normal 2 2 6 6 5" xfId="16351"/>
    <cellStyle name="Normal 2 2 6 6 5 2" xfId="16352"/>
    <cellStyle name="Normal 2 2 6 6 6" xfId="16353"/>
    <cellStyle name="Normal 2 2 6 7" xfId="1413"/>
    <cellStyle name="Normal 2 2 6 7 2" xfId="4133"/>
    <cellStyle name="Normal 2 2 6 7 2 2" xfId="16354"/>
    <cellStyle name="Normal 2 2 6 7 2 2 2" xfId="16355"/>
    <cellStyle name="Normal 2 2 6 7 2 2 2 2" xfId="16356"/>
    <cellStyle name="Normal 2 2 6 7 2 2 3" xfId="16357"/>
    <cellStyle name="Normal 2 2 6 7 2 3" xfId="16358"/>
    <cellStyle name="Normal 2 2 6 7 2 3 2" xfId="16359"/>
    <cellStyle name="Normal 2 2 6 7 2 4" xfId="16360"/>
    <cellStyle name="Normal 2 2 6 7 3" xfId="16361"/>
    <cellStyle name="Normal 2 2 6 7 3 2" xfId="16362"/>
    <cellStyle name="Normal 2 2 6 7 3 2 2" xfId="16363"/>
    <cellStyle name="Normal 2 2 6 7 3 3" xfId="16364"/>
    <cellStyle name="Normal 2 2 6 7 4" xfId="16365"/>
    <cellStyle name="Normal 2 2 6 7 4 2" xfId="16366"/>
    <cellStyle name="Normal 2 2 6 7 5" xfId="16367"/>
    <cellStyle name="Normal 2 2 6 8" xfId="2773"/>
    <cellStyle name="Normal 2 2 6 8 2" xfId="16368"/>
    <cellStyle name="Normal 2 2 6 8 2 2" xfId="16369"/>
    <cellStyle name="Normal 2 2 6 8 2 2 2" xfId="16370"/>
    <cellStyle name="Normal 2 2 6 8 2 3" xfId="16371"/>
    <cellStyle name="Normal 2 2 6 8 3" xfId="16372"/>
    <cellStyle name="Normal 2 2 6 8 3 2" xfId="16373"/>
    <cellStyle name="Normal 2 2 6 8 4" xfId="16374"/>
    <cellStyle name="Normal 2 2 6 9" xfId="16375"/>
    <cellStyle name="Normal 2 2 6 9 2" xfId="16376"/>
    <cellStyle name="Normal 2 2 6 9 2 2" xfId="16377"/>
    <cellStyle name="Normal 2 2 6 9 3" xfId="16378"/>
    <cellStyle name="Normal 2 2 7" xfId="86"/>
    <cellStyle name="Normal 2 2 7 10" xfId="16379"/>
    <cellStyle name="Normal 2 2 7 2" xfId="223"/>
    <cellStyle name="Normal 2 2 7 2 2" xfId="495"/>
    <cellStyle name="Normal 2 2 7 2 2 2" xfId="1175"/>
    <cellStyle name="Normal 2 2 7 2 2 2 2" xfId="2535"/>
    <cellStyle name="Normal 2 2 7 2 2 2 2 2" xfId="5255"/>
    <cellStyle name="Normal 2 2 7 2 2 2 2 2 2" xfId="16380"/>
    <cellStyle name="Normal 2 2 7 2 2 2 2 2 2 2" xfId="16381"/>
    <cellStyle name="Normal 2 2 7 2 2 2 2 2 2 2 2" xfId="16382"/>
    <cellStyle name="Normal 2 2 7 2 2 2 2 2 2 3" xfId="16383"/>
    <cellStyle name="Normal 2 2 7 2 2 2 2 2 3" xfId="16384"/>
    <cellStyle name="Normal 2 2 7 2 2 2 2 2 3 2" xfId="16385"/>
    <cellStyle name="Normal 2 2 7 2 2 2 2 2 4" xfId="16386"/>
    <cellStyle name="Normal 2 2 7 2 2 2 2 3" xfId="16387"/>
    <cellStyle name="Normal 2 2 7 2 2 2 2 3 2" xfId="16388"/>
    <cellStyle name="Normal 2 2 7 2 2 2 2 3 2 2" xfId="16389"/>
    <cellStyle name="Normal 2 2 7 2 2 2 2 3 3" xfId="16390"/>
    <cellStyle name="Normal 2 2 7 2 2 2 2 4" xfId="16391"/>
    <cellStyle name="Normal 2 2 7 2 2 2 2 4 2" xfId="16392"/>
    <cellStyle name="Normal 2 2 7 2 2 2 2 5" xfId="16393"/>
    <cellStyle name="Normal 2 2 7 2 2 2 3" xfId="3895"/>
    <cellStyle name="Normal 2 2 7 2 2 2 3 2" xfId="16394"/>
    <cellStyle name="Normal 2 2 7 2 2 2 3 2 2" xfId="16395"/>
    <cellStyle name="Normal 2 2 7 2 2 2 3 2 2 2" xfId="16396"/>
    <cellStyle name="Normal 2 2 7 2 2 2 3 2 3" xfId="16397"/>
    <cellStyle name="Normal 2 2 7 2 2 2 3 3" xfId="16398"/>
    <cellStyle name="Normal 2 2 7 2 2 2 3 3 2" xfId="16399"/>
    <cellStyle name="Normal 2 2 7 2 2 2 3 4" xfId="16400"/>
    <cellStyle name="Normal 2 2 7 2 2 2 4" xfId="16401"/>
    <cellStyle name="Normal 2 2 7 2 2 2 4 2" xfId="16402"/>
    <cellStyle name="Normal 2 2 7 2 2 2 4 2 2" xfId="16403"/>
    <cellStyle name="Normal 2 2 7 2 2 2 4 3" xfId="16404"/>
    <cellStyle name="Normal 2 2 7 2 2 2 5" xfId="16405"/>
    <cellStyle name="Normal 2 2 7 2 2 2 5 2" xfId="16406"/>
    <cellStyle name="Normal 2 2 7 2 2 2 6" xfId="16407"/>
    <cellStyle name="Normal 2 2 7 2 2 3" xfId="1855"/>
    <cellStyle name="Normal 2 2 7 2 2 3 2" xfId="4575"/>
    <cellStyle name="Normal 2 2 7 2 2 3 2 2" xfId="16408"/>
    <cellStyle name="Normal 2 2 7 2 2 3 2 2 2" xfId="16409"/>
    <cellStyle name="Normal 2 2 7 2 2 3 2 2 2 2" xfId="16410"/>
    <cellStyle name="Normal 2 2 7 2 2 3 2 2 3" xfId="16411"/>
    <cellStyle name="Normal 2 2 7 2 2 3 2 3" xfId="16412"/>
    <cellStyle name="Normal 2 2 7 2 2 3 2 3 2" xfId="16413"/>
    <cellStyle name="Normal 2 2 7 2 2 3 2 4" xfId="16414"/>
    <cellStyle name="Normal 2 2 7 2 2 3 3" xfId="16415"/>
    <cellStyle name="Normal 2 2 7 2 2 3 3 2" xfId="16416"/>
    <cellStyle name="Normal 2 2 7 2 2 3 3 2 2" xfId="16417"/>
    <cellStyle name="Normal 2 2 7 2 2 3 3 3" xfId="16418"/>
    <cellStyle name="Normal 2 2 7 2 2 3 4" xfId="16419"/>
    <cellStyle name="Normal 2 2 7 2 2 3 4 2" xfId="16420"/>
    <cellStyle name="Normal 2 2 7 2 2 3 5" xfId="16421"/>
    <cellStyle name="Normal 2 2 7 2 2 4" xfId="3215"/>
    <cellStyle name="Normal 2 2 7 2 2 4 2" xfId="16422"/>
    <cellStyle name="Normal 2 2 7 2 2 4 2 2" xfId="16423"/>
    <cellStyle name="Normal 2 2 7 2 2 4 2 2 2" xfId="16424"/>
    <cellStyle name="Normal 2 2 7 2 2 4 2 3" xfId="16425"/>
    <cellStyle name="Normal 2 2 7 2 2 4 3" xfId="16426"/>
    <cellStyle name="Normal 2 2 7 2 2 4 3 2" xfId="16427"/>
    <cellStyle name="Normal 2 2 7 2 2 4 4" xfId="16428"/>
    <cellStyle name="Normal 2 2 7 2 2 5" xfId="16429"/>
    <cellStyle name="Normal 2 2 7 2 2 5 2" xfId="16430"/>
    <cellStyle name="Normal 2 2 7 2 2 5 2 2" xfId="16431"/>
    <cellStyle name="Normal 2 2 7 2 2 5 3" xfId="16432"/>
    <cellStyle name="Normal 2 2 7 2 2 6" xfId="16433"/>
    <cellStyle name="Normal 2 2 7 2 2 6 2" xfId="16434"/>
    <cellStyle name="Normal 2 2 7 2 2 7" xfId="16435"/>
    <cellStyle name="Normal 2 2 7 2 3" xfId="903"/>
    <cellStyle name="Normal 2 2 7 2 3 2" xfId="2263"/>
    <cellStyle name="Normal 2 2 7 2 3 2 2" xfId="4983"/>
    <cellStyle name="Normal 2 2 7 2 3 2 2 2" xfId="16436"/>
    <cellStyle name="Normal 2 2 7 2 3 2 2 2 2" xfId="16437"/>
    <cellStyle name="Normal 2 2 7 2 3 2 2 2 2 2" xfId="16438"/>
    <cellStyle name="Normal 2 2 7 2 3 2 2 2 3" xfId="16439"/>
    <cellStyle name="Normal 2 2 7 2 3 2 2 3" xfId="16440"/>
    <cellStyle name="Normal 2 2 7 2 3 2 2 3 2" xfId="16441"/>
    <cellStyle name="Normal 2 2 7 2 3 2 2 4" xfId="16442"/>
    <cellStyle name="Normal 2 2 7 2 3 2 3" xfId="16443"/>
    <cellStyle name="Normal 2 2 7 2 3 2 3 2" xfId="16444"/>
    <cellStyle name="Normal 2 2 7 2 3 2 3 2 2" xfId="16445"/>
    <cellStyle name="Normal 2 2 7 2 3 2 3 3" xfId="16446"/>
    <cellStyle name="Normal 2 2 7 2 3 2 4" xfId="16447"/>
    <cellStyle name="Normal 2 2 7 2 3 2 4 2" xfId="16448"/>
    <cellStyle name="Normal 2 2 7 2 3 2 5" xfId="16449"/>
    <cellStyle name="Normal 2 2 7 2 3 3" xfId="3623"/>
    <cellStyle name="Normal 2 2 7 2 3 3 2" xfId="16450"/>
    <cellStyle name="Normal 2 2 7 2 3 3 2 2" xfId="16451"/>
    <cellStyle name="Normal 2 2 7 2 3 3 2 2 2" xfId="16452"/>
    <cellStyle name="Normal 2 2 7 2 3 3 2 3" xfId="16453"/>
    <cellStyle name="Normal 2 2 7 2 3 3 3" xfId="16454"/>
    <cellStyle name="Normal 2 2 7 2 3 3 3 2" xfId="16455"/>
    <cellStyle name="Normal 2 2 7 2 3 3 4" xfId="16456"/>
    <cellStyle name="Normal 2 2 7 2 3 4" xfId="16457"/>
    <cellStyle name="Normal 2 2 7 2 3 4 2" xfId="16458"/>
    <cellStyle name="Normal 2 2 7 2 3 4 2 2" xfId="16459"/>
    <cellStyle name="Normal 2 2 7 2 3 4 3" xfId="16460"/>
    <cellStyle name="Normal 2 2 7 2 3 5" xfId="16461"/>
    <cellStyle name="Normal 2 2 7 2 3 5 2" xfId="16462"/>
    <cellStyle name="Normal 2 2 7 2 3 6" xfId="16463"/>
    <cellStyle name="Normal 2 2 7 2 4" xfId="1583"/>
    <cellStyle name="Normal 2 2 7 2 4 2" xfId="4303"/>
    <cellStyle name="Normal 2 2 7 2 4 2 2" xfId="16464"/>
    <cellStyle name="Normal 2 2 7 2 4 2 2 2" xfId="16465"/>
    <cellStyle name="Normal 2 2 7 2 4 2 2 2 2" xfId="16466"/>
    <cellStyle name="Normal 2 2 7 2 4 2 2 3" xfId="16467"/>
    <cellStyle name="Normal 2 2 7 2 4 2 3" xfId="16468"/>
    <cellStyle name="Normal 2 2 7 2 4 2 3 2" xfId="16469"/>
    <cellStyle name="Normal 2 2 7 2 4 2 4" xfId="16470"/>
    <cellStyle name="Normal 2 2 7 2 4 3" xfId="16471"/>
    <cellStyle name="Normal 2 2 7 2 4 3 2" xfId="16472"/>
    <cellStyle name="Normal 2 2 7 2 4 3 2 2" xfId="16473"/>
    <cellStyle name="Normal 2 2 7 2 4 3 3" xfId="16474"/>
    <cellStyle name="Normal 2 2 7 2 4 4" xfId="16475"/>
    <cellStyle name="Normal 2 2 7 2 4 4 2" xfId="16476"/>
    <cellStyle name="Normal 2 2 7 2 4 5" xfId="16477"/>
    <cellStyle name="Normal 2 2 7 2 5" xfId="2943"/>
    <cellStyle name="Normal 2 2 7 2 5 2" xfId="16478"/>
    <cellStyle name="Normal 2 2 7 2 5 2 2" xfId="16479"/>
    <cellStyle name="Normal 2 2 7 2 5 2 2 2" xfId="16480"/>
    <cellStyle name="Normal 2 2 7 2 5 2 3" xfId="16481"/>
    <cellStyle name="Normal 2 2 7 2 5 3" xfId="16482"/>
    <cellStyle name="Normal 2 2 7 2 5 3 2" xfId="16483"/>
    <cellStyle name="Normal 2 2 7 2 5 4" xfId="16484"/>
    <cellStyle name="Normal 2 2 7 2 6" xfId="16485"/>
    <cellStyle name="Normal 2 2 7 2 6 2" xfId="16486"/>
    <cellStyle name="Normal 2 2 7 2 6 2 2" xfId="16487"/>
    <cellStyle name="Normal 2 2 7 2 6 3" xfId="16488"/>
    <cellStyle name="Normal 2 2 7 2 7" xfId="16489"/>
    <cellStyle name="Normal 2 2 7 2 7 2" xfId="16490"/>
    <cellStyle name="Normal 2 2 7 2 8" xfId="16491"/>
    <cellStyle name="Normal 2 2 7 3" xfId="359"/>
    <cellStyle name="Normal 2 2 7 3 2" xfId="1039"/>
    <cellStyle name="Normal 2 2 7 3 2 2" xfId="2399"/>
    <cellStyle name="Normal 2 2 7 3 2 2 2" xfId="5119"/>
    <cellStyle name="Normal 2 2 7 3 2 2 2 2" xfId="16492"/>
    <cellStyle name="Normal 2 2 7 3 2 2 2 2 2" xfId="16493"/>
    <cellStyle name="Normal 2 2 7 3 2 2 2 2 2 2" xfId="16494"/>
    <cellStyle name="Normal 2 2 7 3 2 2 2 2 3" xfId="16495"/>
    <cellStyle name="Normal 2 2 7 3 2 2 2 3" xfId="16496"/>
    <cellStyle name="Normal 2 2 7 3 2 2 2 3 2" xfId="16497"/>
    <cellStyle name="Normal 2 2 7 3 2 2 2 4" xfId="16498"/>
    <cellStyle name="Normal 2 2 7 3 2 2 3" xfId="16499"/>
    <cellStyle name="Normal 2 2 7 3 2 2 3 2" xfId="16500"/>
    <cellStyle name="Normal 2 2 7 3 2 2 3 2 2" xfId="16501"/>
    <cellStyle name="Normal 2 2 7 3 2 2 3 3" xfId="16502"/>
    <cellStyle name="Normal 2 2 7 3 2 2 4" xfId="16503"/>
    <cellStyle name="Normal 2 2 7 3 2 2 4 2" xfId="16504"/>
    <cellStyle name="Normal 2 2 7 3 2 2 5" xfId="16505"/>
    <cellStyle name="Normal 2 2 7 3 2 3" xfId="3759"/>
    <cellStyle name="Normal 2 2 7 3 2 3 2" xfId="16506"/>
    <cellStyle name="Normal 2 2 7 3 2 3 2 2" xfId="16507"/>
    <cellStyle name="Normal 2 2 7 3 2 3 2 2 2" xfId="16508"/>
    <cellStyle name="Normal 2 2 7 3 2 3 2 3" xfId="16509"/>
    <cellStyle name="Normal 2 2 7 3 2 3 3" xfId="16510"/>
    <cellStyle name="Normal 2 2 7 3 2 3 3 2" xfId="16511"/>
    <cellStyle name="Normal 2 2 7 3 2 3 4" xfId="16512"/>
    <cellStyle name="Normal 2 2 7 3 2 4" xfId="16513"/>
    <cellStyle name="Normal 2 2 7 3 2 4 2" xfId="16514"/>
    <cellStyle name="Normal 2 2 7 3 2 4 2 2" xfId="16515"/>
    <cellStyle name="Normal 2 2 7 3 2 4 3" xfId="16516"/>
    <cellStyle name="Normal 2 2 7 3 2 5" xfId="16517"/>
    <cellStyle name="Normal 2 2 7 3 2 5 2" xfId="16518"/>
    <cellStyle name="Normal 2 2 7 3 2 6" xfId="16519"/>
    <cellStyle name="Normal 2 2 7 3 3" xfId="1719"/>
    <cellStyle name="Normal 2 2 7 3 3 2" xfId="4439"/>
    <cellStyle name="Normal 2 2 7 3 3 2 2" xfId="16520"/>
    <cellStyle name="Normal 2 2 7 3 3 2 2 2" xfId="16521"/>
    <cellStyle name="Normal 2 2 7 3 3 2 2 2 2" xfId="16522"/>
    <cellStyle name="Normal 2 2 7 3 3 2 2 3" xfId="16523"/>
    <cellStyle name="Normal 2 2 7 3 3 2 3" xfId="16524"/>
    <cellStyle name="Normal 2 2 7 3 3 2 3 2" xfId="16525"/>
    <cellStyle name="Normal 2 2 7 3 3 2 4" xfId="16526"/>
    <cellStyle name="Normal 2 2 7 3 3 3" xfId="16527"/>
    <cellStyle name="Normal 2 2 7 3 3 3 2" xfId="16528"/>
    <cellStyle name="Normal 2 2 7 3 3 3 2 2" xfId="16529"/>
    <cellStyle name="Normal 2 2 7 3 3 3 3" xfId="16530"/>
    <cellStyle name="Normal 2 2 7 3 3 4" xfId="16531"/>
    <cellStyle name="Normal 2 2 7 3 3 4 2" xfId="16532"/>
    <cellStyle name="Normal 2 2 7 3 3 5" xfId="16533"/>
    <cellStyle name="Normal 2 2 7 3 4" xfId="3079"/>
    <cellStyle name="Normal 2 2 7 3 4 2" xfId="16534"/>
    <cellStyle name="Normal 2 2 7 3 4 2 2" xfId="16535"/>
    <cellStyle name="Normal 2 2 7 3 4 2 2 2" xfId="16536"/>
    <cellStyle name="Normal 2 2 7 3 4 2 3" xfId="16537"/>
    <cellStyle name="Normal 2 2 7 3 4 3" xfId="16538"/>
    <cellStyle name="Normal 2 2 7 3 4 3 2" xfId="16539"/>
    <cellStyle name="Normal 2 2 7 3 4 4" xfId="16540"/>
    <cellStyle name="Normal 2 2 7 3 5" xfId="16541"/>
    <cellStyle name="Normal 2 2 7 3 5 2" xfId="16542"/>
    <cellStyle name="Normal 2 2 7 3 5 2 2" xfId="16543"/>
    <cellStyle name="Normal 2 2 7 3 5 3" xfId="16544"/>
    <cellStyle name="Normal 2 2 7 3 6" xfId="16545"/>
    <cellStyle name="Normal 2 2 7 3 6 2" xfId="16546"/>
    <cellStyle name="Normal 2 2 7 3 7" xfId="16547"/>
    <cellStyle name="Normal 2 2 7 4" xfId="631"/>
    <cellStyle name="Normal 2 2 7 4 2" xfId="1311"/>
    <cellStyle name="Normal 2 2 7 4 2 2" xfId="2671"/>
    <cellStyle name="Normal 2 2 7 4 2 2 2" xfId="5391"/>
    <cellStyle name="Normal 2 2 7 4 2 2 2 2" xfId="16548"/>
    <cellStyle name="Normal 2 2 7 4 2 2 2 2 2" xfId="16549"/>
    <cellStyle name="Normal 2 2 7 4 2 2 2 2 2 2" xfId="16550"/>
    <cellStyle name="Normal 2 2 7 4 2 2 2 2 3" xfId="16551"/>
    <cellStyle name="Normal 2 2 7 4 2 2 2 3" xfId="16552"/>
    <cellStyle name="Normal 2 2 7 4 2 2 2 3 2" xfId="16553"/>
    <cellStyle name="Normal 2 2 7 4 2 2 2 4" xfId="16554"/>
    <cellStyle name="Normal 2 2 7 4 2 2 3" xfId="16555"/>
    <cellStyle name="Normal 2 2 7 4 2 2 3 2" xfId="16556"/>
    <cellStyle name="Normal 2 2 7 4 2 2 3 2 2" xfId="16557"/>
    <cellStyle name="Normal 2 2 7 4 2 2 3 3" xfId="16558"/>
    <cellStyle name="Normal 2 2 7 4 2 2 4" xfId="16559"/>
    <cellStyle name="Normal 2 2 7 4 2 2 4 2" xfId="16560"/>
    <cellStyle name="Normal 2 2 7 4 2 2 5" xfId="16561"/>
    <cellStyle name="Normal 2 2 7 4 2 3" xfId="4031"/>
    <cellStyle name="Normal 2 2 7 4 2 3 2" xfId="16562"/>
    <cellStyle name="Normal 2 2 7 4 2 3 2 2" xfId="16563"/>
    <cellStyle name="Normal 2 2 7 4 2 3 2 2 2" xfId="16564"/>
    <cellStyle name="Normal 2 2 7 4 2 3 2 3" xfId="16565"/>
    <cellStyle name="Normal 2 2 7 4 2 3 3" xfId="16566"/>
    <cellStyle name="Normal 2 2 7 4 2 3 3 2" xfId="16567"/>
    <cellStyle name="Normal 2 2 7 4 2 3 4" xfId="16568"/>
    <cellStyle name="Normal 2 2 7 4 2 4" xfId="16569"/>
    <cellStyle name="Normal 2 2 7 4 2 4 2" xfId="16570"/>
    <cellStyle name="Normal 2 2 7 4 2 4 2 2" xfId="16571"/>
    <cellStyle name="Normal 2 2 7 4 2 4 3" xfId="16572"/>
    <cellStyle name="Normal 2 2 7 4 2 5" xfId="16573"/>
    <cellStyle name="Normal 2 2 7 4 2 5 2" xfId="16574"/>
    <cellStyle name="Normal 2 2 7 4 2 6" xfId="16575"/>
    <cellStyle name="Normal 2 2 7 4 3" xfId="1991"/>
    <cellStyle name="Normal 2 2 7 4 3 2" xfId="4711"/>
    <cellStyle name="Normal 2 2 7 4 3 2 2" xfId="16576"/>
    <cellStyle name="Normal 2 2 7 4 3 2 2 2" xfId="16577"/>
    <cellStyle name="Normal 2 2 7 4 3 2 2 2 2" xfId="16578"/>
    <cellStyle name="Normal 2 2 7 4 3 2 2 3" xfId="16579"/>
    <cellStyle name="Normal 2 2 7 4 3 2 3" xfId="16580"/>
    <cellStyle name="Normal 2 2 7 4 3 2 3 2" xfId="16581"/>
    <cellStyle name="Normal 2 2 7 4 3 2 4" xfId="16582"/>
    <cellStyle name="Normal 2 2 7 4 3 3" xfId="16583"/>
    <cellStyle name="Normal 2 2 7 4 3 3 2" xfId="16584"/>
    <cellStyle name="Normal 2 2 7 4 3 3 2 2" xfId="16585"/>
    <cellStyle name="Normal 2 2 7 4 3 3 3" xfId="16586"/>
    <cellStyle name="Normal 2 2 7 4 3 4" xfId="16587"/>
    <cellStyle name="Normal 2 2 7 4 3 4 2" xfId="16588"/>
    <cellStyle name="Normal 2 2 7 4 3 5" xfId="16589"/>
    <cellStyle name="Normal 2 2 7 4 4" xfId="3351"/>
    <cellStyle name="Normal 2 2 7 4 4 2" xfId="16590"/>
    <cellStyle name="Normal 2 2 7 4 4 2 2" xfId="16591"/>
    <cellStyle name="Normal 2 2 7 4 4 2 2 2" xfId="16592"/>
    <cellStyle name="Normal 2 2 7 4 4 2 3" xfId="16593"/>
    <cellStyle name="Normal 2 2 7 4 4 3" xfId="16594"/>
    <cellStyle name="Normal 2 2 7 4 4 3 2" xfId="16595"/>
    <cellStyle name="Normal 2 2 7 4 4 4" xfId="16596"/>
    <cellStyle name="Normal 2 2 7 4 5" xfId="16597"/>
    <cellStyle name="Normal 2 2 7 4 5 2" xfId="16598"/>
    <cellStyle name="Normal 2 2 7 4 5 2 2" xfId="16599"/>
    <cellStyle name="Normal 2 2 7 4 5 3" xfId="16600"/>
    <cellStyle name="Normal 2 2 7 4 6" xfId="16601"/>
    <cellStyle name="Normal 2 2 7 4 6 2" xfId="16602"/>
    <cellStyle name="Normal 2 2 7 4 7" xfId="16603"/>
    <cellStyle name="Normal 2 2 7 5" xfId="767"/>
    <cellStyle name="Normal 2 2 7 5 2" xfId="2127"/>
    <cellStyle name="Normal 2 2 7 5 2 2" xfId="4847"/>
    <cellStyle name="Normal 2 2 7 5 2 2 2" xfId="16604"/>
    <cellStyle name="Normal 2 2 7 5 2 2 2 2" xfId="16605"/>
    <cellStyle name="Normal 2 2 7 5 2 2 2 2 2" xfId="16606"/>
    <cellStyle name="Normal 2 2 7 5 2 2 2 3" xfId="16607"/>
    <cellStyle name="Normal 2 2 7 5 2 2 3" xfId="16608"/>
    <cellStyle name="Normal 2 2 7 5 2 2 3 2" xfId="16609"/>
    <cellStyle name="Normal 2 2 7 5 2 2 4" xfId="16610"/>
    <cellStyle name="Normal 2 2 7 5 2 3" xfId="16611"/>
    <cellStyle name="Normal 2 2 7 5 2 3 2" xfId="16612"/>
    <cellStyle name="Normal 2 2 7 5 2 3 2 2" xfId="16613"/>
    <cellStyle name="Normal 2 2 7 5 2 3 3" xfId="16614"/>
    <cellStyle name="Normal 2 2 7 5 2 4" xfId="16615"/>
    <cellStyle name="Normal 2 2 7 5 2 4 2" xfId="16616"/>
    <cellStyle name="Normal 2 2 7 5 2 5" xfId="16617"/>
    <cellStyle name="Normal 2 2 7 5 3" xfId="3487"/>
    <cellStyle name="Normal 2 2 7 5 3 2" xfId="16618"/>
    <cellStyle name="Normal 2 2 7 5 3 2 2" xfId="16619"/>
    <cellStyle name="Normal 2 2 7 5 3 2 2 2" xfId="16620"/>
    <cellStyle name="Normal 2 2 7 5 3 2 3" xfId="16621"/>
    <cellStyle name="Normal 2 2 7 5 3 3" xfId="16622"/>
    <cellStyle name="Normal 2 2 7 5 3 3 2" xfId="16623"/>
    <cellStyle name="Normal 2 2 7 5 3 4" xfId="16624"/>
    <cellStyle name="Normal 2 2 7 5 4" xfId="16625"/>
    <cellStyle name="Normal 2 2 7 5 4 2" xfId="16626"/>
    <cellStyle name="Normal 2 2 7 5 4 2 2" xfId="16627"/>
    <cellStyle name="Normal 2 2 7 5 4 3" xfId="16628"/>
    <cellStyle name="Normal 2 2 7 5 5" xfId="16629"/>
    <cellStyle name="Normal 2 2 7 5 5 2" xfId="16630"/>
    <cellStyle name="Normal 2 2 7 5 6" xfId="16631"/>
    <cellStyle name="Normal 2 2 7 6" xfId="1447"/>
    <cellStyle name="Normal 2 2 7 6 2" xfId="4167"/>
    <cellStyle name="Normal 2 2 7 6 2 2" xfId="16632"/>
    <cellStyle name="Normal 2 2 7 6 2 2 2" xfId="16633"/>
    <cellStyle name="Normal 2 2 7 6 2 2 2 2" xfId="16634"/>
    <cellStyle name="Normal 2 2 7 6 2 2 3" xfId="16635"/>
    <cellStyle name="Normal 2 2 7 6 2 3" xfId="16636"/>
    <cellStyle name="Normal 2 2 7 6 2 3 2" xfId="16637"/>
    <cellStyle name="Normal 2 2 7 6 2 4" xfId="16638"/>
    <cellStyle name="Normal 2 2 7 6 3" xfId="16639"/>
    <cellStyle name="Normal 2 2 7 6 3 2" xfId="16640"/>
    <cellStyle name="Normal 2 2 7 6 3 2 2" xfId="16641"/>
    <cellStyle name="Normal 2 2 7 6 3 3" xfId="16642"/>
    <cellStyle name="Normal 2 2 7 6 4" xfId="16643"/>
    <cellStyle name="Normal 2 2 7 6 4 2" xfId="16644"/>
    <cellStyle name="Normal 2 2 7 6 5" xfId="16645"/>
    <cellStyle name="Normal 2 2 7 7" xfId="2807"/>
    <cellStyle name="Normal 2 2 7 7 2" xfId="16646"/>
    <cellStyle name="Normal 2 2 7 7 2 2" xfId="16647"/>
    <cellStyle name="Normal 2 2 7 7 2 2 2" xfId="16648"/>
    <cellStyle name="Normal 2 2 7 7 2 3" xfId="16649"/>
    <cellStyle name="Normal 2 2 7 7 3" xfId="16650"/>
    <cellStyle name="Normal 2 2 7 7 3 2" xfId="16651"/>
    <cellStyle name="Normal 2 2 7 7 4" xfId="16652"/>
    <cellStyle name="Normal 2 2 7 8" xfId="16653"/>
    <cellStyle name="Normal 2 2 7 8 2" xfId="16654"/>
    <cellStyle name="Normal 2 2 7 8 2 2" xfId="16655"/>
    <cellStyle name="Normal 2 2 7 8 3" xfId="16656"/>
    <cellStyle name="Normal 2 2 7 9" xfId="16657"/>
    <cellStyle name="Normal 2 2 7 9 2" xfId="16658"/>
    <cellStyle name="Normal 2 2 8" xfId="155"/>
    <cellStyle name="Normal 2 2 8 2" xfId="427"/>
    <cellStyle name="Normal 2 2 8 2 2" xfId="1107"/>
    <cellStyle name="Normal 2 2 8 2 2 2" xfId="2467"/>
    <cellStyle name="Normal 2 2 8 2 2 2 2" xfId="5187"/>
    <cellStyle name="Normal 2 2 8 2 2 2 2 2" xfId="16659"/>
    <cellStyle name="Normal 2 2 8 2 2 2 2 2 2" xfId="16660"/>
    <cellStyle name="Normal 2 2 8 2 2 2 2 2 2 2" xfId="16661"/>
    <cellStyle name="Normal 2 2 8 2 2 2 2 2 3" xfId="16662"/>
    <cellStyle name="Normal 2 2 8 2 2 2 2 3" xfId="16663"/>
    <cellStyle name="Normal 2 2 8 2 2 2 2 3 2" xfId="16664"/>
    <cellStyle name="Normal 2 2 8 2 2 2 2 4" xfId="16665"/>
    <cellStyle name="Normal 2 2 8 2 2 2 3" xfId="16666"/>
    <cellStyle name="Normal 2 2 8 2 2 2 3 2" xfId="16667"/>
    <cellStyle name="Normal 2 2 8 2 2 2 3 2 2" xfId="16668"/>
    <cellStyle name="Normal 2 2 8 2 2 2 3 3" xfId="16669"/>
    <cellStyle name="Normal 2 2 8 2 2 2 4" xfId="16670"/>
    <cellStyle name="Normal 2 2 8 2 2 2 4 2" xfId="16671"/>
    <cellStyle name="Normal 2 2 8 2 2 2 5" xfId="16672"/>
    <cellStyle name="Normal 2 2 8 2 2 3" xfId="3827"/>
    <cellStyle name="Normal 2 2 8 2 2 3 2" xfId="16673"/>
    <cellStyle name="Normal 2 2 8 2 2 3 2 2" xfId="16674"/>
    <cellStyle name="Normal 2 2 8 2 2 3 2 2 2" xfId="16675"/>
    <cellStyle name="Normal 2 2 8 2 2 3 2 3" xfId="16676"/>
    <cellStyle name="Normal 2 2 8 2 2 3 3" xfId="16677"/>
    <cellStyle name="Normal 2 2 8 2 2 3 3 2" xfId="16678"/>
    <cellStyle name="Normal 2 2 8 2 2 3 4" xfId="16679"/>
    <cellStyle name="Normal 2 2 8 2 2 4" xfId="16680"/>
    <cellStyle name="Normal 2 2 8 2 2 4 2" xfId="16681"/>
    <cellStyle name="Normal 2 2 8 2 2 4 2 2" xfId="16682"/>
    <cellStyle name="Normal 2 2 8 2 2 4 3" xfId="16683"/>
    <cellStyle name="Normal 2 2 8 2 2 5" xfId="16684"/>
    <cellStyle name="Normal 2 2 8 2 2 5 2" xfId="16685"/>
    <cellStyle name="Normal 2 2 8 2 2 6" xfId="16686"/>
    <cellStyle name="Normal 2 2 8 2 3" xfId="1787"/>
    <cellStyle name="Normal 2 2 8 2 3 2" xfId="4507"/>
    <cellStyle name="Normal 2 2 8 2 3 2 2" xfId="16687"/>
    <cellStyle name="Normal 2 2 8 2 3 2 2 2" xfId="16688"/>
    <cellStyle name="Normal 2 2 8 2 3 2 2 2 2" xfId="16689"/>
    <cellStyle name="Normal 2 2 8 2 3 2 2 3" xfId="16690"/>
    <cellStyle name="Normal 2 2 8 2 3 2 3" xfId="16691"/>
    <cellStyle name="Normal 2 2 8 2 3 2 3 2" xfId="16692"/>
    <cellStyle name="Normal 2 2 8 2 3 2 4" xfId="16693"/>
    <cellStyle name="Normal 2 2 8 2 3 3" xfId="16694"/>
    <cellStyle name="Normal 2 2 8 2 3 3 2" xfId="16695"/>
    <cellStyle name="Normal 2 2 8 2 3 3 2 2" xfId="16696"/>
    <cellStyle name="Normal 2 2 8 2 3 3 3" xfId="16697"/>
    <cellStyle name="Normal 2 2 8 2 3 4" xfId="16698"/>
    <cellStyle name="Normal 2 2 8 2 3 4 2" xfId="16699"/>
    <cellStyle name="Normal 2 2 8 2 3 5" xfId="16700"/>
    <cellStyle name="Normal 2 2 8 2 4" xfId="3147"/>
    <cellStyle name="Normal 2 2 8 2 4 2" xfId="16701"/>
    <cellStyle name="Normal 2 2 8 2 4 2 2" xfId="16702"/>
    <cellStyle name="Normal 2 2 8 2 4 2 2 2" xfId="16703"/>
    <cellStyle name="Normal 2 2 8 2 4 2 3" xfId="16704"/>
    <cellStyle name="Normal 2 2 8 2 4 3" xfId="16705"/>
    <cellStyle name="Normal 2 2 8 2 4 3 2" xfId="16706"/>
    <cellStyle name="Normal 2 2 8 2 4 4" xfId="16707"/>
    <cellStyle name="Normal 2 2 8 2 5" xfId="16708"/>
    <cellStyle name="Normal 2 2 8 2 5 2" xfId="16709"/>
    <cellStyle name="Normal 2 2 8 2 5 2 2" xfId="16710"/>
    <cellStyle name="Normal 2 2 8 2 5 3" xfId="16711"/>
    <cellStyle name="Normal 2 2 8 2 6" xfId="16712"/>
    <cellStyle name="Normal 2 2 8 2 6 2" xfId="16713"/>
    <cellStyle name="Normal 2 2 8 2 7" xfId="16714"/>
    <cellStyle name="Normal 2 2 8 3" xfId="835"/>
    <cellStyle name="Normal 2 2 8 3 2" xfId="2195"/>
    <cellStyle name="Normal 2 2 8 3 2 2" xfId="4915"/>
    <cellStyle name="Normal 2 2 8 3 2 2 2" xfId="16715"/>
    <cellStyle name="Normal 2 2 8 3 2 2 2 2" xfId="16716"/>
    <cellStyle name="Normal 2 2 8 3 2 2 2 2 2" xfId="16717"/>
    <cellStyle name="Normal 2 2 8 3 2 2 2 3" xfId="16718"/>
    <cellStyle name="Normal 2 2 8 3 2 2 3" xfId="16719"/>
    <cellStyle name="Normal 2 2 8 3 2 2 3 2" xfId="16720"/>
    <cellStyle name="Normal 2 2 8 3 2 2 4" xfId="16721"/>
    <cellStyle name="Normal 2 2 8 3 2 3" xfId="16722"/>
    <cellStyle name="Normal 2 2 8 3 2 3 2" xfId="16723"/>
    <cellStyle name="Normal 2 2 8 3 2 3 2 2" xfId="16724"/>
    <cellStyle name="Normal 2 2 8 3 2 3 3" xfId="16725"/>
    <cellStyle name="Normal 2 2 8 3 2 4" xfId="16726"/>
    <cellStyle name="Normal 2 2 8 3 2 4 2" xfId="16727"/>
    <cellStyle name="Normal 2 2 8 3 2 5" xfId="16728"/>
    <cellStyle name="Normal 2 2 8 3 3" xfId="3555"/>
    <cellStyle name="Normal 2 2 8 3 3 2" xfId="16729"/>
    <cellStyle name="Normal 2 2 8 3 3 2 2" xfId="16730"/>
    <cellStyle name="Normal 2 2 8 3 3 2 2 2" xfId="16731"/>
    <cellStyle name="Normal 2 2 8 3 3 2 3" xfId="16732"/>
    <cellStyle name="Normal 2 2 8 3 3 3" xfId="16733"/>
    <cellStyle name="Normal 2 2 8 3 3 3 2" xfId="16734"/>
    <cellStyle name="Normal 2 2 8 3 3 4" xfId="16735"/>
    <cellStyle name="Normal 2 2 8 3 4" xfId="16736"/>
    <cellStyle name="Normal 2 2 8 3 4 2" xfId="16737"/>
    <cellStyle name="Normal 2 2 8 3 4 2 2" xfId="16738"/>
    <cellStyle name="Normal 2 2 8 3 4 3" xfId="16739"/>
    <cellStyle name="Normal 2 2 8 3 5" xfId="16740"/>
    <cellStyle name="Normal 2 2 8 3 5 2" xfId="16741"/>
    <cellStyle name="Normal 2 2 8 3 6" xfId="16742"/>
    <cellStyle name="Normal 2 2 8 4" xfId="1515"/>
    <cellStyle name="Normal 2 2 8 4 2" xfId="4235"/>
    <cellStyle name="Normal 2 2 8 4 2 2" xfId="16743"/>
    <cellStyle name="Normal 2 2 8 4 2 2 2" xfId="16744"/>
    <cellStyle name="Normal 2 2 8 4 2 2 2 2" xfId="16745"/>
    <cellStyle name="Normal 2 2 8 4 2 2 3" xfId="16746"/>
    <cellStyle name="Normal 2 2 8 4 2 3" xfId="16747"/>
    <cellStyle name="Normal 2 2 8 4 2 3 2" xfId="16748"/>
    <cellStyle name="Normal 2 2 8 4 2 4" xfId="16749"/>
    <cellStyle name="Normal 2 2 8 4 3" xfId="16750"/>
    <cellStyle name="Normal 2 2 8 4 3 2" xfId="16751"/>
    <cellStyle name="Normal 2 2 8 4 3 2 2" xfId="16752"/>
    <cellStyle name="Normal 2 2 8 4 3 3" xfId="16753"/>
    <cellStyle name="Normal 2 2 8 4 4" xfId="16754"/>
    <cellStyle name="Normal 2 2 8 4 4 2" xfId="16755"/>
    <cellStyle name="Normal 2 2 8 4 5" xfId="16756"/>
    <cellStyle name="Normal 2 2 8 5" xfId="2875"/>
    <cellStyle name="Normal 2 2 8 5 2" xfId="16757"/>
    <cellStyle name="Normal 2 2 8 5 2 2" xfId="16758"/>
    <cellStyle name="Normal 2 2 8 5 2 2 2" xfId="16759"/>
    <cellStyle name="Normal 2 2 8 5 2 3" xfId="16760"/>
    <cellStyle name="Normal 2 2 8 5 3" xfId="16761"/>
    <cellStyle name="Normal 2 2 8 5 3 2" xfId="16762"/>
    <cellStyle name="Normal 2 2 8 5 4" xfId="16763"/>
    <cellStyle name="Normal 2 2 8 6" xfId="16764"/>
    <cellStyle name="Normal 2 2 8 6 2" xfId="16765"/>
    <cellStyle name="Normal 2 2 8 6 2 2" xfId="16766"/>
    <cellStyle name="Normal 2 2 8 6 3" xfId="16767"/>
    <cellStyle name="Normal 2 2 8 7" xfId="16768"/>
    <cellStyle name="Normal 2 2 8 7 2" xfId="16769"/>
    <cellStyle name="Normal 2 2 8 8" xfId="16770"/>
    <cellStyle name="Normal 2 2 9" xfId="291"/>
    <cellStyle name="Normal 2 2 9 2" xfId="971"/>
    <cellStyle name="Normal 2 2 9 2 2" xfId="2331"/>
    <cellStyle name="Normal 2 2 9 2 2 2" xfId="5051"/>
    <cellStyle name="Normal 2 2 9 2 2 2 2" xfId="16771"/>
    <cellStyle name="Normal 2 2 9 2 2 2 2 2" xfId="16772"/>
    <cellStyle name="Normal 2 2 9 2 2 2 2 2 2" xfId="16773"/>
    <cellStyle name="Normal 2 2 9 2 2 2 2 3" xfId="16774"/>
    <cellStyle name="Normal 2 2 9 2 2 2 3" xfId="16775"/>
    <cellStyle name="Normal 2 2 9 2 2 2 3 2" xfId="16776"/>
    <cellStyle name="Normal 2 2 9 2 2 2 4" xfId="16777"/>
    <cellStyle name="Normal 2 2 9 2 2 3" xfId="16778"/>
    <cellStyle name="Normal 2 2 9 2 2 3 2" xfId="16779"/>
    <cellStyle name="Normal 2 2 9 2 2 3 2 2" xfId="16780"/>
    <cellStyle name="Normal 2 2 9 2 2 3 3" xfId="16781"/>
    <cellStyle name="Normal 2 2 9 2 2 4" xfId="16782"/>
    <cellStyle name="Normal 2 2 9 2 2 4 2" xfId="16783"/>
    <cellStyle name="Normal 2 2 9 2 2 5" xfId="16784"/>
    <cellStyle name="Normal 2 2 9 2 3" xfId="3691"/>
    <cellStyle name="Normal 2 2 9 2 3 2" xfId="16785"/>
    <cellStyle name="Normal 2 2 9 2 3 2 2" xfId="16786"/>
    <cellStyle name="Normal 2 2 9 2 3 2 2 2" xfId="16787"/>
    <cellStyle name="Normal 2 2 9 2 3 2 3" xfId="16788"/>
    <cellStyle name="Normal 2 2 9 2 3 3" xfId="16789"/>
    <cellStyle name="Normal 2 2 9 2 3 3 2" xfId="16790"/>
    <cellStyle name="Normal 2 2 9 2 3 4" xfId="16791"/>
    <cellStyle name="Normal 2 2 9 2 4" xfId="16792"/>
    <cellStyle name="Normal 2 2 9 2 4 2" xfId="16793"/>
    <cellStyle name="Normal 2 2 9 2 4 2 2" xfId="16794"/>
    <cellStyle name="Normal 2 2 9 2 4 3" xfId="16795"/>
    <cellStyle name="Normal 2 2 9 2 5" xfId="16796"/>
    <cellStyle name="Normal 2 2 9 2 5 2" xfId="16797"/>
    <cellStyle name="Normal 2 2 9 2 6" xfId="16798"/>
    <cellStyle name="Normal 2 2 9 3" xfId="1651"/>
    <cellStyle name="Normal 2 2 9 3 2" xfId="4371"/>
    <cellStyle name="Normal 2 2 9 3 2 2" xfId="16799"/>
    <cellStyle name="Normal 2 2 9 3 2 2 2" xfId="16800"/>
    <cellStyle name="Normal 2 2 9 3 2 2 2 2" xfId="16801"/>
    <cellStyle name="Normal 2 2 9 3 2 2 3" xfId="16802"/>
    <cellStyle name="Normal 2 2 9 3 2 3" xfId="16803"/>
    <cellStyle name="Normal 2 2 9 3 2 3 2" xfId="16804"/>
    <cellStyle name="Normal 2 2 9 3 2 4" xfId="16805"/>
    <cellStyle name="Normal 2 2 9 3 3" xfId="16806"/>
    <cellStyle name="Normal 2 2 9 3 3 2" xfId="16807"/>
    <cellStyle name="Normal 2 2 9 3 3 2 2" xfId="16808"/>
    <cellStyle name="Normal 2 2 9 3 3 3" xfId="16809"/>
    <cellStyle name="Normal 2 2 9 3 4" xfId="16810"/>
    <cellStyle name="Normal 2 2 9 3 4 2" xfId="16811"/>
    <cellStyle name="Normal 2 2 9 3 5" xfId="16812"/>
    <cellStyle name="Normal 2 2 9 4" xfId="3011"/>
    <cellStyle name="Normal 2 2 9 4 2" xfId="16813"/>
    <cellStyle name="Normal 2 2 9 4 2 2" xfId="16814"/>
    <cellStyle name="Normal 2 2 9 4 2 2 2" xfId="16815"/>
    <cellStyle name="Normal 2 2 9 4 2 3" xfId="16816"/>
    <cellStyle name="Normal 2 2 9 4 3" xfId="16817"/>
    <cellStyle name="Normal 2 2 9 4 3 2" xfId="16818"/>
    <cellStyle name="Normal 2 2 9 4 4" xfId="16819"/>
    <cellStyle name="Normal 2 2 9 5" xfId="16820"/>
    <cellStyle name="Normal 2 2 9 5 2" xfId="16821"/>
    <cellStyle name="Normal 2 2 9 5 2 2" xfId="16822"/>
    <cellStyle name="Normal 2 2 9 5 3" xfId="16823"/>
    <cellStyle name="Normal 2 2 9 6" xfId="16824"/>
    <cellStyle name="Normal 2 2 9 6 2" xfId="16825"/>
    <cellStyle name="Normal 2 2 9 7" xfId="16826"/>
    <cellStyle name="Normal 2 3" xfId="20"/>
    <cellStyle name="Normal 2 3 10" xfId="1385"/>
    <cellStyle name="Normal 2 3 10 2" xfId="4105"/>
    <cellStyle name="Normal 2 3 10 2 2" xfId="16827"/>
    <cellStyle name="Normal 2 3 10 2 2 2" xfId="16828"/>
    <cellStyle name="Normal 2 3 10 2 2 2 2" xfId="16829"/>
    <cellStyle name="Normal 2 3 10 2 2 3" xfId="16830"/>
    <cellStyle name="Normal 2 3 10 2 3" xfId="16831"/>
    <cellStyle name="Normal 2 3 10 2 3 2" xfId="16832"/>
    <cellStyle name="Normal 2 3 10 2 4" xfId="16833"/>
    <cellStyle name="Normal 2 3 10 3" xfId="16834"/>
    <cellStyle name="Normal 2 3 10 3 2" xfId="16835"/>
    <cellStyle name="Normal 2 3 10 3 2 2" xfId="16836"/>
    <cellStyle name="Normal 2 3 10 3 3" xfId="16837"/>
    <cellStyle name="Normal 2 3 10 4" xfId="16838"/>
    <cellStyle name="Normal 2 3 10 4 2" xfId="16839"/>
    <cellStyle name="Normal 2 3 10 5" xfId="16840"/>
    <cellStyle name="Normal 2 3 11" xfId="2745"/>
    <cellStyle name="Normal 2 3 11 2" xfId="16841"/>
    <cellStyle name="Normal 2 3 11 2 2" xfId="16842"/>
    <cellStyle name="Normal 2 3 11 2 2 2" xfId="16843"/>
    <cellStyle name="Normal 2 3 11 2 3" xfId="16844"/>
    <cellStyle name="Normal 2 3 11 3" xfId="16845"/>
    <cellStyle name="Normal 2 3 11 3 2" xfId="16846"/>
    <cellStyle name="Normal 2 3 11 4" xfId="16847"/>
    <cellStyle name="Normal 2 3 12" xfId="16848"/>
    <cellStyle name="Normal 2 3 12 2" xfId="16849"/>
    <cellStyle name="Normal 2 3 12 2 2" xfId="16850"/>
    <cellStyle name="Normal 2 3 12 3" xfId="16851"/>
    <cellStyle name="Normal 2 3 13" xfId="16852"/>
    <cellStyle name="Normal 2 3 13 2" xfId="16853"/>
    <cellStyle name="Normal 2 3 14" xfId="16854"/>
    <cellStyle name="Normal 2 3 2" xfId="28"/>
    <cellStyle name="Normal 2 3 2 10" xfId="2752"/>
    <cellStyle name="Normal 2 3 2 10 2" xfId="16855"/>
    <cellStyle name="Normal 2 3 2 10 2 2" xfId="16856"/>
    <cellStyle name="Normal 2 3 2 10 2 2 2" xfId="16857"/>
    <cellStyle name="Normal 2 3 2 10 2 3" xfId="16858"/>
    <cellStyle name="Normal 2 3 2 10 3" xfId="16859"/>
    <cellStyle name="Normal 2 3 2 10 3 2" xfId="16860"/>
    <cellStyle name="Normal 2 3 2 10 4" xfId="16861"/>
    <cellStyle name="Normal 2 3 2 11" xfId="16862"/>
    <cellStyle name="Normal 2 3 2 11 2" xfId="16863"/>
    <cellStyle name="Normal 2 3 2 11 2 2" xfId="16864"/>
    <cellStyle name="Normal 2 3 2 11 3" xfId="16865"/>
    <cellStyle name="Normal 2 3 2 12" xfId="16866"/>
    <cellStyle name="Normal 2 3 2 12 2" xfId="16867"/>
    <cellStyle name="Normal 2 3 2 13" xfId="16868"/>
    <cellStyle name="Normal 2 3 2 2" xfId="47"/>
    <cellStyle name="Normal 2 3 2 2 10" xfId="16869"/>
    <cellStyle name="Normal 2 3 2 2 10 2" xfId="16870"/>
    <cellStyle name="Normal 2 3 2 2 10 2 2" xfId="16871"/>
    <cellStyle name="Normal 2 3 2 2 10 3" xfId="16872"/>
    <cellStyle name="Normal 2 3 2 2 11" xfId="16873"/>
    <cellStyle name="Normal 2 3 2 2 11 2" xfId="16874"/>
    <cellStyle name="Normal 2 3 2 2 12" xfId="16875"/>
    <cellStyle name="Normal 2 3 2 2 2" xfId="82"/>
    <cellStyle name="Normal 2 3 2 2 2 10" xfId="16876"/>
    <cellStyle name="Normal 2 3 2 2 2 10 2" xfId="16877"/>
    <cellStyle name="Normal 2 3 2 2 2 11" xfId="16878"/>
    <cellStyle name="Normal 2 3 2 2 2 2" xfId="150"/>
    <cellStyle name="Normal 2 3 2 2 2 2 10" xfId="16879"/>
    <cellStyle name="Normal 2 3 2 2 2 2 2" xfId="287"/>
    <cellStyle name="Normal 2 3 2 2 2 2 2 2" xfId="559"/>
    <cellStyle name="Normal 2 3 2 2 2 2 2 2 2" xfId="1239"/>
    <cellStyle name="Normal 2 3 2 2 2 2 2 2 2 2" xfId="2599"/>
    <cellStyle name="Normal 2 3 2 2 2 2 2 2 2 2 2" xfId="5319"/>
    <cellStyle name="Normal 2 3 2 2 2 2 2 2 2 2 2 2" xfId="16880"/>
    <cellStyle name="Normal 2 3 2 2 2 2 2 2 2 2 2 2 2" xfId="16881"/>
    <cellStyle name="Normal 2 3 2 2 2 2 2 2 2 2 2 2 2 2" xfId="16882"/>
    <cellStyle name="Normal 2 3 2 2 2 2 2 2 2 2 2 2 3" xfId="16883"/>
    <cellStyle name="Normal 2 3 2 2 2 2 2 2 2 2 2 3" xfId="16884"/>
    <cellStyle name="Normal 2 3 2 2 2 2 2 2 2 2 2 3 2" xfId="16885"/>
    <cellStyle name="Normal 2 3 2 2 2 2 2 2 2 2 2 4" xfId="16886"/>
    <cellStyle name="Normal 2 3 2 2 2 2 2 2 2 2 3" xfId="16887"/>
    <cellStyle name="Normal 2 3 2 2 2 2 2 2 2 2 3 2" xfId="16888"/>
    <cellStyle name="Normal 2 3 2 2 2 2 2 2 2 2 3 2 2" xfId="16889"/>
    <cellStyle name="Normal 2 3 2 2 2 2 2 2 2 2 3 3" xfId="16890"/>
    <cellStyle name="Normal 2 3 2 2 2 2 2 2 2 2 4" xfId="16891"/>
    <cellStyle name="Normal 2 3 2 2 2 2 2 2 2 2 4 2" xfId="16892"/>
    <cellStyle name="Normal 2 3 2 2 2 2 2 2 2 2 5" xfId="16893"/>
    <cellStyle name="Normal 2 3 2 2 2 2 2 2 2 3" xfId="3959"/>
    <cellStyle name="Normal 2 3 2 2 2 2 2 2 2 3 2" xfId="16894"/>
    <cellStyle name="Normal 2 3 2 2 2 2 2 2 2 3 2 2" xfId="16895"/>
    <cellStyle name="Normal 2 3 2 2 2 2 2 2 2 3 2 2 2" xfId="16896"/>
    <cellStyle name="Normal 2 3 2 2 2 2 2 2 2 3 2 3" xfId="16897"/>
    <cellStyle name="Normal 2 3 2 2 2 2 2 2 2 3 3" xfId="16898"/>
    <cellStyle name="Normal 2 3 2 2 2 2 2 2 2 3 3 2" xfId="16899"/>
    <cellStyle name="Normal 2 3 2 2 2 2 2 2 2 3 4" xfId="16900"/>
    <cellStyle name="Normal 2 3 2 2 2 2 2 2 2 4" xfId="16901"/>
    <cellStyle name="Normal 2 3 2 2 2 2 2 2 2 4 2" xfId="16902"/>
    <cellStyle name="Normal 2 3 2 2 2 2 2 2 2 4 2 2" xfId="16903"/>
    <cellStyle name="Normal 2 3 2 2 2 2 2 2 2 4 3" xfId="16904"/>
    <cellStyle name="Normal 2 3 2 2 2 2 2 2 2 5" xfId="16905"/>
    <cellStyle name="Normal 2 3 2 2 2 2 2 2 2 5 2" xfId="16906"/>
    <cellStyle name="Normal 2 3 2 2 2 2 2 2 2 6" xfId="16907"/>
    <cellStyle name="Normal 2 3 2 2 2 2 2 2 3" xfId="1919"/>
    <cellStyle name="Normal 2 3 2 2 2 2 2 2 3 2" xfId="4639"/>
    <cellStyle name="Normal 2 3 2 2 2 2 2 2 3 2 2" xfId="16908"/>
    <cellStyle name="Normal 2 3 2 2 2 2 2 2 3 2 2 2" xfId="16909"/>
    <cellStyle name="Normal 2 3 2 2 2 2 2 2 3 2 2 2 2" xfId="16910"/>
    <cellStyle name="Normal 2 3 2 2 2 2 2 2 3 2 2 3" xfId="16911"/>
    <cellStyle name="Normal 2 3 2 2 2 2 2 2 3 2 3" xfId="16912"/>
    <cellStyle name="Normal 2 3 2 2 2 2 2 2 3 2 3 2" xfId="16913"/>
    <cellStyle name="Normal 2 3 2 2 2 2 2 2 3 2 4" xfId="16914"/>
    <cellStyle name="Normal 2 3 2 2 2 2 2 2 3 3" xfId="16915"/>
    <cellStyle name="Normal 2 3 2 2 2 2 2 2 3 3 2" xfId="16916"/>
    <cellStyle name="Normal 2 3 2 2 2 2 2 2 3 3 2 2" xfId="16917"/>
    <cellStyle name="Normal 2 3 2 2 2 2 2 2 3 3 3" xfId="16918"/>
    <cellStyle name="Normal 2 3 2 2 2 2 2 2 3 4" xfId="16919"/>
    <cellStyle name="Normal 2 3 2 2 2 2 2 2 3 4 2" xfId="16920"/>
    <cellStyle name="Normal 2 3 2 2 2 2 2 2 3 5" xfId="16921"/>
    <cellStyle name="Normal 2 3 2 2 2 2 2 2 4" xfId="3279"/>
    <cellStyle name="Normal 2 3 2 2 2 2 2 2 4 2" xfId="16922"/>
    <cellStyle name="Normal 2 3 2 2 2 2 2 2 4 2 2" xfId="16923"/>
    <cellStyle name="Normal 2 3 2 2 2 2 2 2 4 2 2 2" xfId="16924"/>
    <cellStyle name="Normal 2 3 2 2 2 2 2 2 4 2 3" xfId="16925"/>
    <cellStyle name="Normal 2 3 2 2 2 2 2 2 4 3" xfId="16926"/>
    <cellStyle name="Normal 2 3 2 2 2 2 2 2 4 3 2" xfId="16927"/>
    <cellStyle name="Normal 2 3 2 2 2 2 2 2 4 4" xfId="16928"/>
    <cellStyle name="Normal 2 3 2 2 2 2 2 2 5" xfId="16929"/>
    <cellStyle name="Normal 2 3 2 2 2 2 2 2 5 2" xfId="16930"/>
    <cellStyle name="Normal 2 3 2 2 2 2 2 2 5 2 2" xfId="16931"/>
    <cellStyle name="Normal 2 3 2 2 2 2 2 2 5 3" xfId="16932"/>
    <cellStyle name="Normal 2 3 2 2 2 2 2 2 6" xfId="16933"/>
    <cellStyle name="Normal 2 3 2 2 2 2 2 2 6 2" xfId="16934"/>
    <cellStyle name="Normal 2 3 2 2 2 2 2 2 7" xfId="16935"/>
    <cellStyle name="Normal 2 3 2 2 2 2 2 3" xfId="967"/>
    <cellStyle name="Normal 2 3 2 2 2 2 2 3 2" xfId="2327"/>
    <cellStyle name="Normal 2 3 2 2 2 2 2 3 2 2" xfId="5047"/>
    <cellStyle name="Normal 2 3 2 2 2 2 2 3 2 2 2" xfId="16936"/>
    <cellStyle name="Normal 2 3 2 2 2 2 2 3 2 2 2 2" xfId="16937"/>
    <cellStyle name="Normal 2 3 2 2 2 2 2 3 2 2 2 2 2" xfId="16938"/>
    <cellStyle name="Normal 2 3 2 2 2 2 2 3 2 2 2 3" xfId="16939"/>
    <cellStyle name="Normal 2 3 2 2 2 2 2 3 2 2 3" xfId="16940"/>
    <cellStyle name="Normal 2 3 2 2 2 2 2 3 2 2 3 2" xfId="16941"/>
    <cellStyle name="Normal 2 3 2 2 2 2 2 3 2 2 4" xfId="16942"/>
    <cellStyle name="Normal 2 3 2 2 2 2 2 3 2 3" xfId="16943"/>
    <cellStyle name="Normal 2 3 2 2 2 2 2 3 2 3 2" xfId="16944"/>
    <cellStyle name="Normal 2 3 2 2 2 2 2 3 2 3 2 2" xfId="16945"/>
    <cellStyle name="Normal 2 3 2 2 2 2 2 3 2 3 3" xfId="16946"/>
    <cellStyle name="Normal 2 3 2 2 2 2 2 3 2 4" xfId="16947"/>
    <cellStyle name="Normal 2 3 2 2 2 2 2 3 2 4 2" xfId="16948"/>
    <cellStyle name="Normal 2 3 2 2 2 2 2 3 2 5" xfId="16949"/>
    <cellStyle name="Normal 2 3 2 2 2 2 2 3 3" xfId="3687"/>
    <cellStyle name="Normal 2 3 2 2 2 2 2 3 3 2" xfId="16950"/>
    <cellStyle name="Normal 2 3 2 2 2 2 2 3 3 2 2" xfId="16951"/>
    <cellStyle name="Normal 2 3 2 2 2 2 2 3 3 2 2 2" xfId="16952"/>
    <cellStyle name="Normal 2 3 2 2 2 2 2 3 3 2 3" xfId="16953"/>
    <cellStyle name="Normal 2 3 2 2 2 2 2 3 3 3" xfId="16954"/>
    <cellStyle name="Normal 2 3 2 2 2 2 2 3 3 3 2" xfId="16955"/>
    <cellStyle name="Normal 2 3 2 2 2 2 2 3 3 4" xfId="16956"/>
    <cellStyle name="Normal 2 3 2 2 2 2 2 3 4" xfId="16957"/>
    <cellStyle name="Normal 2 3 2 2 2 2 2 3 4 2" xfId="16958"/>
    <cellStyle name="Normal 2 3 2 2 2 2 2 3 4 2 2" xfId="16959"/>
    <cellStyle name="Normal 2 3 2 2 2 2 2 3 4 3" xfId="16960"/>
    <cellStyle name="Normal 2 3 2 2 2 2 2 3 5" xfId="16961"/>
    <cellStyle name="Normal 2 3 2 2 2 2 2 3 5 2" xfId="16962"/>
    <cellStyle name="Normal 2 3 2 2 2 2 2 3 6" xfId="16963"/>
    <cellStyle name="Normal 2 3 2 2 2 2 2 4" xfId="1647"/>
    <cellStyle name="Normal 2 3 2 2 2 2 2 4 2" xfId="4367"/>
    <cellStyle name="Normal 2 3 2 2 2 2 2 4 2 2" xfId="16964"/>
    <cellStyle name="Normal 2 3 2 2 2 2 2 4 2 2 2" xfId="16965"/>
    <cellStyle name="Normal 2 3 2 2 2 2 2 4 2 2 2 2" xfId="16966"/>
    <cellStyle name="Normal 2 3 2 2 2 2 2 4 2 2 3" xfId="16967"/>
    <cellStyle name="Normal 2 3 2 2 2 2 2 4 2 3" xfId="16968"/>
    <cellStyle name="Normal 2 3 2 2 2 2 2 4 2 3 2" xfId="16969"/>
    <cellStyle name="Normal 2 3 2 2 2 2 2 4 2 4" xfId="16970"/>
    <cellStyle name="Normal 2 3 2 2 2 2 2 4 3" xfId="16971"/>
    <cellStyle name="Normal 2 3 2 2 2 2 2 4 3 2" xfId="16972"/>
    <cellStyle name="Normal 2 3 2 2 2 2 2 4 3 2 2" xfId="16973"/>
    <cellStyle name="Normal 2 3 2 2 2 2 2 4 3 3" xfId="16974"/>
    <cellStyle name="Normal 2 3 2 2 2 2 2 4 4" xfId="16975"/>
    <cellStyle name="Normal 2 3 2 2 2 2 2 4 4 2" xfId="16976"/>
    <cellStyle name="Normal 2 3 2 2 2 2 2 4 5" xfId="16977"/>
    <cellStyle name="Normal 2 3 2 2 2 2 2 5" xfId="3007"/>
    <cellStyle name="Normal 2 3 2 2 2 2 2 5 2" xfId="16978"/>
    <cellStyle name="Normal 2 3 2 2 2 2 2 5 2 2" xfId="16979"/>
    <cellStyle name="Normal 2 3 2 2 2 2 2 5 2 2 2" xfId="16980"/>
    <cellStyle name="Normal 2 3 2 2 2 2 2 5 2 3" xfId="16981"/>
    <cellStyle name="Normal 2 3 2 2 2 2 2 5 3" xfId="16982"/>
    <cellStyle name="Normal 2 3 2 2 2 2 2 5 3 2" xfId="16983"/>
    <cellStyle name="Normal 2 3 2 2 2 2 2 5 4" xfId="16984"/>
    <cellStyle name="Normal 2 3 2 2 2 2 2 6" xfId="16985"/>
    <cellStyle name="Normal 2 3 2 2 2 2 2 6 2" xfId="16986"/>
    <cellStyle name="Normal 2 3 2 2 2 2 2 6 2 2" xfId="16987"/>
    <cellStyle name="Normal 2 3 2 2 2 2 2 6 3" xfId="16988"/>
    <cellStyle name="Normal 2 3 2 2 2 2 2 7" xfId="16989"/>
    <cellStyle name="Normal 2 3 2 2 2 2 2 7 2" xfId="16990"/>
    <cellStyle name="Normal 2 3 2 2 2 2 2 8" xfId="16991"/>
    <cellStyle name="Normal 2 3 2 2 2 2 3" xfId="423"/>
    <cellStyle name="Normal 2 3 2 2 2 2 3 2" xfId="1103"/>
    <cellStyle name="Normal 2 3 2 2 2 2 3 2 2" xfId="2463"/>
    <cellStyle name="Normal 2 3 2 2 2 2 3 2 2 2" xfId="5183"/>
    <cellStyle name="Normal 2 3 2 2 2 2 3 2 2 2 2" xfId="16992"/>
    <cellStyle name="Normal 2 3 2 2 2 2 3 2 2 2 2 2" xfId="16993"/>
    <cellStyle name="Normal 2 3 2 2 2 2 3 2 2 2 2 2 2" xfId="16994"/>
    <cellStyle name="Normal 2 3 2 2 2 2 3 2 2 2 2 3" xfId="16995"/>
    <cellStyle name="Normal 2 3 2 2 2 2 3 2 2 2 3" xfId="16996"/>
    <cellStyle name="Normal 2 3 2 2 2 2 3 2 2 2 3 2" xfId="16997"/>
    <cellStyle name="Normal 2 3 2 2 2 2 3 2 2 2 4" xfId="16998"/>
    <cellStyle name="Normal 2 3 2 2 2 2 3 2 2 3" xfId="16999"/>
    <cellStyle name="Normal 2 3 2 2 2 2 3 2 2 3 2" xfId="17000"/>
    <cellStyle name="Normal 2 3 2 2 2 2 3 2 2 3 2 2" xfId="17001"/>
    <cellStyle name="Normal 2 3 2 2 2 2 3 2 2 3 3" xfId="17002"/>
    <cellStyle name="Normal 2 3 2 2 2 2 3 2 2 4" xfId="17003"/>
    <cellStyle name="Normal 2 3 2 2 2 2 3 2 2 4 2" xfId="17004"/>
    <cellStyle name="Normal 2 3 2 2 2 2 3 2 2 5" xfId="17005"/>
    <cellStyle name="Normal 2 3 2 2 2 2 3 2 3" xfId="3823"/>
    <cellStyle name="Normal 2 3 2 2 2 2 3 2 3 2" xfId="17006"/>
    <cellStyle name="Normal 2 3 2 2 2 2 3 2 3 2 2" xfId="17007"/>
    <cellStyle name="Normal 2 3 2 2 2 2 3 2 3 2 2 2" xfId="17008"/>
    <cellStyle name="Normal 2 3 2 2 2 2 3 2 3 2 3" xfId="17009"/>
    <cellStyle name="Normal 2 3 2 2 2 2 3 2 3 3" xfId="17010"/>
    <cellStyle name="Normal 2 3 2 2 2 2 3 2 3 3 2" xfId="17011"/>
    <cellStyle name="Normal 2 3 2 2 2 2 3 2 3 4" xfId="17012"/>
    <cellStyle name="Normal 2 3 2 2 2 2 3 2 4" xfId="17013"/>
    <cellStyle name="Normal 2 3 2 2 2 2 3 2 4 2" xfId="17014"/>
    <cellStyle name="Normal 2 3 2 2 2 2 3 2 4 2 2" xfId="17015"/>
    <cellStyle name="Normal 2 3 2 2 2 2 3 2 4 3" xfId="17016"/>
    <cellStyle name="Normal 2 3 2 2 2 2 3 2 5" xfId="17017"/>
    <cellStyle name="Normal 2 3 2 2 2 2 3 2 5 2" xfId="17018"/>
    <cellStyle name="Normal 2 3 2 2 2 2 3 2 6" xfId="17019"/>
    <cellStyle name="Normal 2 3 2 2 2 2 3 3" xfId="1783"/>
    <cellStyle name="Normal 2 3 2 2 2 2 3 3 2" xfId="4503"/>
    <cellStyle name="Normal 2 3 2 2 2 2 3 3 2 2" xfId="17020"/>
    <cellStyle name="Normal 2 3 2 2 2 2 3 3 2 2 2" xfId="17021"/>
    <cellStyle name="Normal 2 3 2 2 2 2 3 3 2 2 2 2" xfId="17022"/>
    <cellStyle name="Normal 2 3 2 2 2 2 3 3 2 2 3" xfId="17023"/>
    <cellStyle name="Normal 2 3 2 2 2 2 3 3 2 3" xfId="17024"/>
    <cellStyle name="Normal 2 3 2 2 2 2 3 3 2 3 2" xfId="17025"/>
    <cellStyle name="Normal 2 3 2 2 2 2 3 3 2 4" xfId="17026"/>
    <cellStyle name="Normal 2 3 2 2 2 2 3 3 3" xfId="17027"/>
    <cellStyle name="Normal 2 3 2 2 2 2 3 3 3 2" xfId="17028"/>
    <cellStyle name="Normal 2 3 2 2 2 2 3 3 3 2 2" xfId="17029"/>
    <cellStyle name="Normal 2 3 2 2 2 2 3 3 3 3" xfId="17030"/>
    <cellStyle name="Normal 2 3 2 2 2 2 3 3 4" xfId="17031"/>
    <cellStyle name="Normal 2 3 2 2 2 2 3 3 4 2" xfId="17032"/>
    <cellStyle name="Normal 2 3 2 2 2 2 3 3 5" xfId="17033"/>
    <cellStyle name="Normal 2 3 2 2 2 2 3 4" xfId="3143"/>
    <cellStyle name="Normal 2 3 2 2 2 2 3 4 2" xfId="17034"/>
    <cellStyle name="Normal 2 3 2 2 2 2 3 4 2 2" xfId="17035"/>
    <cellStyle name="Normal 2 3 2 2 2 2 3 4 2 2 2" xfId="17036"/>
    <cellStyle name="Normal 2 3 2 2 2 2 3 4 2 3" xfId="17037"/>
    <cellStyle name="Normal 2 3 2 2 2 2 3 4 3" xfId="17038"/>
    <cellStyle name="Normal 2 3 2 2 2 2 3 4 3 2" xfId="17039"/>
    <cellStyle name="Normal 2 3 2 2 2 2 3 4 4" xfId="17040"/>
    <cellStyle name="Normal 2 3 2 2 2 2 3 5" xfId="17041"/>
    <cellStyle name="Normal 2 3 2 2 2 2 3 5 2" xfId="17042"/>
    <cellStyle name="Normal 2 3 2 2 2 2 3 5 2 2" xfId="17043"/>
    <cellStyle name="Normal 2 3 2 2 2 2 3 5 3" xfId="17044"/>
    <cellStyle name="Normal 2 3 2 2 2 2 3 6" xfId="17045"/>
    <cellStyle name="Normal 2 3 2 2 2 2 3 6 2" xfId="17046"/>
    <cellStyle name="Normal 2 3 2 2 2 2 3 7" xfId="17047"/>
    <cellStyle name="Normal 2 3 2 2 2 2 4" xfId="695"/>
    <cellStyle name="Normal 2 3 2 2 2 2 4 2" xfId="1375"/>
    <cellStyle name="Normal 2 3 2 2 2 2 4 2 2" xfId="2735"/>
    <cellStyle name="Normal 2 3 2 2 2 2 4 2 2 2" xfId="5455"/>
    <cellStyle name="Normal 2 3 2 2 2 2 4 2 2 2 2" xfId="17048"/>
    <cellStyle name="Normal 2 3 2 2 2 2 4 2 2 2 2 2" xfId="17049"/>
    <cellStyle name="Normal 2 3 2 2 2 2 4 2 2 2 2 2 2" xfId="17050"/>
    <cellStyle name="Normal 2 3 2 2 2 2 4 2 2 2 2 3" xfId="17051"/>
    <cellStyle name="Normal 2 3 2 2 2 2 4 2 2 2 3" xfId="17052"/>
    <cellStyle name="Normal 2 3 2 2 2 2 4 2 2 2 3 2" xfId="17053"/>
    <cellStyle name="Normal 2 3 2 2 2 2 4 2 2 2 4" xfId="17054"/>
    <cellStyle name="Normal 2 3 2 2 2 2 4 2 2 3" xfId="17055"/>
    <cellStyle name="Normal 2 3 2 2 2 2 4 2 2 3 2" xfId="17056"/>
    <cellStyle name="Normal 2 3 2 2 2 2 4 2 2 3 2 2" xfId="17057"/>
    <cellStyle name="Normal 2 3 2 2 2 2 4 2 2 3 3" xfId="17058"/>
    <cellStyle name="Normal 2 3 2 2 2 2 4 2 2 4" xfId="17059"/>
    <cellStyle name="Normal 2 3 2 2 2 2 4 2 2 4 2" xfId="17060"/>
    <cellStyle name="Normal 2 3 2 2 2 2 4 2 2 5" xfId="17061"/>
    <cellStyle name="Normal 2 3 2 2 2 2 4 2 3" xfId="4095"/>
    <cellStyle name="Normal 2 3 2 2 2 2 4 2 3 2" xfId="17062"/>
    <cellStyle name="Normal 2 3 2 2 2 2 4 2 3 2 2" xfId="17063"/>
    <cellStyle name="Normal 2 3 2 2 2 2 4 2 3 2 2 2" xfId="17064"/>
    <cellStyle name="Normal 2 3 2 2 2 2 4 2 3 2 3" xfId="17065"/>
    <cellStyle name="Normal 2 3 2 2 2 2 4 2 3 3" xfId="17066"/>
    <cellStyle name="Normal 2 3 2 2 2 2 4 2 3 3 2" xfId="17067"/>
    <cellStyle name="Normal 2 3 2 2 2 2 4 2 3 4" xfId="17068"/>
    <cellStyle name="Normal 2 3 2 2 2 2 4 2 4" xfId="17069"/>
    <cellStyle name="Normal 2 3 2 2 2 2 4 2 4 2" xfId="17070"/>
    <cellStyle name="Normal 2 3 2 2 2 2 4 2 4 2 2" xfId="17071"/>
    <cellStyle name="Normal 2 3 2 2 2 2 4 2 4 3" xfId="17072"/>
    <cellStyle name="Normal 2 3 2 2 2 2 4 2 5" xfId="17073"/>
    <cellStyle name="Normal 2 3 2 2 2 2 4 2 5 2" xfId="17074"/>
    <cellStyle name="Normal 2 3 2 2 2 2 4 2 6" xfId="17075"/>
    <cellStyle name="Normal 2 3 2 2 2 2 4 3" xfId="2055"/>
    <cellStyle name="Normal 2 3 2 2 2 2 4 3 2" xfId="4775"/>
    <cellStyle name="Normal 2 3 2 2 2 2 4 3 2 2" xfId="17076"/>
    <cellStyle name="Normal 2 3 2 2 2 2 4 3 2 2 2" xfId="17077"/>
    <cellStyle name="Normal 2 3 2 2 2 2 4 3 2 2 2 2" xfId="17078"/>
    <cellStyle name="Normal 2 3 2 2 2 2 4 3 2 2 3" xfId="17079"/>
    <cellStyle name="Normal 2 3 2 2 2 2 4 3 2 3" xfId="17080"/>
    <cellStyle name="Normal 2 3 2 2 2 2 4 3 2 3 2" xfId="17081"/>
    <cellStyle name="Normal 2 3 2 2 2 2 4 3 2 4" xfId="17082"/>
    <cellStyle name="Normal 2 3 2 2 2 2 4 3 3" xfId="17083"/>
    <cellStyle name="Normal 2 3 2 2 2 2 4 3 3 2" xfId="17084"/>
    <cellStyle name="Normal 2 3 2 2 2 2 4 3 3 2 2" xfId="17085"/>
    <cellStyle name="Normal 2 3 2 2 2 2 4 3 3 3" xfId="17086"/>
    <cellStyle name="Normal 2 3 2 2 2 2 4 3 4" xfId="17087"/>
    <cellStyle name="Normal 2 3 2 2 2 2 4 3 4 2" xfId="17088"/>
    <cellStyle name="Normal 2 3 2 2 2 2 4 3 5" xfId="17089"/>
    <cellStyle name="Normal 2 3 2 2 2 2 4 4" xfId="3415"/>
    <cellStyle name="Normal 2 3 2 2 2 2 4 4 2" xfId="17090"/>
    <cellStyle name="Normal 2 3 2 2 2 2 4 4 2 2" xfId="17091"/>
    <cellStyle name="Normal 2 3 2 2 2 2 4 4 2 2 2" xfId="17092"/>
    <cellStyle name="Normal 2 3 2 2 2 2 4 4 2 3" xfId="17093"/>
    <cellStyle name="Normal 2 3 2 2 2 2 4 4 3" xfId="17094"/>
    <cellStyle name="Normal 2 3 2 2 2 2 4 4 3 2" xfId="17095"/>
    <cellStyle name="Normal 2 3 2 2 2 2 4 4 4" xfId="17096"/>
    <cellStyle name="Normal 2 3 2 2 2 2 4 5" xfId="17097"/>
    <cellStyle name="Normal 2 3 2 2 2 2 4 5 2" xfId="17098"/>
    <cellStyle name="Normal 2 3 2 2 2 2 4 5 2 2" xfId="17099"/>
    <cellStyle name="Normal 2 3 2 2 2 2 4 5 3" xfId="17100"/>
    <cellStyle name="Normal 2 3 2 2 2 2 4 6" xfId="17101"/>
    <cellStyle name="Normal 2 3 2 2 2 2 4 6 2" xfId="17102"/>
    <cellStyle name="Normal 2 3 2 2 2 2 4 7" xfId="17103"/>
    <cellStyle name="Normal 2 3 2 2 2 2 5" xfId="831"/>
    <cellStyle name="Normal 2 3 2 2 2 2 5 2" xfId="2191"/>
    <cellStyle name="Normal 2 3 2 2 2 2 5 2 2" xfId="4911"/>
    <cellStyle name="Normal 2 3 2 2 2 2 5 2 2 2" xfId="17104"/>
    <cellStyle name="Normal 2 3 2 2 2 2 5 2 2 2 2" xfId="17105"/>
    <cellStyle name="Normal 2 3 2 2 2 2 5 2 2 2 2 2" xfId="17106"/>
    <cellStyle name="Normal 2 3 2 2 2 2 5 2 2 2 3" xfId="17107"/>
    <cellStyle name="Normal 2 3 2 2 2 2 5 2 2 3" xfId="17108"/>
    <cellStyle name="Normal 2 3 2 2 2 2 5 2 2 3 2" xfId="17109"/>
    <cellStyle name="Normal 2 3 2 2 2 2 5 2 2 4" xfId="17110"/>
    <cellStyle name="Normal 2 3 2 2 2 2 5 2 3" xfId="17111"/>
    <cellStyle name="Normal 2 3 2 2 2 2 5 2 3 2" xfId="17112"/>
    <cellStyle name="Normal 2 3 2 2 2 2 5 2 3 2 2" xfId="17113"/>
    <cellStyle name="Normal 2 3 2 2 2 2 5 2 3 3" xfId="17114"/>
    <cellStyle name="Normal 2 3 2 2 2 2 5 2 4" xfId="17115"/>
    <cellStyle name="Normal 2 3 2 2 2 2 5 2 4 2" xfId="17116"/>
    <cellStyle name="Normal 2 3 2 2 2 2 5 2 5" xfId="17117"/>
    <cellStyle name="Normal 2 3 2 2 2 2 5 3" xfId="3551"/>
    <cellStyle name="Normal 2 3 2 2 2 2 5 3 2" xfId="17118"/>
    <cellStyle name="Normal 2 3 2 2 2 2 5 3 2 2" xfId="17119"/>
    <cellStyle name="Normal 2 3 2 2 2 2 5 3 2 2 2" xfId="17120"/>
    <cellStyle name="Normal 2 3 2 2 2 2 5 3 2 3" xfId="17121"/>
    <cellStyle name="Normal 2 3 2 2 2 2 5 3 3" xfId="17122"/>
    <cellStyle name="Normal 2 3 2 2 2 2 5 3 3 2" xfId="17123"/>
    <cellStyle name="Normal 2 3 2 2 2 2 5 3 4" xfId="17124"/>
    <cellStyle name="Normal 2 3 2 2 2 2 5 4" xfId="17125"/>
    <cellStyle name="Normal 2 3 2 2 2 2 5 4 2" xfId="17126"/>
    <cellStyle name="Normal 2 3 2 2 2 2 5 4 2 2" xfId="17127"/>
    <cellStyle name="Normal 2 3 2 2 2 2 5 4 3" xfId="17128"/>
    <cellStyle name="Normal 2 3 2 2 2 2 5 5" xfId="17129"/>
    <cellStyle name="Normal 2 3 2 2 2 2 5 5 2" xfId="17130"/>
    <cellStyle name="Normal 2 3 2 2 2 2 5 6" xfId="17131"/>
    <cellStyle name="Normal 2 3 2 2 2 2 6" xfId="1511"/>
    <cellStyle name="Normal 2 3 2 2 2 2 6 2" xfId="4231"/>
    <cellStyle name="Normal 2 3 2 2 2 2 6 2 2" xfId="17132"/>
    <cellStyle name="Normal 2 3 2 2 2 2 6 2 2 2" xfId="17133"/>
    <cellStyle name="Normal 2 3 2 2 2 2 6 2 2 2 2" xfId="17134"/>
    <cellStyle name="Normal 2 3 2 2 2 2 6 2 2 3" xfId="17135"/>
    <cellStyle name="Normal 2 3 2 2 2 2 6 2 3" xfId="17136"/>
    <cellStyle name="Normal 2 3 2 2 2 2 6 2 3 2" xfId="17137"/>
    <cellStyle name="Normal 2 3 2 2 2 2 6 2 4" xfId="17138"/>
    <cellStyle name="Normal 2 3 2 2 2 2 6 3" xfId="17139"/>
    <cellStyle name="Normal 2 3 2 2 2 2 6 3 2" xfId="17140"/>
    <cellStyle name="Normal 2 3 2 2 2 2 6 3 2 2" xfId="17141"/>
    <cellStyle name="Normal 2 3 2 2 2 2 6 3 3" xfId="17142"/>
    <cellStyle name="Normal 2 3 2 2 2 2 6 4" xfId="17143"/>
    <cellStyle name="Normal 2 3 2 2 2 2 6 4 2" xfId="17144"/>
    <cellStyle name="Normal 2 3 2 2 2 2 6 5" xfId="17145"/>
    <cellStyle name="Normal 2 3 2 2 2 2 7" xfId="2871"/>
    <cellStyle name="Normal 2 3 2 2 2 2 7 2" xfId="17146"/>
    <cellStyle name="Normal 2 3 2 2 2 2 7 2 2" xfId="17147"/>
    <cellStyle name="Normal 2 3 2 2 2 2 7 2 2 2" xfId="17148"/>
    <cellStyle name="Normal 2 3 2 2 2 2 7 2 3" xfId="17149"/>
    <cellStyle name="Normal 2 3 2 2 2 2 7 3" xfId="17150"/>
    <cellStyle name="Normal 2 3 2 2 2 2 7 3 2" xfId="17151"/>
    <cellStyle name="Normal 2 3 2 2 2 2 7 4" xfId="17152"/>
    <cellStyle name="Normal 2 3 2 2 2 2 8" xfId="17153"/>
    <cellStyle name="Normal 2 3 2 2 2 2 8 2" xfId="17154"/>
    <cellStyle name="Normal 2 3 2 2 2 2 8 2 2" xfId="17155"/>
    <cellStyle name="Normal 2 3 2 2 2 2 8 3" xfId="17156"/>
    <cellStyle name="Normal 2 3 2 2 2 2 9" xfId="17157"/>
    <cellStyle name="Normal 2 3 2 2 2 2 9 2" xfId="17158"/>
    <cellStyle name="Normal 2 3 2 2 2 3" xfId="219"/>
    <cellStyle name="Normal 2 3 2 2 2 3 2" xfId="491"/>
    <cellStyle name="Normal 2 3 2 2 2 3 2 2" xfId="1171"/>
    <cellStyle name="Normal 2 3 2 2 2 3 2 2 2" xfId="2531"/>
    <cellStyle name="Normal 2 3 2 2 2 3 2 2 2 2" xfId="5251"/>
    <cellStyle name="Normal 2 3 2 2 2 3 2 2 2 2 2" xfId="17159"/>
    <cellStyle name="Normal 2 3 2 2 2 3 2 2 2 2 2 2" xfId="17160"/>
    <cellStyle name="Normal 2 3 2 2 2 3 2 2 2 2 2 2 2" xfId="17161"/>
    <cellStyle name="Normal 2 3 2 2 2 3 2 2 2 2 2 3" xfId="17162"/>
    <cellStyle name="Normal 2 3 2 2 2 3 2 2 2 2 3" xfId="17163"/>
    <cellStyle name="Normal 2 3 2 2 2 3 2 2 2 2 3 2" xfId="17164"/>
    <cellStyle name="Normal 2 3 2 2 2 3 2 2 2 2 4" xfId="17165"/>
    <cellStyle name="Normal 2 3 2 2 2 3 2 2 2 3" xfId="17166"/>
    <cellStyle name="Normal 2 3 2 2 2 3 2 2 2 3 2" xfId="17167"/>
    <cellStyle name="Normal 2 3 2 2 2 3 2 2 2 3 2 2" xfId="17168"/>
    <cellStyle name="Normal 2 3 2 2 2 3 2 2 2 3 3" xfId="17169"/>
    <cellStyle name="Normal 2 3 2 2 2 3 2 2 2 4" xfId="17170"/>
    <cellStyle name="Normal 2 3 2 2 2 3 2 2 2 4 2" xfId="17171"/>
    <cellStyle name="Normal 2 3 2 2 2 3 2 2 2 5" xfId="17172"/>
    <cellStyle name="Normal 2 3 2 2 2 3 2 2 3" xfId="3891"/>
    <cellStyle name="Normal 2 3 2 2 2 3 2 2 3 2" xfId="17173"/>
    <cellStyle name="Normal 2 3 2 2 2 3 2 2 3 2 2" xfId="17174"/>
    <cellStyle name="Normal 2 3 2 2 2 3 2 2 3 2 2 2" xfId="17175"/>
    <cellStyle name="Normal 2 3 2 2 2 3 2 2 3 2 3" xfId="17176"/>
    <cellStyle name="Normal 2 3 2 2 2 3 2 2 3 3" xfId="17177"/>
    <cellStyle name="Normal 2 3 2 2 2 3 2 2 3 3 2" xfId="17178"/>
    <cellStyle name="Normal 2 3 2 2 2 3 2 2 3 4" xfId="17179"/>
    <cellStyle name="Normal 2 3 2 2 2 3 2 2 4" xfId="17180"/>
    <cellStyle name="Normal 2 3 2 2 2 3 2 2 4 2" xfId="17181"/>
    <cellStyle name="Normal 2 3 2 2 2 3 2 2 4 2 2" xfId="17182"/>
    <cellStyle name="Normal 2 3 2 2 2 3 2 2 4 3" xfId="17183"/>
    <cellStyle name="Normal 2 3 2 2 2 3 2 2 5" xfId="17184"/>
    <cellStyle name="Normal 2 3 2 2 2 3 2 2 5 2" xfId="17185"/>
    <cellStyle name="Normal 2 3 2 2 2 3 2 2 6" xfId="17186"/>
    <cellStyle name="Normal 2 3 2 2 2 3 2 3" xfId="1851"/>
    <cellStyle name="Normal 2 3 2 2 2 3 2 3 2" xfId="4571"/>
    <cellStyle name="Normal 2 3 2 2 2 3 2 3 2 2" xfId="17187"/>
    <cellStyle name="Normal 2 3 2 2 2 3 2 3 2 2 2" xfId="17188"/>
    <cellStyle name="Normal 2 3 2 2 2 3 2 3 2 2 2 2" xfId="17189"/>
    <cellStyle name="Normal 2 3 2 2 2 3 2 3 2 2 3" xfId="17190"/>
    <cellStyle name="Normal 2 3 2 2 2 3 2 3 2 3" xfId="17191"/>
    <cellStyle name="Normal 2 3 2 2 2 3 2 3 2 3 2" xfId="17192"/>
    <cellStyle name="Normal 2 3 2 2 2 3 2 3 2 4" xfId="17193"/>
    <cellStyle name="Normal 2 3 2 2 2 3 2 3 3" xfId="17194"/>
    <cellStyle name="Normal 2 3 2 2 2 3 2 3 3 2" xfId="17195"/>
    <cellStyle name="Normal 2 3 2 2 2 3 2 3 3 2 2" xfId="17196"/>
    <cellStyle name="Normal 2 3 2 2 2 3 2 3 3 3" xfId="17197"/>
    <cellStyle name="Normal 2 3 2 2 2 3 2 3 4" xfId="17198"/>
    <cellStyle name="Normal 2 3 2 2 2 3 2 3 4 2" xfId="17199"/>
    <cellStyle name="Normal 2 3 2 2 2 3 2 3 5" xfId="17200"/>
    <cellStyle name="Normal 2 3 2 2 2 3 2 4" xfId="3211"/>
    <cellStyle name="Normal 2 3 2 2 2 3 2 4 2" xfId="17201"/>
    <cellStyle name="Normal 2 3 2 2 2 3 2 4 2 2" xfId="17202"/>
    <cellStyle name="Normal 2 3 2 2 2 3 2 4 2 2 2" xfId="17203"/>
    <cellStyle name="Normal 2 3 2 2 2 3 2 4 2 3" xfId="17204"/>
    <cellStyle name="Normal 2 3 2 2 2 3 2 4 3" xfId="17205"/>
    <cellStyle name="Normal 2 3 2 2 2 3 2 4 3 2" xfId="17206"/>
    <cellStyle name="Normal 2 3 2 2 2 3 2 4 4" xfId="17207"/>
    <cellStyle name="Normal 2 3 2 2 2 3 2 5" xfId="17208"/>
    <cellStyle name="Normal 2 3 2 2 2 3 2 5 2" xfId="17209"/>
    <cellStyle name="Normal 2 3 2 2 2 3 2 5 2 2" xfId="17210"/>
    <cellStyle name="Normal 2 3 2 2 2 3 2 5 3" xfId="17211"/>
    <cellStyle name="Normal 2 3 2 2 2 3 2 6" xfId="17212"/>
    <cellStyle name="Normal 2 3 2 2 2 3 2 6 2" xfId="17213"/>
    <cellStyle name="Normal 2 3 2 2 2 3 2 7" xfId="17214"/>
    <cellStyle name="Normal 2 3 2 2 2 3 3" xfId="899"/>
    <cellStyle name="Normal 2 3 2 2 2 3 3 2" xfId="2259"/>
    <cellStyle name="Normal 2 3 2 2 2 3 3 2 2" xfId="4979"/>
    <cellStyle name="Normal 2 3 2 2 2 3 3 2 2 2" xfId="17215"/>
    <cellStyle name="Normal 2 3 2 2 2 3 3 2 2 2 2" xfId="17216"/>
    <cellStyle name="Normal 2 3 2 2 2 3 3 2 2 2 2 2" xfId="17217"/>
    <cellStyle name="Normal 2 3 2 2 2 3 3 2 2 2 3" xfId="17218"/>
    <cellStyle name="Normal 2 3 2 2 2 3 3 2 2 3" xfId="17219"/>
    <cellStyle name="Normal 2 3 2 2 2 3 3 2 2 3 2" xfId="17220"/>
    <cellStyle name="Normal 2 3 2 2 2 3 3 2 2 4" xfId="17221"/>
    <cellStyle name="Normal 2 3 2 2 2 3 3 2 3" xfId="17222"/>
    <cellStyle name="Normal 2 3 2 2 2 3 3 2 3 2" xfId="17223"/>
    <cellStyle name="Normal 2 3 2 2 2 3 3 2 3 2 2" xfId="17224"/>
    <cellStyle name="Normal 2 3 2 2 2 3 3 2 3 3" xfId="17225"/>
    <cellStyle name="Normal 2 3 2 2 2 3 3 2 4" xfId="17226"/>
    <cellStyle name="Normal 2 3 2 2 2 3 3 2 4 2" xfId="17227"/>
    <cellStyle name="Normal 2 3 2 2 2 3 3 2 5" xfId="17228"/>
    <cellStyle name="Normal 2 3 2 2 2 3 3 3" xfId="3619"/>
    <cellStyle name="Normal 2 3 2 2 2 3 3 3 2" xfId="17229"/>
    <cellStyle name="Normal 2 3 2 2 2 3 3 3 2 2" xfId="17230"/>
    <cellStyle name="Normal 2 3 2 2 2 3 3 3 2 2 2" xfId="17231"/>
    <cellStyle name="Normal 2 3 2 2 2 3 3 3 2 3" xfId="17232"/>
    <cellStyle name="Normal 2 3 2 2 2 3 3 3 3" xfId="17233"/>
    <cellStyle name="Normal 2 3 2 2 2 3 3 3 3 2" xfId="17234"/>
    <cellStyle name="Normal 2 3 2 2 2 3 3 3 4" xfId="17235"/>
    <cellStyle name="Normal 2 3 2 2 2 3 3 4" xfId="17236"/>
    <cellStyle name="Normal 2 3 2 2 2 3 3 4 2" xfId="17237"/>
    <cellStyle name="Normal 2 3 2 2 2 3 3 4 2 2" xfId="17238"/>
    <cellStyle name="Normal 2 3 2 2 2 3 3 4 3" xfId="17239"/>
    <cellStyle name="Normal 2 3 2 2 2 3 3 5" xfId="17240"/>
    <cellStyle name="Normal 2 3 2 2 2 3 3 5 2" xfId="17241"/>
    <cellStyle name="Normal 2 3 2 2 2 3 3 6" xfId="17242"/>
    <cellStyle name="Normal 2 3 2 2 2 3 4" xfId="1579"/>
    <cellStyle name="Normal 2 3 2 2 2 3 4 2" xfId="4299"/>
    <cellStyle name="Normal 2 3 2 2 2 3 4 2 2" xfId="17243"/>
    <cellStyle name="Normal 2 3 2 2 2 3 4 2 2 2" xfId="17244"/>
    <cellStyle name="Normal 2 3 2 2 2 3 4 2 2 2 2" xfId="17245"/>
    <cellStyle name="Normal 2 3 2 2 2 3 4 2 2 3" xfId="17246"/>
    <cellStyle name="Normal 2 3 2 2 2 3 4 2 3" xfId="17247"/>
    <cellStyle name="Normal 2 3 2 2 2 3 4 2 3 2" xfId="17248"/>
    <cellStyle name="Normal 2 3 2 2 2 3 4 2 4" xfId="17249"/>
    <cellStyle name="Normal 2 3 2 2 2 3 4 3" xfId="17250"/>
    <cellStyle name="Normal 2 3 2 2 2 3 4 3 2" xfId="17251"/>
    <cellStyle name="Normal 2 3 2 2 2 3 4 3 2 2" xfId="17252"/>
    <cellStyle name="Normal 2 3 2 2 2 3 4 3 3" xfId="17253"/>
    <cellStyle name="Normal 2 3 2 2 2 3 4 4" xfId="17254"/>
    <cellStyle name="Normal 2 3 2 2 2 3 4 4 2" xfId="17255"/>
    <cellStyle name="Normal 2 3 2 2 2 3 4 5" xfId="17256"/>
    <cellStyle name="Normal 2 3 2 2 2 3 5" xfId="2939"/>
    <cellStyle name="Normal 2 3 2 2 2 3 5 2" xfId="17257"/>
    <cellStyle name="Normal 2 3 2 2 2 3 5 2 2" xfId="17258"/>
    <cellStyle name="Normal 2 3 2 2 2 3 5 2 2 2" xfId="17259"/>
    <cellStyle name="Normal 2 3 2 2 2 3 5 2 3" xfId="17260"/>
    <cellStyle name="Normal 2 3 2 2 2 3 5 3" xfId="17261"/>
    <cellStyle name="Normal 2 3 2 2 2 3 5 3 2" xfId="17262"/>
    <cellStyle name="Normal 2 3 2 2 2 3 5 4" xfId="17263"/>
    <cellStyle name="Normal 2 3 2 2 2 3 6" xfId="17264"/>
    <cellStyle name="Normal 2 3 2 2 2 3 6 2" xfId="17265"/>
    <cellStyle name="Normal 2 3 2 2 2 3 6 2 2" xfId="17266"/>
    <cellStyle name="Normal 2 3 2 2 2 3 6 3" xfId="17267"/>
    <cellStyle name="Normal 2 3 2 2 2 3 7" xfId="17268"/>
    <cellStyle name="Normal 2 3 2 2 2 3 7 2" xfId="17269"/>
    <cellStyle name="Normal 2 3 2 2 2 3 8" xfId="17270"/>
    <cellStyle name="Normal 2 3 2 2 2 4" xfId="355"/>
    <cellStyle name="Normal 2 3 2 2 2 4 2" xfId="1035"/>
    <cellStyle name="Normal 2 3 2 2 2 4 2 2" xfId="2395"/>
    <cellStyle name="Normal 2 3 2 2 2 4 2 2 2" xfId="5115"/>
    <cellStyle name="Normal 2 3 2 2 2 4 2 2 2 2" xfId="17271"/>
    <cellStyle name="Normal 2 3 2 2 2 4 2 2 2 2 2" xfId="17272"/>
    <cellStyle name="Normal 2 3 2 2 2 4 2 2 2 2 2 2" xfId="17273"/>
    <cellStyle name="Normal 2 3 2 2 2 4 2 2 2 2 3" xfId="17274"/>
    <cellStyle name="Normal 2 3 2 2 2 4 2 2 2 3" xfId="17275"/>
    <cellStyle name="Normal 2 3 2 2 2 4 2 2 2 3 2" xfId="17276"/>
    <cellStyle name="Normal 2 3 2 2 2 4 2 2 2 4" xfId="17277"/>
    <cellStyle name="Normal 2 3 2 2 2 4 2 2 3" xfId="17278"/>
    <cellStyle name="Normal 2 3 2 2 2 4 2 2 3 2" xfId="17279"/>
    <cellStyle name="Normal 2 3 2 2 2 4 2 2 3 2 2" xfId="17280"/>
    <cellStyle name="Normal 2 3 2 2 2 4 2 2 3 3" xfId="17281"/>
    <cellStyle name="Normal 2 3 2 2 2 4 2 2 4" xfId="17282"/>
    <cellStyle name="Normal 2 3 2 2 2 4 2 2 4 2" xfId="17283"/>
    <cellStyle name="Normal 2 3 2 2 2 4 2 2 5" xfId="17284"/>
    <cellStyle name="Normal 2 3 2 2 2 4 2 3" xfId="3755"/>
    <cellStyle name="Normal 2 3 2 2 2 4 2 3 2" xfId="17285"/>
    <cellStyle name="Normal 2 3 2 2 2 4 2 3 2 2" xfId="17286"/>
    <cellStyle name="Normal 2 3 2 2 2 4 2 3 2 2 2" xfId="17287"/>
    <cellStyle name="Normal 2 3 2 2 2 4 2 3 2 3" xfId="17288"/>
    <cellStyle name="Normal 2 3 2 2 2 4 2 3 3" xfId="17289"/>
    <cellStyle name="Normal 2 3 2 2 2 4 2 3 3 2" xfId="17290"/>
    <cellStyle name="Normal 2 3 2 2 2 4 2 3 4" xfId="17291"/>
    <cellStyle name="Normal 2 3 2 2 2 4 2 4" xfId="17292"/>
    <cellStyle name="Normal 2 3 2 2 2 4 2 4 2" xfId="17293"/>
    <cellStyle name="Normal 2 3 2 2 2 4 2 4 2 2" xfId="17294"/>
    <cellStyle name="Normal 2 3 2 2 2 4 2 4 3" xfId="17295"/>
    <cellStyle name="Normal 2 3 2 2 2 4 2 5" xfId="17296"/>
    <cellStyle name="Normal 2 3 2 2 2 4 2 5 2" xfId="17297"/>
    <cellStyle name="Normal 2 3 2 2 2 4 2 6" xfId="17298"/>
    <cellStyle name="Normal 2 3 2 2 2 4 3" xfId="1715"/>
    <cellStyle name="Normal 2 3 2 2 2 4 3 2" xfId="4435"/>
    <cellStyle name="Normal 2 3 2 2 2 4 3 2 2" xfId="17299"/>
    <cellStyle name="Normal 2 3 2 2 2 4 3 2 2 2" xfId="17300"/>
    <cellStyle name="Normal 2 3 2 2 2 4 3 2 2 2 2" xfId="17301"/>
    <cellStyle name="Normal 2 3 2 2 2 4 3 2 2 3" xfId="17302"/>
    <cellStyle name="Normal 2 3 2 2 2 4 3 2 3" xfId="17303"/>
    <cellStyle name="Normal 2 3 2 2 2 4 3 2 3 2" xfId="17304"/>
    <cellStyle name="Normal 2 3 2 2 2 4 3 2 4" xfId="17305"/>
    <cellStyle name="Normal 2 3 2 2 2 4 3 3" xfId="17306"/>
    <cellStyle name="Normal 2 3 2 2 2 4 3 3 2" xfId="17307"/>
    <cellStyle name="Normal 2 3 2 2 2 4 3 3 2 2" xfId="17308"/>
    <cellStyle name="Normal 2 3 2 2 2 4 3 3 3" xfId="17309"/>
    <cellStyle name="Normal 2 3 2 2 2 4 3 4" xfId="17310"/>
    <cellStyle name="Normal 2 3 2 2 2 4 3 4 2" xfId="17311"/>
    <cellStyle name="Normal 2 3 2 2 2 4 3 5" xfId="17312"/>
    <cellStyle name="Normal 2 3 2 2 2 4 4" xfId="3075"/>
    <cellStyle name="Normal 2 3 2 2 2 4 4 2" xfId="17313"/>
    <cellStyle name="Normal 2 3 2 2 2 4 4 2 2" xfId="17314"/>
    <cellStyle name="Normal 2 3 2 2 2 4 4 2 2 2" xfId="17315"/>
    <cellStyle name="Normal 2 3 2 2 2 4 4 2 3" xfId="17316"/>
    <cellStyle name="Normal 2 3 2 2 2 4 4 3" xfId="17317"/>
    <cellStyle name="Normal 2 3 2 2 2 4 4 3 2" xfId="17318"/>
    <cellStyle name="Normal 2 3 2 2 2 4 4 4" xfId="17319"/>
    <cellStyle name="Normal 2 3 2 2 2 4 5" xfId="17320"/>
    <cellStyle name="Normal 2 3 2 2 2 4 5 2" xfId="17321"/>
    <cellStyle name="Normal 2 3 2 2 2 4 5 2 2" xfId="17322"/>
    <cellStyle name="Normal 2 3 2 2 2 4 5 3" xfId="17323"/>
    <cellStyle name="Normal 2 3 2 2 2 4 6" xfId="17324"/>
    <cellStyle name="Normal 2 3 2 2 2 4 6 2" xfId="17325"/>
    <cellStyle name="Normal 2 3 2 2 2 4 7" xfId="17326"/>
    <cellStyle name="Normal 2 3 2 2 2 5" xfId="627"/>
    <cellStyle name="Normal 2 3 2 2 2 5 2" xfId="1307"/>
    <cellStyle name="Normal 2 3 2 2 2 5 2 2" xfId="2667"/>
    <cellStyle name="Normal 2 3 2 2 2 5 2 2 2" xfId="5387"/>
    <cellStyle name="Normal 2 3 2 2 2 5 2 2 2 2" xfId="17327"/>
    <cellStyle name="Normal 2 3 2 2 2 5 2 2 2 2 2" xfId="17328"/>
    <cellStyle name="Normal 2 3 2 2 2 5 2 2 2 2 2 2" xfId="17329"/>
    <cellStyle name="Normal 2 3 2 2 2 5 2 2 2 2 3" xfId="17330"/>
    <cellStyle name="Normal 2 3 2 2 2 5 2 2 2 3" xfId="17331"/>
    <cellStyle name="Normal 2 3 2 2 2 5 2 2 2 3 2" xfId="17332"/>
    <cellStyle name="Normal 2 3 2 2 2 5 2 2 2 4" xfId="17333"/>
    <cellStyle name="Normal 2 3 2 2 2 5 2 2 3" xfId="17334"/>
    <cellStyle name="Normal 2 3 2 2 2 5 2 2 3 2" xfId="17335"/>
    <cellStyle name="Normal 2 3 2 2 2 5 2 2 3 2 2" xfId="17336"/>
    <cellStyle name="Normal 2 3 2 2 2 5 2 2 3 3" xfId="17337"/>
    <cellStyle name="Normal 2 3 2 2 2 5 2 2 4" xfId="17338"/>
    <cellStyle name="Normal 2 3 2 2 2 5 2 2 4 2" xfId="17339"/>
    <cellStyle name="Normal 2 3 2 2 2 5 2 2 5" xfId="17340"/>
    <cellStyle name="Normal 2 3 2 2 2 5 2 3" xfId="4027"/>
    <cellStyle name="Normal 2 3 2 2 2 5 2 3 2" xfId="17341"/>
    <cellStyle name="Normal 2 3 2 2 2 5 2 3 2 2" xfId="17342"/>
    <cellStyle name="Normal 2 3 2 2 2 5 2 3 2 2 2" xfId="17343"/>
    <cellStyle name="Normal 2 3 2 2 2 5 2 3 2 3" xfId="17344"/>
    <cellStyle name="Normal 2 3 2 2 2 5 2 3 3" xfId="17345"/>
    <cellStyle name="Normal 2 3 2 2 2 5 2 3 3 2" xfId="17346"/>
    <cellStyle name="Normal 2 3 2 2 2 5 2 3 4" xfId="17347"/>
    <cellStyle name="Normal 2 3 2 2 2 5 2 4" xfId="17348"/>
    <cellStyle name="Normal 2 3 2 2 2 5 2 4 2" xfId="17349"/>
    <cellStyle name="Normal 2 3 2 2 2 5 2 4 2 2" xfId="17350"/>
    <cellStyle name="Normal 2 3 2 2 2 5 2 4 3" xfId="17351"/>
    <cellStyle name="Normal 2 3 2 2 2 5 2 5" xfId="17352"/>
    <cellStyle name="Normal 2 3 2 2 2 5 2 5 2" xfId="17353"/>
    <cellStyle name="Normal 2 3 2 2 2 5 2 6" xfId="17354"/>
    <cellStyle name="Normal 2 3 2 2 2 5 3" xfId="1987"/>
    <cellStyle name="Normal 2 3 2 2 2 5 3 2" xfId="4707"/>
    <cellStyle name="Normal 2 3 2 2 2 5 3 2 2" xfId="17355"/>
    <cellStyle name="Normal 2 3 2 2 2 5 3 2 2 2" xfId="17356"/>
    <cellStyle name="Normal 2 3 2 2 2 5 3 2 2 2 2" xfId="17357"/>
    <cellStyle name="Normal 2 3 2 2 2 5 3 2 2 3" xfId="17358"/>
    <cellStyle name="Normal 2 3 2 2 2 5 3 2 3" xfId="17359"/>
    <cellStyle name="Normal 2 3 2 2 2 5 3 2 3 2" xfId="17360"/>
    <cellStyle name="Normal 2 3 2 2 2 5 3 2 4" xfId="17361"/>
    <cellStyle name="Normal 2 3 2 2 2 5 3 3" xfId="17362"/>
    <cellStyle name="Normal 2 3 2 2 2 5 3 3 2" xfId="17363"/>
    <cellStyle name="Normal 2 3 2 2 2 5 3 3 2 2" xfId="17364"/>
    <cellStyle name="Normal 2 3 2 2 2 5 3 3 3" xfId="17365"/>
    <cellStyle name="Normal 2 3 2 2 2 5 3 4" xfId="17366"/>
    <cellStyle name="Normal 2 3 2 2 2 5 3 4 2" xfId="17367"/>
    <cellStyle name="Normal 2 3 2 2 2 5 3 5" xfId="17368"/>
    <cellStyle name="Normal 2 3 2 2 2 5 4" xfId="3347"/>
    <cellStyle name="Normal 2 3 2 2 2 5 4 2" xfId="17369"/>
    <cellStyle name="Normal 2 3 2 2 2 5 4 2 2" xfId="17370"/>
    <cellStyle name="Normal 2 3 2 2 2 5 4 2 2 2" xfId="17371"/>
    <cellStyle name="Normal 2 3 2 2 2 5 4 2 3" xfId="17372"/>
    <cellStyle name="Normal 2 3 2 2 2 5 4 3" xfId="17373"/>
    <cellStyle name="Normal 2 3 2 2 2 5 4 3 2" xfId="17374"/>
    <cellStyle name="Normal 2 3 2 2 2 5 4 4" xfId="17375"/>
    <cellStyle name="Normal 2 3 2 2 2 5 5" xfId="17376"/>
    <cellStyle name="Normal 2 3 2 2 2 5 5 2" xfId="17377"/>
    <cellStyle name="Normal 2 3 2 2 2 5 5 2 2" xfId="17378"/>
    <cellStyle name="Normal 2 3 2 2 2 5 5 3" xfId="17379"/>
    <cellStyle name="Normal 2 3 2 2 2 5 6" xfId="17380"/>
    <cellStyle name="Normal 2 3 2 2 2 5 6 2" xfId="17381"/>
    <cellStyle name="Normal 2 3 2 2 2 5 7" xfId="17382"/>
    <cellStyle name="Normal 2 3 2 2 2 6" xfId="763"/>
    <cellStyle name="Normal 2 3 2 2 2 6 2" xfId="2123"/>
    <cellStyle name="Normal 2 3 2 2 2 6 2 2" xfId="4843"/>
    <cellStyle name="Normal 2 3 2 2 2 6 2 2 2" xfId="17383"/>
    <cellStyle name="Normal 2 3 2 2 2 6 2 2 2 2" xfId="17384"/>
    <cellStyle name="Normal 2 3 2 2 2 6 2 2 2 2 2" xfId="17385"/>
    <cellStyle name="Normal 2 3 2 2 2 6 2 2 2 3" xfId="17386"/>
    <cellStyle name="Normal 2 3 2 2 2 6 2 2 3" xfId="17387"/>
    <cellStyle name="Normal 2 3 2 2 2 6 2 2 3 2" xfId="17388"/>
    <cellStyle name="Normal 2 3 2 2 2 6 2 2 4" xfId="17389"/>
    <cellStyle name="Normal 2 3 2 2 2 6 2 3" xfId="17390"/>
    <cellStyle name="Normal 2 3 2 2 2 6 2 3 2" xfId="17391"/>
    <cellStyle name="Normal 2 3 2 2 2 6 2 3 2 2" xfId="17392"/>
    <cellStyle name="Normal 2 3 2 2 2 6 2 3 3" xfId="17393"/>
    <cellStyle name="Normal 2 3 2 2 2 6 2 4" xfId="17394"/>
    <cellStyle name="Normal 2 3 2 2 2 6 2 4 2" xfId="17395"/>
    <cellStyle name="Normal 2 3 2 2 2 6 2 5" xfId="17396"/>
    <cellStyle name="Normal 2 3 2 2 2 6 3" xfId="3483"/>
    <cellStyle name="Normal 2 3 2 2 2 6 3 2" xfId="17397"/>
    <cellStyle name="Normal 2 3 2 2 2 6 3 2 2" xfId="17398"/>
    <cellStyle name="Normal 2 3 2 2 2 6 3 2 2 2" xfId="17399"/>
    <cellStyle name="Normal 2 3 2 2 2 6 3 2 3" xfId="17400"/>
    <cellStyle name="Normal 2 3 2 2 2 6 3 3" xfId="17401"/>
    <cellStyle name="Normal 2 3 2 2 2 6 3 3 2" xfId="17402"/>
    <cellStyle name="Normal 2 3 2 2 2 6 3 4" xfId="17403"/>
    <cellStyle name="Normal 2 3 2 2 2 6 4" xfId="17404"/>
    <cellStyle name="Normal 2 3 2 2 2 6 4 2" xfId="17405"/>
    <cellStyle name="Normal 2 3 2 2 2 6 4 2 2" xfId="17406"/>
    <cellStyle name="Normal 2 3 2 2 2 6 4 3" xfId="17407"/>
    <cellStyle name="Normal 2 3 2 2 2 6 5" xfId="17408"/>
    <cellStyle name="Normal 2 3 2 2 2 6 5 2" xfId="17409"/>
    <cellStyle name="Normal 2 3 2 2 2 6 6" xfId="17410"/>
    <cellStyle name="Normal 2 3 2 2 2 7" xfId="1443"/>
    <cellStyle name="Normal 2 3 2 2 2 7 2" xfId="4163"/>
    <cellStyle name="Normal 2 3 2 2 2 7 2 2" xfId="17411"/>
    <cellStyle name="Normal 2 3 2 2 2 7 2 2 2" xfId="17412"/>
    <cellStyle name="Normal 2 3 2 2 2 7 2 2 2 2" xfId="17413"/>
    <cellStyle name="Normal 2 3 2 2 2 7 2 2 3" xfId="17414"/>
    <cellStyle name="Normal 2 3 2 2 2 7 2 3" xfId="17415"/>
    <cellStyle name="Normal 2 3 2 2 2 7 2 3 2" xfId="17416"/>
    <cellStyle name="Normal 2 3 2 2 2 7 2 4" xfId="17417"/>
    <cellStyle name="Normal 2 3 2 2 2 7 3" xfId="17418"/>
    <cellStyle name="Normal 2 3 2 2 2 7 3 2" xfId="17419"/>
    <cellStyle name="Normal 2 3 2 2 2 7 3 2 2" xfId="17420"/>
    <cellStyle name="Normal 2 3 2 2 2 7 3 3" xfId="17421"/>
    <cellStyle name="Normal 2 3 2 2 2 7 4" xfId="17422"/>
    <cellStyle name="Normal 2 3 2 2 2 7 4 2" xfId="17423"/>
    <cellStyle name="Normal 2 3 2 2 2 7 5" xfId="17424"/>
    <cellStyle name="Normal 2 3 2 2 2 8" xfId="2803"/>
    <cellStyle name="Normal 2 3 2 2 2 8 2" xfId="17425"/>
    <cellStyle name="Normal 2 3 2 2 2 8 2 2" xfId="17426"/>
    <cellStyle name="Normal 2 3 2 2 2 8 2 2 2" xfId="17427"/>
    <cellStyle name="Normal 2 3 2 2 2 8 2 3" xfId="17428"/>
    <cellStyle name="Normal 2 3 2 2 2 8 3" xfId="17429"/>
    <cellStyle name="Normal 2 3 2 2 2 8 3 2" xfId="17430"/>
    <cellStyle name="Normal 2 3 2 2 2 8 4" xfId="17431"/>
    <cellStyle name="Normal 2 3 2 2 2 9" xfId="17432"/>
    <cellStyle name="Normal 2 3 2 2 2 9 2" xfId="17433"/>
    <cellStyle name="Normal 2 3 2 2 2 9 2 2" xfId="17434"/>
    <cellStyle name="Normal 2 3 2 2 2 9 3" xfId="17435"/>
    <cellStyle name="Normal 2 3 2 2 3" xfId="116"/>
    <cellStyle name="Normal 2 3 2 2 3 10" xfId="17436"/>
    <cellStyle name="Normal 2 3 2 2 3 2" xfId="253"/>
    <cellStyle name="Normal 2 3 2 2 3 2 2" xfId="525"/>
    <cellStyle name="Normal 2 3 2 2 3 2 2 2" xfId="1205"/>
    <cellStyle name="Normal 2 3 2 2 3 2 2 2 2" xfId="2565"/>
    <cellStyle name="Normal 2 3 2 2 3 2 2 2 2 2" xfId="5285"/>
    <cellStyle name="Normal 2 3 2 2 3 2 2 2 2 2 2" xfId="17437"/>
    <cellStyle name="Normal 2 3 2 2 3 2 2 2 2 2 2 2" xfId="17438"/>
    <cellStyle name="Normal 2 3 2 2 3 2 2 2 2 2 2 2 2" xfId="17439"/>
    <cellStyle name="Normal 2 3 2 2 3 2 2 2 2 2 2 3" xfId="17440"/>
    <cellStyle name="Normal 2 3 2 2 3 2 2 2 2 2 3" xfId="17441"/>
    <cellStyle name="Normal 2 3 2 2 3 2 2 2 2 2 3 2" xfId="17442"/>
    <cellStyle name="Normal 2 3 2 2 3 2 2 2 2 2 4" xfId="17443"/>
    <cellStyle name="Normal 2 3 2 2 3 2 2 2 2 3" xfId="17444"/>
    <cellStyle name="Normal 2 3 2 2 3 2 2 2 2 3 2" xfId="17445"/>
    <cellStyle name="Normal 2 3 2 2 3 2 2 2 2 3 2 2" xfId="17446"/>
    <cellStyle name="Normal 2 3 2 2 3 2 2 2 2 3 3" xfId="17447"/>
    <cellStyle name="Normal 2 3 2 2 3 2 2 2 2 4" xfId="17448"/>
    <cellStyle name="Normal 2 3 2 2 3 2 2 2 2 4 2" xfId="17449"/>
    <cellStyle name="Normal 2 3 2 2 3 2 2 2 2 5" xfId="17450"/>
    <cellStyle name="Normal 2 3 2 2 3 2 2 2 3" xfId="3925"/>
    <cellStyle name="Normal 2 3 2 2 3 2 2 2 3 2" xfId="17451"/>
    <cellStyle name="Normal 2 3 2 2 3 2 2 2 3 2 2" xfId="17452"/>
    <cellStyle name="Normal 2 3 2 2 3 2 2 2 3 2 2 2" xfId="17453"/>
    <cellStyle name="Normal 2 3 2 2 3 2 2 2 3 2 3" xfId="17454"/>
    <cellStyle name="Normal 2 3 2 2 3 2 2 2 3 3" xfId="17455"/>
    <cellStyle name="Normal 2 3 2 2 3 2 2 2 3 3 2" xfId="17456"/>
    <cellStyle name="Normal 2 3 2 2 3 2 2 2 3 4" xfId="17457"/>
    <cellStyle name="Normal 2 3 2 2 3 2 2 2 4" xfId="17458"/>
    <cellStyle name="Normal 2 3 2 2 3 2 2 2 4 2" xfId="17459"/>
    <cellStyle name="Normal 2 3 2 2 3 2 2 2 4 2 2" xfId="17460"/>
    <cellStyle name="Normal 2 3 2 2 3 2 2 2 4 3" xfId="17461"/>
    <cellStyle name="Normal 2 3 2 2 3 2 2 2 5" xfId="17462"/>
    <cellStyle name="Normal 2 3 2 2 3 2 2 2 5 2" xfId="17463"/>
    <cellStyle name="Normal 2 3 2 2 3 2 2 2 6" xfId="17464"/>
    <cellStyle name="Normal 2 3 2 2 3 2 2 3" xfId="1885"/>
    <cellStyle name="Normal 2 3 2 2 3 2 2 3 2" xfId="4605"/>
    <cellStyle name="Normal 2 3 2 2 3 2 2 3 2 2" xfId="17465"/>
    <cellStyle name="Normal 2 3 2 2 3 2 2 3 2 2 2" xfId="17466"/>
    <cellStyle name="Normal 2 3 2 2 3 2 2 3 2 2 2 2" xfId="17467"/>
    <cellStyle name="Normal 2 3 2 2 3 2 2 3 2 2 3" xfId="17468"/>
    <cellStyle name="Normal 2 3 2 2 3 2 2 3 2 3" xfId="17469"/>
    <cellStyle name="Normal 2 3 2 2 3 2 2 3 2 3 2" xfId="17470"/>
    <cellStyle name="Normal 2 3 2 2 3 2 2 3 2 4" xfId="17471"/>
    <cellStyle name="Normal 2 3 2 2 3 2 2 3 3" xfId="17472"/>
    <cellStyle name="Normal 2 3 2 2 3 2 2 3 3 2" xfId="17473"/>
    <cellStyle name="Normal 2 3 2 2 3 2 2 3 3 2 2" xfId="17474"/>
    <cellStyle name="Normal 2 3 2 2 3 2 2 3 3 3" xfId="17475"/>
    <cellStyle name="Normal 2 3 2 2 3 2 2 3 4" xfId="17476"/>
    <cellStyle name="Normal 2 3 2 2 3 2 2 3 4 2" xfId="17477"/>
    <cellStyle name="Normal 2 3 2 2 3 2 2 3 5" xfId="17478"/>
    <cellStyle name="Normal 2 3 2 2 3 2 2 4" xfId="3245"/>
    <cellStyle name="Normal 2 3 2 2 3 2 2 4 2" xfId="17479"/>
    <cellStyle name="Normal 2 3 2 2 3 2 2 4 2 2" xfId="17480"/>
    <cellStyle name="Normal 2 3 2 2 3 2 2 4 2 2 2" xfId="17481"/>
    <cellStyle name="Normal 2 3 2 2 3 2 2 4 2 3" xfId="17482"/>
    <cellStyle name="Normal 2 3 2 2 3 2 2 4 3" xfId="17483"/>
    <cellStyle name="Normal 2 3 2 2 3 2 2 4 3 2" xfId="17484"/>
    <cellStyle name="Normal 2 3 2 2 3 2 2 4 4" xfId="17485"/>
    <cellStyle name="Normal 2 3 2 2 3 2 2 5" xfId="17486"/>
    <cellStyle name="Normal 2 3 2 2 3 2 2 5 2" xfId="17487"/>
    <cellStyle name="Normal 2 3 2 2 3 2 2 5 2 2" xfId="17488"/>
    <cellStyle name="Normal 2 3 2 2 3 2 2 5 3" xfId="17489"/>
    <cellStyle name="Normal 2 3 2 2 3 2 2 6" xfId="17490"/>
    <cellStyle name="Normal 2 3 2 2 3 2 2 6 2" xfId="17491"/>
    <cellStyle name="Normal 2 3 2 2 3 2 2 7" xfId="17492"/>
    <cellStyle name="Normal 2 3 2 2 3 2 3" xfId="933"/>
    <cellStyle name="Normal 2 3 2 2 3 2 3 2" xfId="2293"/>
    <cellStyle name="Normal 2 3 2 2 3 2 3 2 2" xfId="5013"/>
    <cellStyle name="Normal 2 3 2 2 3 2 3 2 2 2" xfId="17493"/>
    <cellStyle name="Normal 2 3 2 2 3 2 3 2 2 2 2" xfId="17494"/>
    <cellStyle name="Normal 2 3 2 2 3 2 3 2 2 2 2 2" xfId="17495"/>
    <cellStyle name="Normal 2 3 2 2 3 2 3 2 2 2 3" xfId="17496"/>
    <cellStyle name="Normal 2 3 2 2 3 2 3 2 2 3" xfId="17497"/>
    <cellStyle name="Normal 2 3 2 2 3 2 3 2 2 3 2" xfId="17498"/>
    <cellStyle name="Normal 2 3 2 2 3 2 3 2 2 4" xfId="17499"/>
    <cellStyle name="Normal 2 3 2 2 3 2 3 2 3" xfId="17500"/>
    <cellStyle name="Normal 2 3 2 2 3 2 3 2 3 2" xfId="17501"/>
    <cellStyle name="Normal 2 3 2 2 3 2 3 2 3 2 2" xfId="17502"/>
    <cellStyle name="Normal 2 3 2 2 3 2 3 2 3 3" xfId="17503"/>
    <cellStyle name="Normal 2 3 2 2 3 2 3 2 4" xfId="17504"/>
    <cellStyle name="Normal 2 3 2 2 3 2 3 2 4 2" xfId="17505"/>
    <cellStyle name="Normal 2 3 2 2 3 2 3 2 5" xfId="17506"/>
    <cellStyle name="Normal 2 3 2 2 3 2 3 3" xfId="3653"/>
    <cellStyle name="Normal 2 3 2 2 3 2 3 3 2" xfId="17507"/>
    <cellStyle name="Normal 2 3 2 2 3 2 3 3 2 2" xfId="17508"/>
    <cellStyle name="Normal 2 3 2 2 3 2 3 3 2 2 2" xfId="17509"/>
    <cellStyle name="Normal 2 3 2 2 3 2 3 3 2 3" xfId="17510"/>
    <cellStyle name="Normal 2 3 2 2 3 2 3 3 3" xfId="17511"/>
    <cellStyle name="Normal 2 3 2 2 3 2 3 3 3 2" xfId="17512"/>
    <cellStyle name="Normal 2 3 2 2 3 2 3 3 4" xfId="17513"/>
    <cellStyle name="Normal 2 3 2 2 3 2 3 4" xfId="17514"/>
    <cellStyle name="Normal 2 3 2 2 3 2 3 4 2" xfId="17515"/>
    <cellStyle name="Normal 2 3 2 2 3 2 3 4 2 2" xfId="17516"/>
    <cellStyle name="Normal 2 3 2 2 3 2 3 4 3" xfId="17517"/>
    <cellStyle name="Normal 2 3 2 2 3 2 3 5" xfId="17518"/>
    <cellStyle name="Normal 2 3 2 2 3 2 3 5 2" xfId="17519"/>
    <cellStyle name="Normal 2 3 2 2 3 2 3 6" xfId="17520"/>
    <cellStyle name="Normal 2 3 2 2 3 2 4" xfId="1613"/>
    <cellStyle name="Normal 2 3 2 2 3 2 4 2" xfId="4333"/>
    <cellStyle name="Normal 2 3 2 2 3 2 4 2 2" xfId="17521"/>
    <cellStyle name="Normal 2 3 2 2 3 2 4 2 2 2" xfId="17522"/>
    <cellStyle name="Normal 2 3 2 2 3 2 4 2 2 2 2" xfId="17523"/>
    <cellStyle name="Normal 2 3 2 2 3 2 4 2 2 3" xfId="17524"/>
    <cellStyle name="Normal 2 3 2 2 3 2 4 2 3" xfId="17525"/>
    <cellStyle name="Normal 2 3 2 2 3 2 4 2 3 2" xfId="17526"/>
    <cellStyle name="Normal 2 3 2 2 3 2 4 2 4" xfId="17527"/>
    <cellStyle name="Normal 2 3 2 2 3 2 4 3" xfId="17528"/>
    <cellStyle name="Normal 2 3 2 2 3 2 4 3 2" xfId="17529"/>
    <cellStyle name="Normal 2 3 2 2 3 2 4 3 2 2" xfId="17530"/>
    <cellStyle name="Normal 2 3 2 2 3 2 4 3 3" xfId="17531"/>
    <cellStyle name="Normal 2 3 2 2 3 2 4 4" xfId="17532"/>
    <cellStyle name="Normal 2 3 2 2 3 2 4 4 2" xfId="17533"/>
    <cellStyle name="Normal 2 3 2 2 3 2 4 5" xfId="17534"/>
    <cellStyle name="Normal 2 3 2 2 3 2 5" xfId="2973"/>
    <cellStyle name="Normal 2 3 2 2 3 2 5 2" xfId="17535"/>
    <cellStyle name="Normal 2 3 2 2 3 2 5 2 2" xfId="17536"/>
    <cellStyle name="Normal 2 3 2 2 3 2 5 2 2 2" xfId="17537"/>
    <cellStyle name="Normal 2 3 2 2 3 2 5 2 3" xfId="17538"/>
    <cellStyle name="Normal 2 3 2 2 3 2 5 3" xfId="17539"/>
    <cellStyle name="Normal 2 3 2 2 3 2 5 3 2" xfId="17540"/>
    <cellStyle name="Normal 2 3 2 2 3 2 5 4" xfId="17541"/>
    <cellStyle name="Normal 2 3 2 2 3 2 6" xfId="17542"/>
    <cellStyle name="Normal 2 3 2 2 3 2 6 2" xfId="17543"/>
    <cellStyle name="Normal 2 3 2 2 3 2 6 2 2" xfId="17544"/>
    <cellStyle name="Normal 2 3 2 2 3 2 6 3" xfId="17545"/>
    <cellStyle name="Normal 2 3 2 2 3 2 7" xfId="17546"/>
    <cellStyle name="Normal 2 3 2 2 3 2 7 2" xfId="17547"/>
    <cellStyle name="Normal 2 3 2 2 3 2 8" xfId="17548"/>
    <cellStyle name="Normal 2 3 2 2 3 3" xfId="389"/>
    <cellStyle name="Normal 2 3 2 2 3 3 2" xfId="1069"/>
    <cellStyle name="Normal 2 3 2 2 3 3 2 2" xfId="2429"/>
    <cellStyle name="Normal 2 3 2 2 3 3 2 2 2" xfId="5149"/>
    <cellStyle name="Normal 2 3 2 2 3 3 2 2 2 2" xfId="17549"/>
    <cellStyle name="Normal 2 3 2 2 3 3 2 2 2 2 2" xfId="17550"/>
    <cellStyle name="Normal 2 3 2 2 3 3 2 2 2 2 2 2" xfId="17551"/>
    <cellStyle name="Normal 2 3 2 2 3 3 2 2 2 2 3" xfId="17552"/>
    <cellStyle name="Normal 2 3 2 2 3 3 2 2 2 3" xfId="17553"/>
    <cellStyle name="Normal 2 3 2 2 3 3 2 2 2 3 2" xfId="17554"/>
    <cellStyle name="Normal 2 3 2 2 3 3 2 2 2 4" xfId="17555"/>
    <cellStyle name="Normal 2 3 2 2 3 3 2 2 3" xfId="17556"/>
    <cellStyle name="Normal 2 3 2 2 3 3 2 2 3 2" xfId="17557"/>
    <cellStyle name="Normal 2 3 2 2 3 3 2 2 3 2 2" xfId="17558"/>
    <cellStyle name="Normal 2 3 2 2 3 3 2 2 3 3" xfId="17559"/>
    <cellStyle name="Normal 2 3 2 2 3 3 2 2 4" xfId="17560"/>
    <cellStyle name="Normal 2 3 2 2 3 3 2 2 4 2" xfId="17561"/>
    <cellStyle name="Normal 2 3 2 2 3 3 2 2 5" xfId="17562"/>
    <cellStyle name="Normal 2 3 2 2 3 3 2 3" xfId="3789"/>
    <cellStyle name="Normal 2 3 2 2 3 3 2 3 2" xfId="17563"/>
    <cellStyle name="Normal 2 3 2 2 3 3 2 3 2 2" xfId="17564"/>
    <cellStyle name="Normal 2 3 2 2 3 3 2 3 2 2 2" xfId="17565"/>
    <cellStyle name="Normal 2 3 2 2 3 3 2 3 2 3" xfId="17566"/>
    <cellStyle name="Normal 2 3 2 2 3 3 2 3 3" xfId="17567"/>
    <cellStyle name="Normal 2 3 2 2 3 3 2 3 3 2" xfId="17568"/>
    <cellStyle name="Normal 2 3 2 2 3 3 2 3 4" xfId="17569"/>
    <cellStyle name="Normal 2 3 2 2 3 3 2 4" xfId="17570"/>
    <cellStyle name="Normal 2 3 2 2 3 3 2 4 2" xfId="17571"/>
    <cellStyle name="Normal 2 3 2 2 3 3 2 4 2 2" xfId="17572"/>
    <cellStyle name="Normal 2 3 2 2 3 3 2 4 3" xfId="17573"/>
    <cellStyle name="Normal 2 3 2 2 3 3 2 5" xfId="17574"/>
    <cellStyle name="Normal 2 3 2 2 3 3 2 5 2" xfId="17575"/>
    <cellStyle name="Normal 2 3 2 2 3 3 2 6" xfId="17576"/>
    <cellStyle name="Normal 2 3 2 2 3 3 3" xfId="1749"/>
    <cellStyle name="Normal 2 3 2 2 3 3 3 2" xfId="4469"/>
    <cellStyle name="Normal 2 3 2 2 3 3 3 2 2" xfId="17577"/>
    <cellStyle name="Normal 2 3 2 2 3 3 3 2 2 2" xfId="17578"/>
    <cellStyle name="Normal 2 3 2 2 3 3 3 2 2 2 2" xfId="17579"/>
    <cellStyle name="Normal 2 3 2 2 3 3 3 2 2 3" xfId="17580"/>
    <cellStyle name="Normal 2 3 2 2 3 3 3 2 3" xfId="17581"/>
    <cellStyle name="Normal 2 3 2 2 3 3 3 2 3 2" xfId="17582"/>
    <cellStyle name="Normal 2 3 2 2 3 3 3 2 4" xfId="17583"/>
    <cellStyle name="Normal 2 3 2 2 3 3 3 3" xfId="17584"/>
    <cellStyle name="Normal 2 3 2 2 3 3 3 3 2" xfId="17585"/>
    <cellStyle name="Normal 2 3 2 2 3 3 3 3 2 2" xfId="17586"/>
    <cellStyle name="Normal 2 3 2 2 3 3 3 3 3" xfId="17587"/>
    <cellStyle name="Normal 2 3 2 2 3 3 3 4" xfId="17588"/>
    <cellStyle name="Normal 2 3 2 2 3 3 3 4 2" xfId="17589"/>
    <cellStyle name="Normal 2 3 2 2 3 3 3 5" xfId="17590"/>
    <cellStyle name="Normal 2 3 2 2 3 3 4" xfId="3109"/>
    <cellStyle name="Normal 2 3 2 2 3 3 4 2" xfId="17591"/>
    <cellStyle name="Normal 2 3 2 2 3 3 4 2 2" xfId="17592"/>
    <cellStyle name="Normal 2 3 2 2 3 3 4 2 2 2" xfId="17593"/>
    <cellStyle name="Normal 2 3 2 2 3 3 4 2 3" xfId="17594"/>
    <cellStyle name="Normal 2 3 2 2 3 3 4 3" xfId="17595"/>
    <cellStyle name="Normal 2 3 2 2 3 3 4 3 2" xfId="17596"/>
    <cellStyle name="Normal 2 3 2 2 3 3 4 4" xfId="17597"/>
    <cellStyle name="Normal 2 3 2 2 3 3 5" xfId="17598"/>
    <cellStyle name="Normal 2 3 2 2 3 3 5 2" xfId="17599"/>
    <cellStyle name="Normal 2 3 2 2 3 3 5 2 2" xfId="17600"/>
    <cellStyle name="Normal 2 3 2 2 3 3 5 3" xfId="17601"/>
    <cellStyle name="Normal 2 3 2 2 3 3 6" xfId="17602"/>
    <cellStyle name="Normal 2 3 2 2 3 3 6 2" xfId="17603"/>
    <cellStyle name="Normal 2 3 2 2 3 3 7" xfId="17604"/>
    <cellStyle name="Normal 2 3 2 2 3 4" xfId="661"/>
    <cellStyle name="Normal 2 3 2 2 3 4 2" xfId="1341"/>
    <cellStyle name="Normal 2 3 2 2 3 4 2 2" xfId="2701"/>
    <cellStyle name="Normal 2 3 2 2 3 4 2 2 2" xfId="5421"/>
    <cellStyle name="Normal 2 3 2 2 3 4 2 2 2 2" xfId="17605"/>
    <cellStyle name="Normal 2 3 2 2 3 4 2 2 2 2 2" xfId="17606"/>
    <cellStyle name="Normal 2 3 2 2 3 4 2 2 2 2 2 2" xfId="17607"/>
    <cellStyle name="Normal 2 3 2 2 3 4 2 2 2 2 3" xfId="17608"/>
    <cellStyle name="Normal 2 3 2 2 3 4 2 2 2 3" xfId="17609"/>
    <cellStyle name="Normal 2 3 2 2 3 4 2 2 2 3 2" xfId="17610"/>
    <cellStyle name="Normal 2 3 2 2 3 4 2 2 2 4" xfId="17611"/>
    <cellStyle name="Normal 2 3 2 2 3 4 2 2 3" xfId="17612"/>
    <cellStyle name="Normal 2 3 2 2 3 4 2 2 3 2" xfId="17613"/>
    <cellStyle name="Normal 2 3 2 2 3 4 2 2 3 2 2" xfId="17614"/>
    <cellStyle name="Normal 2 3 2 2 3 4 2 2 3 3" xfId="17615"/>
    <cellStyle name="Normal 2 3 2 2 3 4 2 2 4" xfId="17616"/>
    <cellStyle name="Normal 2 3 2 2 3 4 2 2 4 2" xfId="17617"/>
    <cellStyle name="Normal 2 3 2 2 3 4 2 2 5" xfId="17618"/>
    <cellStyle name="Normal 2 3 2 2 3 4 2 3" xfId="4061"/>
    <cellStyle name="Normal 2 3 2 2 3 4 2 3 2" xfId="17619"/>
    <cellStyle name="Normal 2 3 2 2 3 4 2 3 2 2" xfId="17620"/>
    <cellStyle name="Normal 2 3 2 2 3 4 2 3 2 2 2" xfId="17621"/>
    <cellStyle name="Normal 2 3 2 2 3 4 2 3 2 3" xfId="17622"/>
    <cellStyle name="Normal 2 3 2 2 3 4 2 3 3" xfId="17623"/>
    <cellStyle name="Normal 2 3 2 2 3 4 2 3 3 2" xfId="17624"/>
    <cellStyle name="Normal 2 3 2 2 3 4 2 3 4" xfId="17625"/>
    <cellStyle name="Normal 2 3 2 2 3 4 2 4" xfId="17626"/>
    <cellStyle name="Normal 2 3 2 2 3 4 2 4 2" xfId="17627"/>
    <cellStyle name="Normal 2 3 2 2 3 4 2 4 2 2" xfId="17628"/>
    <cellStyle name="Normal 2 3 2 2 3 4 2 4 3" xfId="17629"/>
    <cellStyle name="Normal 2 3 2 2 3 4 2 5" xfId="17630"/>
    <cellStyle name="Normal 2 3 2 2 3 4 2 5 2" xfId="17631"/>
    <cellStyle name="Normal 2 3 2 2 3 4 2 6" xfId="17632"/>
    <cellStyle name="Normal 2 3 2 2 3 4 3" xfId="2021"/>
    <cellStyle name="Normal 2 3 2 2 3 4 3 2" xfId="4741"/>
    <cellStyle name="Normal 2 3 2 2 3 4 3 2 2" xfId="17633"/>
    <cellStyle name="Normal 2 3 2 2 3 4 3 2 2 2" xfId="17634"/>
    <cellStyle name="Normal 2 3 2 2 3 4 3 2 2 2 2" xfId="17635"/>
    <cellStyle name="Normal 2 3 2 2 3 4 3 2 2 3" xfId="17636"/>
    <cellStyle name="Normal 2 3 2 2 3 4 3 2 3" xfId="17637"/>
    <cellStyle name="Normal 2 3 2 2 3 4 3 2 3 2" xfId="17638"/>
    <cellStyle name="Normal 2 3 2 2 3 4 3 2 4" xfId="17639"/>
    <cellStyle name="Normal 2 3 2 2 3 4 3 3" xfId="17640"/>
    <cellStyle name="Normal 2 3 2 2 3 4 3 3 2" xfId="17641"/>
    <cellStyle name="Normal 2 3 2 2 3 4 3 3 2 2" xfId="17642"/>
    <cellStyle name="Normal 2 3 2 2 3 4 3 3 3" xfId="17643"/>
    <cellStyle name="Normal 2 3 2 2 3 4 3 4" xfId="17644"/>
    <cellStyle name="Normal 2 3 2 2 3 4 3 4 2" xfId="17645"/>
    <cellStyle name="Normal 2 3 2 2 3 4 3 5" xfId="17646"/>
    <cellStyle name="Normal 2 3 2 2 3 4 4" xfId="3381"/>
    <cellStyle name="Normal 2 3 2 2 3 4 4 2" xfId="17647"/>
    <cellStyle name="Normal 2 3 2 2 3 4 4 2 2" xfId="17648"/>
    <cellStyle name="Normal 2 3 2 2 3 4 4 2 2 2" xfId="17649"/>
    <cellStyle name="Normal 2 3 2 2 3 4 4 2 3" xfId="17650"/>
    <cellStyle name="Normal 2 3 2 2 3 4 4 3" xfId="17651"/>
    <cellStyle name="Normal 2 3 2 2 3 4 4 3 2" xfId="17652"/>
    <cellStyle name="Normal 2 3 2 2 3 4 4 4" xfId="17653"/>
    <cellStyle name="Normal 2 3 2 2 3 4 5" xfId="17654"/>
    <cellStyle name="Normal 2 3 2 2 3 4 5 2" xfId="17655"/>
    <cellStyle name="Normal 2 3 2 2 3 4 5 2 2" xfId="17656"/>
    <cellStyle name="Normal 2 3 2 2 3 4 5 3" xfId="17657"/>
    <cellStyle name="Normal 2 3 2 2 3 4 6" xfId="17658"/>
    <cellStyle name="Normal 2 3 2 2 3 4 6 2" xfId="17659"/>
    <cellStyle name="Normal 2 3 2 2 3 4 7" xfId="17660"/>
    <cellStyle name="Normal 2 3 2 2 3 5" xfId="797"/>
    <cellStyle name="Normal 2 3 2 2 3 5 2" xfId="2157"/>
    <cellStyle name="Normal 2 3 2 2 3 5 2 2" xfId="4877"/>
    <cellStyle name="Normal 2 3 2 2 3 5 2 2 2" xfId="17661"/>
    <cellStyle name="Normal 2 3 2 2 3 5 2 2 2 2" xfId="17662"/>
    <cellStyle name="Normal 2 3 2 2 3 5 2 2 2 2 2" xfId="17663"/>
    <cellStyle name="Normal 2 3 2 2 3 5 2 2 2 3" xfId="17664"/>
    <cellStyle name="Normal 2 3 2 2 3 5 2 2 3" xfId="17665"/>
    <cellStyle name="Normal 2 3 2 2 3 5 2 2 3 2" xfId="17666"/>
    <cellStyle name="Normal 2 3 2 2 3 5 2 2 4" xfId="17667"/>
    <cellStyle name="Normal 2 3 2 2 3 5 2 3" xfId="17668"/>
    <cellStyle name="Normal 2 3 2 2 3 5 2 3 2" xfId="17669"/>
    <cellStyle name="Normal 2 3 2 2 3 5 2 3 2 2" xfId="17670"/>
    <cellStyle name="Normal 2 3 2 2 3 5 2 3 3" xfId="17671"/>
    <cellStyle name="Normal 2 3 2 2 3 5 2 4" xfId="17672"/>
    <cellStyle name="Normal 2 3 2 2 3 5 2 4 2" xfId="17673"/>
    <cellStyle name="Normal 2 3 2 2 3 5 2 5" xfId="17674"/>
    <cellStyle name="Normal 2 3 2 2 3 5 3" xfId="3517"/>
    <cellStyle name="Normal 2 3 2 2 3 5 3 2" xfId="17675"/>
    <cellStyle name="Normal 2 3 2 2 3 5 3 2 2" xfId="17676"/>
    <cellStyle name="Normal 2 3 2 2 3 5 3 2 2 2" xfId="17677"/>
    <cellStyle name="Normal 2 3 2 2 3 5 3 2 3" xfId="17678"/>
    <cellStyle name="Normal 2 3 2 2 3 5 3 3" xfId="17679"/>
    <cellStyle name="Normal 2 3 2 2 3 5 3 3 2" xfId="17680"/>
    <cellStyle name="Normal 2 3 2 2 3 5 3 4" xfId="17681"/>
    <cellStyle name="Normal 2 3 2 2 3 5 4" xfId="17682"/>
    <cellStyle name="Normal 2 3 2 2 3 5 4 2" xfId="17683"/>
    <cellStyle name="Normal 2 3 2 2 3 5 4 2 2" xfId="17684"/>
    <cellStyle name="Normal 2 3 2 2 3 5 4 3" xfId="17685"/>
    <cellStyle name="Normal 2 3 2 2 3 5 5" xfId="17686"/>
    <cellStyle name="Normal 2 3 2 2 3 5 5 2" xfId="17687"/>
    <cellStyle name="Normal 2 3 2 2 3 5 6" xfId="17688"/>
    <cellStyle name="Normal 2 3 2 2 3 6" xfId="1477"/>
    <cellStyle name="Normal 2 3 2 2 3 6 2" xfId="4197"/>
    <cellStyle name="Normal 2 3 2 2 3 6 2 2" xfId="17689"/>
    <cellStyle name="Normal 2 3 2 2 3 6 2 2 2" xfId="17690"/>
    <cellStyle name="Normal 2 3 2 2 3 6 2 2 2 2" xfId="17691"/>
    <cellStyle name="Normal 2 3 2 2 3 6 2 2 3" xfId="17692"/>
    <cellStyle name="Normal 2 3 2 2 3 6 2 3" xfId="17693"/>
    <cellStyle name="Normal 2 3 2 2 3 6 2 3 2" xfId="17694"/>
    <cellStyle name="Normal 2 3 2 2 3 6 2 4" xfId="17695"/>
    <cellStyle name="Normal 2 3 2 2 3 6 3" xfId="17696"/>
    <cellStyle name="Normal 2 3 2 2 3 6 3 2" xfId="17697"/>
    <cellStyle name="Normal 2 3 2 2 3 6 3 2 2" xfId="17698"/>
    <cellStyle name="Normal 2 3 2 2 3 6 3 3" xfId="17699"/>
    <cellStyle name="Normal 2 3 2 2 3 6 4" xfId="17700"/>
    <cellStyle name="Normal 2 3 2 2 3 6 4 2" xfId="17701"/>
    <cellStyle name="Normal 2 3 2 2 3 6 5" xfId="17702"/>
    <cellStyle name="Normal 2 3 2 2 3 7" xfId="2837"/>
    <cellStyle name="Normal 2 3 2 2 3 7 2" xfId="17703"/>
    <cellStyle name="Normal 2 3 2 2 3 7 2 2" xfId="17704"/>
    <cellStyle name="Normal 2 3 2 2 3 7 2 2 2" xfId="17705"/>
    <cellStyle name="Normal 2 3 2 2 3 7 2 3" xfId="17706"/>
    <cellStyle name="Normal 2 3 2 2 3 7 3" xfId="17707"/>
    <cellStyle name="Normal 2 3 2 2 3 7 3 2" xfId="17708"/>
    <cellStyle name="Normal 2 3 2 2 3 7 4" xfId="17709"/>
    <cellStyle name="Normal 2 3 2 2 3 8" xfId="17710"/>
    <cellStyle name="Normal 2 3 2 2 3 8 2" xfId="17711"/>
    <cellStyle name="Normal 2 3 2 2 3 8 2 2" xfId="17712"/>
    <cellStyle name="Normal 2 3 2 2 3 8 3" xfId="17713"/>
    <cellStyle name="Normal 2 3 2 2 3 9" xfId="17714"/>
    <cellStyle name="Normal 2 3 2 2 3 9 2" xfId="17715"/>
    <cellStyle name="Normal 2 3 2 2 4" xfId="185"/>
    <cellStyle name="Normal 2 3 2 2 4 2" xfId="457"/>
    <cellStyle name="Normal 2 3 2 2 4 2 2" xfId="1137"/>
    <cellStyle name="Normal 2 3 2 2 4 2 2 2" xfId="2497"/>
    <cellStyle name="Normal 2 3 2 2 4 2 2 2 2" xfId="5217"/>
    <cellStyle name="Normal 2 3 2 2 4 2 2 2 2 2" xfId="17716"/>
    <cellStyle name="Normal 2 3 2 2 4 2 2 2 2 2 2" xfId="17717"/>
    <cellStyle name="Normal 2 3 2 2 4 2 2 2 2 2 2 2" xfId="17718"/>
    <cellStyle name="Normal 2 3 2 2 4 2 2 2 2 2 3" xfId="17719"/>
    <cellStyle name="Normal 2 3 2 2 4 2 2 2 2 3" xfId="17720"/>
    <cellStyle name="Normal 2 3 2 2 4 2 2 2 2 3 2" xfId="17721"/>
    <cellStyle name="Normal 2 3 2 2 4 2 2 2 2 4" xfId="17722"/>
    <cellStyle name="Normal 2 3 2 2 4 2 2 2 3" xfId="17723"/>
    <cellStyle name="Normal 2 3 2 2 4 2 2 2 3 2" xfId="17724"/>
    <cellStyle name="Normal 2 3 2 2 4 2 2 2 3 2 2" xfId="17725"/>
    <cellStyle name="Normal 2 3 2 2 4 2 2 2 3 3" xfId="17726"/>
    <cellStyle name="Normal 2 3 2 2 4 2 2 2 4" xfId="17727"/>
    <cellStyle name="Normal 2 3 2 2 4 2 2 2 4 2" xfId="17728"/>
    <cellStyle name="Normal 2 3 2 2 4 2 2 2 5" xfId="17729"/>
    <cellStyle name="Normal 2 3 2 2 4 2 2 3" xfId="3857"/>
    <cellStyle name="Normal 2 3 2 2 4 2 2 3 2" xfId="17730"/>
    <cellStyle name="Normal 2 3 2 2 4 2 2 3 2 2" xfId="17731"/>
    <cellStyle name="Normal 2 3 2 2 4 2 2 3 2 2 2" xfId="17732"/>
    <cellStyle name="Normal 2 3 2 2 4 2 2 3 2 3" xfId="17733"/>
    <cellStyle name="Normal 2 3 2 2 4 2 2 3 3" xfId="17734"/>
    <cellStyle name="Normal 2 3 2 2 4 2 2 3 3 2" xfId="17735"/>
    <cellStyle name="Normal 2 3 2 2 4 2 2 3 4" xfId="17736"/>
    <cellStyle name="Normal 2 3 2 2 4 2 2 4" xfId="17737"/>
    <cellStyle name="Normal 2 3 2 2 4 2 2 4 2" xfId="17738"/>
    <cellStyle name="Normal 2 3 2 2 4 2 2 4 2 2" xfId="17739"/>
    <cellStyle name="Normal 2 3 2 2 4 2 2 4 3" xfId="17740"/>
    <cellStyle name="Normal 2 3 2 2 4 2 2 5" xfId="17741"/>
    <cellStyle name="Normal 2 3 2 2 4 2 2 5 2" xfId="17742"/>
    <cellStyle name="Normal 2 3 2 2 4 2 2 6" xfId="17743"/>
    <cellStyle name="Normal 2 3 2 2 4 2 3" xfId="1817"/>
    <cellStyle name="Normal 2 3 2 2 4 2 3 2" xfId="4537"/>
    <cellStyle name="Normal 2 3 2 2 4 2 3 2 2" xfId="17744"/>
    <cellStyle name="Normal 2 3 2 2 4 2 3 2 2 2" xfId="17745"/>
    <cellStyle name="Normal 2 3 2 2 4 2 3 2 2 2 2" xfId="17746"/>
    <cellStyle name="Normal 2 3 2 2 4 2 3 2 2 3" xfId="17747"/>
    <cellStyle name="Normal 2 3 2 2 4 2 3 2 3" xfId="17748"/>
    <cellStyle name="Normal 2 3 2 2 4 2 3 2 3 2" xfId="17749"/>
    <cellStyle name="Normal 2 3 2 2 4 2 3 2 4" xfId="17750"/>
    <cellStyle name="Normal 2 3 2 2 4 2 3 3" xfId="17751"/>
    <cellStyle name="Normal 2 3 2 2 4 2 3 3 2" xfId="17752"/>
    <cellStyle name="Normal 2 3 2 2 4 2 3 3 2 2" xfId="17753"/>
    <cellStyle name="Normal 2 3 2 2 4 2 3 3 3" xfId="17754"/>
    <cellStyle name="Normal 2 3 2 2 4 2 3 4" xfId="17755"/>
    <cellStyle name="Normal 2 3 2 2 4 2 3 4 2" xfId="17756"/>
    <cellStyle name="Normal 2 3 2 2 4 2 3 5" xfId="17757"/>
    <cellStyle name="Normal 2 3 2 2 4 2 4" xfId="3177"/>
    <cellStyle name="Normal 2 3 2 2 4 2 4 2" xfId="17758"/>
    <cellStyle name="Normal 2 3 2 2 4 2 4 2 2" xfId="17759"/>
    <cellStyle name="Normal 2 3 2 2 4 2 4 2 2 2" xfId="17760"/>
    <cellStyle name="Normal 2 3 2 2 4 2 4 2 3" xfId="17761"/>
    <cellStyle name="Normal 2 3 2 2 4 2 4 3" xfId="17762"/>
    <cellStyle name="Normal 2 3 2 2 4 2 4 3 2" xfId="17763"/>
    <cellStyle name="Normal 2 3 2 2 4 2 4 4" xfId="17764"/>
    <cellStyle name="Normal 2 3 2 2 4 2 5" xfId="17765"/>
    <cellStyle name="Normal 2 3 2 2 4 2 5 2" xfId="17766"/>
    <cellStyle name="Normal 2 3 2 2 4 2 5 2 2" xfId="17767"/>
    <cellStyle name="Normal 2 3 2 2 4 2 5 3" xfId="17768"/>
    <cellStyle name="Normal 2 3 2 2 4 2 6" xfId="17769"/>
    <cellStyle name="Normal 2 3 2 2 4 2 6 2" xfId="17770"/>
    <cellStyle name="Normal 2 3 2 2 4 2 7" xfId="17771"/>
    <cellStyle name="Normal 2 3 2 2 4 3" xfId="865"/>
    <cellStyle name="Normal 2 3 2 2 4 3 2" xfId="2225"/>
    <cellStyle name="Normal 2 3 2 2 4 3 2 2" xfId="4945"/>
    <cellStyle name="Normal 2 3 2 2 4 3 2 2 2" xfId="17772"/>
    <cellStyle name="Normal 2 3 2 2 4 3 2 2 2 2" xfId="17773"/>
    <cellStyle name="Normal 2 3 2 2 4 3 2 2 2 2 2" xfId="17774"/>
    <cellStyle name="Normal 2 3 2 2 4 3 2 2 2 3" xfId="17775"/>
    <cellStyle name="Normal 2 3 2 2 4 3 2 2 3" xfId="17776"/>
    <cellStyle name="Normal 2 3 2 2 4 3 2 2 3 2" xfId="17777"/>
    <cellStyle name="Normal 2 3 2 2 4 3 2 2 4" xfId="17778"/>
    <cellStyle name="Normal 2 3 2 2 4 3 2 3" xfId="17779"/>
    <cellStyle name="Normal 2 3 2 2 4 3 2 3 2" xfId="17780"/>
    <cellStyle name="Normal 2 3 2 2 4 3 2 3 2 2" xfId="17781"/>
    <cellStyle name="Normal 2 3 2 2 4 3 2 3 3" xfId="17782"/>
    <cellStyle name="Normal 2 3 2 2 4 3 2 4" xfId="17783"/>
    <cellStyle name="Normal 2 3 2 2 4 3 2 4 2" xfId="17784"/>
    <cellStyle name="Normal 2 3 2 2 4 3 2 5" xfId="17785"/>
    <cellStyle name="Normal 2 3 2 2 4 3 3" xfId="3585"/>
    <cellStyle name="Normal 2 3 2 2 4 3 3 2" xfId="17786"/>
    <cellStyle name="Normal 2 3 2 2 4 3 3 2 2" xfId="17787"/>
    <cellStyle name="Normal 2 3 2 2 4 3 3 2 2 2" xfId="17788"/>
    <cellStyle name="Normal 2 3 2 2 4 3 3 2 3" xfId="17789"/>
    <cellStyle name="Normal 2 3 2 2 4 3 3 3" xfId="17790"/>
    <cellStyle name="Normal 2 3 2 2 4 3 3 3 2" xfId="17791"/>
    <cellStyle name="Normal 2 3 2 2 4 3 3 4" xfId="17792"/>
    <cellStyle name="Normal 2 3 2 2 4 3 4" xfId="17793"/>
    <cellStyle name="Normal 2 3 2 2 4 3 4 2" xfId="17794"/>
    <cellStyle name="Normal 2 3 2 2 4 3 4 2 2" xfId="17795"/>
    <cellStyle name="Normal 2 3 2 2 4 3 4 3" xfId="17796"/>
    <cellStyle name="Normal 2 3 2 2 4 3 5" xfId="17797"/>
    <cellStyle name="Normal 2 3 2 2 4 3 5 2" xfId="17798"/>
    <cellStyle name="Normal 2 3 2 2 4 3 6" xfId="17799"/>
    <cellStyle name="Normal 2 3 2 2 4 4" xfId="1545"/>
    <cellStyle name="Normal 2 3 2 2 4 4 2" xfId="4265"/>
    <cellStyle name="Normal 2 3 2 2 4 4 2 2" xfId="17800"/>
    <cellStyle name="Normal 2 3 2 2 4 4 2 2 2" xfId="17801"/>
    <cellStyle name="Normal 2 3 2 2 4 4 2 2 2 2" xfId="17802"/>
    <cellStyle name="Normal 2 3 2 2 4 4 2 2 3" xfId="17803"/>
    <cellStyle name="Normal 2 3 2 2 4 4 2 3" xfId="17804"/>
    <cellStyle name="Normal 2 3 2 2 4 4 2 3 2" xfId="17805"/>
    <cellStyle name="Normal 2 3 2 2 4 4 2 4" xfId="17806"/>
    <cellStyle name="Normal 2 3 2 2 4 4 3" xfId="17807"/>
    <cellStyle name="Normal 2 3 2 2 4 4 3 2" xfId="17808"/>
    <cellStyle name="Normal 2 3 2 2 4 4 3 2 2" xfId="17809"/>
    <cellStyle name="Normal 2 3 2 2 4 4 3 3" xfId="17810"/>
    <cellStyle name="Normal 2 3 2 2 4 4 4" xfId="17811"/>
    <cellStyle name="Normal 2 3 2 2 4 4 4 2" xfId="17812"/>
    <cellStyle name="Normal 2 3 2 2 4 4 5" xfId="17813"/>
    <cellStyle name="Normal 2 3 2 2 4 5" xfId="2905"/>
    <cellStyle name="Normal 2 3 2 2 4 5 2" xfId="17814"/>
    <cellStyle name="Normal 2 3 2 2 4 5 2 2" xfId="17815"/>
    <cellStyle name="Normal 2 3 2 2 4 5 2 2 2" xfId="17816"/>
    <cellStyle name="Normal 2 3 2 2 4 5 2 3" xfId="17817"/>
    <cellStyle name="Normal 2 3 2 2 4 5 3" xfId="17818"/>
    <cellStyle name="Normal 2 3 2 2 4 5 3 2" xfId="17819"/>
    <cellStyle name="Normal 2 3 2 2 4 5 4" xfId="17820"/>
    <cellStyle name="Normal 2 3 2 2 4 6" xfId="17821"/>
    <cellStyle name="Normal 2 3 2 2 4 6 2" xfId="17822"/>
    <cellStyle name="Normal 2 3 2 2 4 6 2 2" xfId="17823"/>
    <cellStyle name="Normal 2 3 2 2 4 6 3" xfId="17824"/>
    <cellStyle name="Normal 2 3 2 2 4 7" xfId="17825"/>
    <cellStyle name="Normal 2 3 2 2 4 7 2" xfId="17826"/>
    <cellStyle name="Normal 2 3 2 2 4 8" xfId="17827"/>
    <cellStyle name="Normal 2 3 2 2 5" xfId="321"/>
    <cellStyle name="Normal 2 3 2 2 5 2" xfId="1001"/>
    <cellStyle name="Normal 2 3 2 2 5 2 2" xfId="2361"/>
    <cellStyle name="Normal 2 3 2 2 5 2 2 2" xfId="5081"/>
    <cellStyle name="Normal 2 3 2 2 5 2 2 2 2" xfId="17828"/>
    <cellStyle name="Normal 2 3 2 2 5 2 2 2 2 2" xfId="17829"/>
    <cellStyle name="Normal 2 3 2 2 5 2 2 2 2 2 2" xfId="17830"/>
    <cellStyle name="Normal 2 3 2 2 5 2 2 2 2 3" xfId="17831"/>
    <cellStyle name="Normal 2 3 2 2 5 2 2 2 3" xfId="17832"/>
    <cellStyle name="Normal 2 3 2 2 5 2 2 2 3 2" xfId="17833"/>
    <cellStyle name="Normal 2 3 2 2 5 2 2 2 4" xfId="17834"/>
    <cellStyle name="Normal 2 3 2 2 5 2 2 3" xfId="17835"/>
    <cellStyle name="Normal 2 3 2 2 5 2 2 3 2" xfId="17836"/>
    <cellStyle name="Normal 2 3 2 2 5 2 2 3 2 2" xfId="17837"/>
    <cellStyle name="Normal 2 3 2 2 5 2 2 3 3" xfId="17838"/>
    <cellStyle name="Normal 2 3 2 2 5 2 2 4" xfId="17839"/>
    <cellStyle name="Normal 2 3 2 2 5 2 2 4 2" xfId="17840"/>
    <cellStyle name="Normal 2 3 2 2 5 2 2 5" xfId="17841"/>
    <cellStyle name="Normal 2 3 2 2 5 2 3" xfId="3721"/>
    <cellStyle name="Normal 2 3 2 2 5 2 3 2" xfId="17842"/>
    <cellStyle name="Normal 2 3 2 2 5 2 3 2 2" xfId="17843"/>
    <cellStyle name="Normal 2 3 2 2 5 2 3 2 2 2" xfId="17844"/>
    <cellStyle name="Normal 2 3 2 2 5 2 3 2 3" xfId="17845"/>
    <cellStyle name="Normal 2 3 2 2 5 2 3 3" xfId="17846"/>
    <cellStyle name="Normal 2 3 2 2 5 2 3 3 2" xfId="17847"/>
    <cellStyle name="Normal 2 3 2 2 5 2 3 4" xfId="17848"/>
    <cellStyle name="Normal 2 3 2 2 5 2 4" xfId="17849"/>
    <cellStyle name="Normal 2 3 2 2 5 2 4 2" xfId="17850"/>
    <cellStyle name="Normal 2 3 2 2 5 2 4 2 2" xfId="17851"/>
    <cellStyle name="Normal 2 3 2 2 5 2 4 3" xfId="17852"/>
    <cellStyle name="Normal 2 3 2 2 5 2 5" xfId="17853"/>
    <cellStyle name="Normal 2 3 2 2 5 2 5 2" xfId="17854"/>
    <cellStyle name="Normal 2 3 2 2 5 2 6" xfId="17855"/>
    <cellStyle name="Normal 2 3 2 2 5 3" xfId="1681"/>
    <cellStyle name="Normal 2 3 2 2 5 3 2" xfId="4401"/>
    <cellStyle name="Normal 2 3 2 2 5 3 2 2" xfId="17856"/>
    <cellStyle name="Normal 2 3 2 2 5 3 2 2 2" xfId="17857"/>
    <cellStyle name="Normal 2 3 2 2 5 3 2 2 2 2" xfId="17858"/>
    <cellStyle name="Normal 2 3 2 2 5 3 2 2 3" xfId="17859"/>
    <cellStyle name="Normal 2 3 2 2 5 3 2 3" xfId="17860"/>
    <cellStyle name="Normal 2 3 2 2 5 3 2 3 2" xfId="17861"/>
    <cellStyle name="Normal 2 3 2 2 5 3 2 4" xfId="17862"/>
    <cellStyle name="Normal 2 3 2 2 5 3 3" xfId="17863"/>
    <cellStyle name="Normal 2 3 2 2 5 3 3 2" xfId="17864"/>
    <cellStyle name="Normal 2 3 2 2 5 3 3 2 2" xfId="17865"/>
    <cellStyle name="Normal 2 3 2 2 5 3 3 3" xfId="17866"/>
    <cellStyle name="Normal 2 3 2 2 5 3 4" xfId="17867"/>
    <cellStyle name="Normal 2 3 2 2 5 3 4 2" xfId="17868"/>
    <cellStyle name="Normal 2 3 2 2 5 3 5" xfId="17869"/>
    <cellStyle name="Normal 2 3 2 2 5 4" xfId="3041"/>
    <cellStyle name="Normal 2 3 2 2 5 4 2" xfId="17870"/>
    <cellStyle name="Normal 2 3 2 2 5 4 2 2" xfId="17871"/>
    <cellStyle name="Normal 2 3 2 2 5 4 2 2 2" xfId="17872"/>
    <cellStyle name="Normal 2 3 2 2 5 4 2 3" xfId="17873"/>
    <cellStyle name="Normal 2 3 2 2 5 4 3" xfId="17874"/>
    <cellStyle name="Normal 2 3 2 2 5 4 3 2" xfId="17875"/>
    <cellStyle name="Normal 2 3 2 2 5 4 4" xfId="17876"/>
    <cellStyle name="Normal 2 3 2 2 5 5" xfId="17877"/>
    <cellStyle name="Normal 2 3 2 2 5 5 2" xfId="17878"/>
    <cellStyle name="Normal 2 3 2 2 5 5 2 2" xfId="17879"/>
    <cellStyle name="Normal 2 3 2 2 5 5 3" xfId="17880"/>
    <cellStyle name="Normal 2 3 2 2 5 6" xfId="17881"/>
    <cellStyle name="Normal 2 3 2 2 5 6 2" xfId="17882"/>
    <cellStyle name="Normal 2 3 2 2 5 7" xfId="17883"/>
    <cellStyle name="Normal 2 3 2 2 6" xfId="593"/>
    <cellStyle name="Normal 2 3 2 2 6 2" xfId="1273"/>
    <cellStyle name="Normal 2 3 2 2 6 2 2" xfId="2633"/>
    <cellStyle name="Normal 2 3 2 2 6 2 2 2" xfId="5353"/>
    <cellStyle name="Normal 2 3 2 2 6 2 2 2 2" xfId="17884"/>
    <cellStyle name="Normal 2 3 2 2 6 2 2 2 2 2" xfId="17885"/>
    <cellStyle name="Normal 2 3 2 2 6 2 2 2 2 2 2" xfId="17886"/>
    <cellStyle name="Normal 2 3 2 2 6 2 2 2 2 3" xfId="17887"/>
    <cellStyle name="Normal 2 3 2 2 6 2 2 2 3" xfId="17888"/>
    <cellStyle name="Normal 2 3 2 2 6 2 2 2 3 2" xfId="17889"/>
    <cellStyle name="Normal 2 3 2 2 6 2 2 2 4" xfId="17890"/>
    <cellStyle name="Normal 2 3 2 2 6 2 2 3" xfId="17891"/>
    <cellStyle name="Normal 2 3 2 2 6 2 2 3 2" xfId="17892"/>
    <cellStyle name="Normal 2 3 2 2 6 2 2 3 2 2" xfId="17893"/>
    <cellStyle name="Normal 2 3 2 2 6 2 2 3 3" xfId="17894"/>
    <cellStyle name="Normal 2 3 2 2 6 2 2 4" xfId="17895"/>
    <cellStyle name="Normal 2 3 2 2 6 2 2 4 2" xfId="17896"/>
    <cellStyle name="Normal 2 3 2 2 6 2 2 5" xfId="17897"/>
    <cellStyle name="Normal 2 3 2 2 6 2 3" xfId="3993"/>
    <cellStyle name="Normal 2 3 2 2 6 2 3 2" xfId="17898"/>
    <cellStyle name="Normal 2 3 2 2 6 2 3 2 2" xfId="17899"/>
    <cellStyle name="Normal 2 3 2 2 6 2 3 2 2 2" xfId="17900"/>
    <cellStyle name="Normal 2 3 2 2 6 2 3 2 3" xfId="17901"/>
    <cellStyle name="Normal 2 3 2 2 6 2 3 3" xfId="17902"/>
    <cellStyle name="Normal 2 3 2 2 6 2 3 3 2" xfId="17903"/>
    <cellStyle name="Normal 2 3 2 2 6 2 3 4" xfId="17904"/>
    <cellStyle name="Normal 2 3 2 2 6 2 4" xfId="17905"/>
    <cellStyle name="Normal 2 3 2 2 6 2 4 2" xfId="17906"/>
    <cellStyle name="Normal 2 3 2 2 6 2 4 2 2" xfId="17907"/>
    <cellStyle name="Normal 2 3 2 2 6 2 4 3" xfId="17908"/>
    <cellStyle name="Normal 2 3 2 2 6 2 5" xfId="17909"/>
    <cellStyle name="Normal 2 3 2 2 6 2 5 2" xfId="17910"/>
    <cellStyle name="Normal 2 3 2 2 6 2 6" xfId="17911"/>
    <cellStyle name="Normal 2 3 2 2 6 3" xfId="1953"/>
    <cellStyle name="Normal 2 3 2 2 6 3 2" xfId="4673"/>
    <cellStyle name="Normal 2 3 2 2 6 3 2 2" xfId="17912"/>
    <cellStyle name="Normal 2 3 2 2 6 3 2 2 2" xfId="17913"/>
    <cellStyle name="Normal 2 3 2 2 6 3 2 2 2 2" xfId="17914"/>
    <cellStyle name="Normal 2 3 2 2 6 3 2 2 3" xfId="17915"/>
    <cellStyle name="Normal 2 3 2 2 6 3 2 3" xfId="17916"/>
    <cellStyle name="Normal 2 3 2 2 6 3 2 3 2" xfId="17917"/>
    <cellStyle name="Normal 2 3 2 2 6 3 2 4" xfId="17918"/>
    <cellStyle name="Normal 2 3 2 2 6 3 3" xfId="17919"/>
    <cellStyle name="Normal 2 3 2 2 6 3 3 2" xfId="17920"/>
    <cellStyle name="Normal 2 3 2 2 6 3 3 2 2" xfId="17921"/>
    <cellStyle name="Normal 2 3 2 2 6 3 3 3" xfId="17922"/>
    <cellStyle name="Normal 2 3 2 2 6 3 4" xfId="17923"/>
    <cellStyle name="Normal 2 3 2 2 6 3 4 2" xfId="17924"/>
    <cellStyle name="Normal 2 3 2 2 6 3 5" xfId="17925"/>
    <cellStyle name="Normal 2 3 2 2 6 4" xfId="3313"/>
    <cellStyle name="Normal 2 3 2 2 6 4 2" xfId="17926"/>
    <cellStyle name="Normal 2 3 2 2 6 4 2 2" xfId="17927"/>
    <cellStyle name="Normal 2 3 2 2 6 4 2 2 2" xfId="17928"/>
    <cellStyle name="Normal 2 3 2 2 6 4 2 3" xfId="17929"/>
    <cellStyle name="Normal 2 3 2 2 6 4 3" xfId="17930"/>
    <cellStyle name="Normal 2 3 2 2 6 4 3 2" xfId="17931"/>
    <cellStyle name="Normal 2 3 2 2 6 4 4" xfId="17932"/>
    <cellStyle name="Normal 2 3 2 2 6 5" xfId="17933"/>
    <cellStyle name="Normal 2 3 2 2 6 5 2" xfId="17934"/>
    <cellStyle name="Normal 2 3 2 2 6 5 2 2" xfId="17935"/>
    <cellStyle name="Normal 2 3 2 2 6 5 3" xfId="17936"/>
    <cellStyle name="Normal 2 3 2 2 6 6" xfId="17937"/>
    <cellStyle name="Normal 2 3 2 2 6 6 2" xfId="17938"/>
    <cellStyle name="Normal 2 3 2 2 6 7" xfId="17939"/>
    <cellStyle name="Normal 2 3 2 2 7" xfId="729"/>
    <cellStyle name="Normal 2 3 2 2 7 2" xfId="2089"/>
    <cellStyle name="Normal 2 3 2 2 7 2 2" xfId="4809"/>
    <cellStyle name="Normal 2 3 2 2 7 2 2 2" xfId="17940"/>
    <cellStyle name="Normal 2 3 2 2 7 2 2 2 2" xfId="17941"/>
    <cellStyle name="Normal 2 3 2 2 7 2 2 2 2 2" xfId="17942"/>
    <cellStyle name="Normal 2 3 2 2 7 2 2 2 3" xfId="17943"/>
    <cellStyle name="Normal 2 3 2 2 7 2 2 3" xfId="17944"/>
    <cellStyle name="Normal 2 3 2 2 7 2 2 3 2" xfId="17945"/>
    <cellStyle name="Normal 2 3 2 2 7 2 2 4" xfId="17946"/>
    <cellStyle name="Normal 2 3 2 2 7 2 3" xfId="17947"/>
    <cellStyle name="Normal 2 3 2 2 7 2 3 2" xfId="17948"/>
    <cellStyle name="Normal 2 3 2 2 7 2 3 2 2" xfId="17949"/>
    <cellStyle name="Normal 2 3 2 2 7 2 3 3" xfId="17950"/>
    <cellStyle name="Normal 2 3 2 2 7 2 4" xfId="17951"/>
    <cellStyle name="Normal 2 3 2 2 7 2 4 2" xfId="17952"/>
    <cellStyle name="Normal 2 3 2 2 7 2 5" xfId="17953"/>
    <cellStyle name="Normal 2 3 2 2 7 3" xfId="3449"/>
    <cellStyle name="Normal 2 3 2 2 7 3 2" xfId="17954"/>
    <cellStyle name="Normal 2 3 2 2 7 3 2 2" xfId="17955"/>
    <cellStyle name="Normal 2 3 2 2 7 3 2 2 2" xfId="17956"/>
    <cellStyle name="Normal 2 3 2 2 7 3 2 3" xfId="17957"/>
    <cellStyle name="Normal 2 3 2 2 7 3 3" xfId="17958"/>
    <cellStyle name="Normal 2 3 2 2 7 3 3 2" xfId="17959"/>
    <cellStyle name="Normal 2 3 2 2 7 3 4" xfId="17960"/>
    <cellStyle name="Normal 2 3 2 2 7 4" xfId="17961"/>
    <cellStyle name="Normal 2 3 2 2 7 4 2" xfId="17962"/>
    <cellStyle name="Normal 2 3 2 2 7 4 2 2" xfId="17963"/>
    <cellStyle name="Normal 2 3 2 2 7 4 3" xfId="17964"/>
    <cellStyle name="Normal 2 3 2 2 7 5" xfId="17965"/>
    <cellStyle name="Normal 2 3 2 2 7 5 2" xfId="17966"/>
    <cellStyle name="Normal 2 3 2 2 7 6" xfId="17967"/>
    <cellStyle name="Normal 2 3 2 2 8" xfId="1409"/>
    <cellStyle name="Normal 2 3 2 2 8 2" xfId="4129"/>
    <cellStyle name="Normal 2 3 2 2 8 2 2" xfId="17968"/>
    <cellStyle name="Normal 2 3 2 2 8 2 2 2" xfId="17969"/>
    <cellStyle name="Normal 2 3 2 2 8 2 2 2 2" xfId="17970"/>
    <cellStyle name="Normal 2 3 2 2 8 2 2 3" xfId="17971"/>
    <cellStyle name="Normal 2 3 2 2 8 2 3" xfId="17972"/>
    <cellStyle name="Normal 2 3 2 2 8 2 3 2" xfId="17973"/>
    <cellStyle name="Normal 2 3 2 2 8 2 4" xfId="17974"/>
    <cellStyle name="Normal 2 3 2 2 8 3" xfId="17975"/>
    <cellStyle name="Normal 2 3 2 2 8 3 2" xfId="17976"/>
    <cellStyle name="Normal 2 3 2 2 8 3 2 2" xfId="17977"/>
    <cellStyle name="Normal 2 3 2 2 8 3 3" xfId="17978"/>
    <cellStyle name="Normal 2 3 2 2 8 4" xfId="17979"/>
    <cellStyle name="Normal 2 3 2 2 8 4 2" xfId="17980"/>
    <cellStyle name="Normal 2 3 2 2 8 5" xfId="17981"/>
    <cellStyle name="Normal 2 3 2 2 9" xfId="2769"/>
    <cellStyle name="Normal 2 3 2 2 9 2" xfId="17982"/>
    <cellStyle name="Normal 2 3 2 2 9 2 2" xfId="17983"/>
    <cellStyle name="Normal 2 3 2 2 9 2 2 2" xfId="17984"/>
    <cellStyle name="Normal 2 3 2 2 9 2 3" xfId="17985"/>
    <cellStyle name="Normal 2 3 2 2 9 3" xfId="17986"/>
    <cellStyle name="Normal 2 3 2 2 9 3 2" xfId="17987"/>
    <cellStyle name="Normal 2 3 2 2 9 4" xfId="17988"/>
    <cellStyle name="Normal 2 3 2 3" xfId="65"/>
    <cellStyle name="Normal 2 3 2 3 10" xfId="17989"/>
    <cellStyle name="Normal 2 3 2 3 10 2" xfId="17990"/>
    <cellStyle name="Normal 2 3 2 3 11" xfId="17991"/>
    <cellStyle name="Normal 2 3 2 3 2" xfId="133"/>
    <cellStyle name="Normal 2 3 2 3 2 10" xfId="17992"/>
    <cellStyle name="Normal 2 3 2 3 2 2" xfId="270"/>
    <cellStyle name="Normal 2 3 2 3 2 2 2" xfId="542"/>
    <cellStyle name="Normal 2 3 2 3 2 2 2 2" xfId="1222"/>
    <cellStyle name="Normal 2 3 2 3 2 2 2 2 2" xfId="2582"/>
    <cellStyle name="Normal 2 3 2 3 2 2 2 2 2 2" xfId="5302"/>
    <cellStyle name="Normal 2 3 2 3 2 2 2 2 2 2 2" xfId="17993"/>
    <cellStyle name="Normal 2 3 2 3 2 2 2 2 2 2 2 2" xfId="17994"/>
    <cellStyle name="Normal 2 3 2 3 2 2 2 2 2 2 2 2 2" xfId="17995"/>
    <cellStyle name="Normal 2 3 2 3 2 2 2 2 2 2 2 3" xfId="17996"/>
    <cellStyle name="Normal 2 3 2 3 2 2 2 2 2 2 3" xfId="17997"/>
    <cellStyle name="Normal 2 3 2 3 2 2 2 2 2 2 3 2" xfId="17998"/>
    <cellStyle name="Normal 2 3 2 3 2 2 2 2 2 2 4" xfId="17999"/>
    <cellStyle name="Normal 2 3 2 3 2 2 2 2 2 3" xfId="18000"/>
    <cellStyle name="Normal 2 3 2 3 2 2 2 2 2 3 2" xfId="18001"/>
    <cellStyle name="Normal 2 3 2 3 2 2 2 2 2 3 2 2" xfId="18002"/>
    <cellStyle name="Normal 2 3 2 3 2 2 2 2 2 3 3" xfId="18003"/>
    <cellStyle name="Normal 2 3 2 3 2 2 2 2 2 4" xfId="18004"/>
    <cellStyle name="Normal 2 3 2 3 2 2 2 2 2 4 2" xfId="18005"/>
    <cellStyle name="Normal 2 3 2 3 2 2 2 2 2 5" xfId="18006"/>
    <cellStyle name="Normal 2 3 2 3 2 2 2 2 3" xfId="3942"/>
    <cellStyle name="Normal 2 3 2 3 2 2 2 2 3 2" xfId="18007"/>
    <cellStyle name="Normal 2 3 2 3 2 2 2 2 3 2 2" xfId="18008"/>
    <cellStyle name="Normal 2 3 2 3 2 2 2 2 3 2 2 2" xfId="18009"/>
    <cellStyle name="Normal 2 3 2 3 2 2 2 2 3 2 3" xfId="18010"/>
    <cellStyle name="Normal 2 3 2 3 2 2 2 2 3 3" xfId="18011"/>
    <cellStyle name="Normal 2 3 2 3 2 2 2 2 3 3 2" xfId="18012"/>
    <cellStyle name="Normal 2 3 2 3 2 2 2 2 3 4" xfId="18013"/>
    <cellStyle name="Normal 2 3 2 3 2 2 2 2 4" xfId="18014"/>
    <cellStyle name="Normal 2 3 2 3 2 2 2 2 4 2" xfId="18015"/>
    <cellStyle name="Normal 2 3 2 3 2 2 2 2 4 2 2" xfId="18016"/>
    <cellStyle name="Normal 2 3 2 3 2 2 2 2 4 3" xfId="18017"/>
    <cellStyle name="Normal 2 3 2 3 2 2 2 2 5" xfId="18018"/>
    <cellStyle name="Normal 2 3 2 3 2 2 2 2 5 2" xfId="18019"/>
    <cellStyle name="Normal 2 3 2 3 2 2 2 2 6" xfId="18020"/>
    <cellStyle name="Normal 2 3 2 3 2 2 2 3" xfId="1902"/>
    <cellStyle name="Normal 2 3 2 3 2 2 2 3 2" xfId="4622"/>
    <cellStyle name="Normal 2 3 2 3 2 2 2 3 2 2" xfId="18021"/>
    <cellStyle name="Normal 2 3 2 3 2 2 2 3 2 2 2" xfId="18022"/>
    <cellStyle name="Normal 2 3 2 3 2 2 2 3 2 2 2 2" xfId="18023"/>
    <cellStyle name="Normal 2 3 2 3 2 2 2 3 2 2 3" xfId="18024"/>
    <cellStyle name="Normal 2 3 2 3 2 2 2 3 2 3" xfId="18025"/>
    <cellStyle name="Normal 2 3 2 3 2 2 2 3 2 3 2" xfId="18026"/>
    <cellStyle name="Normal 2 3 2 3 2 2 2 3 2 4" xfId="18027"/>
    <cellStyle name="Normal 2 3 2 3 2 2 2 3 3" xfId="18028"/>
    <cellStyle name="Normal 2 3 2 3 2 2 2 3 3 2" xfId="18029"/>
    <cellStyle name="Normal 2 3 2 3 2 2 2 3 3 2 2" xfId="18030"/>
    <cellStyle name="Normal 2 3 2 3 2 2 2 3 3 3" xfId="18031"/>
    <cellStyle name="Normal 2 3 2 3 2 2 2 3 4" xfId="18032"/>
    <cellStyle name="Normal 2 3 2 3 2 2 2 3 4 2" xfId="18033"/>
    <cellStyle name="Normal 2 3 2 3 2 2 2 3 5" xfId="18034"/>
    <cellStyle name="Normal 2 3 2 3 2 2 2 4" xfId="3262"/>
    <cellStyle name="Normal 2 3 2 3 2 2 2 4 2" xfId="18035"/>
    <cellStyle name="Normal 2 3 2 3 2 2 2 4 2 2" xfId="18036"/>
    <cellStyle name="Normal 2 3 2 3 2 2 2 4 2 2 2" xfId="18037"/>
    <cellStyle name="Normal 2 3 2 3 2 2 2 4 2 3" xfId="18038"/>
    <cellStyle name="Normal 2 3 2 3 2 2 2 4 3" xfId="18039"/>
    <cellStyle name="Normal 2 3 2 3 2 2 2 4 3 2" xfId="18040"/>
    <cellStyle name="Normal 2 3 2 3 2 2 2 4 4" xfId="18041"/>
    <cellStyle name="Normal 2 3 2 3 2 2 2 5" xfId="18042"/>
    <cellStyle name="Normal 2 3 2 3 2 2 2 5 2" xfId="18043"/>
    <cellStyle name="Normal 2 3 2 3 2 2 2 5 2 2" xfId="18044"/>
    <cellStyle name="Normal 2 3 2 3 2 2 2 5 3" xfId="18045"/>
    <cellStyle name="Normal 2 3 2 3 2 2 2 6" xfId="18046"/>
    <cellStyle name="Normal 2 3 2 3 2 2 2 6 2" xfId="18047"/>
    <cellStyle name="Normal 2 3 2 3 2 2 2 7" xfId="18048"/>
    <cellStyle name="Normal 2 3 2 3 2 2 3" xfId="950"/>
    <cellStyle name="Normal 2 3 2 3 2 2 3 2" xfId="2310"/>
    <cellStyle name="Normal 2 3 2 3 2 2 3 2 2" xfId="5030"/>
    <cellStyle name="Normal 2 3 2 3 2 2 3 2 2 2" xfId="18049"/>
    <cellStyle name="Normal 2 3 2 3 2 2 3 2 2 2 2" xfId="18050"/>
    <cellStyle name="Normal 2 3 2 3 2 2 3 2 2 2 2 2" xfId="18051"/>
    <cellStyle name="Normal 2 3 2 3 2 2 3 2 2 2 3" xfId="18052"/>
    <cellStyle name="Normal 2 3 2 3 2 2 3 2 2 3" xfId="18053"/>
    <cellStyle name="Normal 2 3 2 3 2 2 3 2 2 3 2" xfId="18054"/>
    <cellStyle name="Normal 2 3 2 3 2 2 3 2 2 4" xfId="18055"/>
    <cellStyle name="Normal 2 3 2 3 2 2 3 2 3" xfId="18056"/>
    <cellStyle name="Normal 2 3 2 3 2 2 3 2 3 2" xfId="18057"/>
    <cellStyle name="Normal 2 3 2 3 2 2 3 2 3 2 2" xfId="18058"/>
    <cellStyle name="Normal 2 3 2 3 2 2 3 2 3 3" xfId="18059"/>
    <cellStyle name="Normal 2 3 2 3 2 2 3 2 4" xfId="18060"/>
    <cellStyle name="Normal 2 3 2 3 2 2 3 2 4 2" xfId="18061"/>
    <cellStyle name="Normal 2 3 2 3 2 2 3 2 5" xfId="18062"/>
    <cellStyle name="Normal 2 3 2 3 2 2 3 3" xfId="3670"/>
    <cellStyle name="Normal 2 3 2 3 2 2 3 3 2" xfId="18063"/>
    <cellStyle name="Normal 2 3 2 3 2 2 3 3 2 2" xfId="18064"/>
    <cellStyle name="Normal 2 3 2 3 2 2 3 3 2 2 2" xfId="18065"/>
    <cellStyle name="Normal 2 3 2 3 2 2 3 3 2 3" xfId="18066"/>
    <cellStyle name="Normal 2 3 2 3 2 2 3 3 3" xfId="18067"/>
    <cellStyle name="Normal 2 3 2 3 2 2 3 3 3 2" xfId="18068"/>
    <cellStyle name="Normal 2 3 2 3 2 2 3 3 4" xfId="18069"/>
    <cellStyle name="Normal 2 3 2 3 2 2 3 4" xfId="18070"/>
    <cellStyle name="Normal 2 3 2 3 2 2 3 4 2" xfId="18071"/>
    <cellStyle name="Normal 2 3 2 3 2 2 3 4 2 2" xfId="18072"/>
    <cellStyle name="Normal 2 3 2 3 2 2 3 4 3" xfId="18073"/>
    <cellStyle name="Normal 2 3 2 3 2 2 3 5" xfId="18074"/>
    <cellStyle name="Normal 2 3 2 3 2 2 3 5 2" xfId="18075"/>
    <cellStyle name="Normal 2 3 2 3 2 2 3 6" xfId="18076"/>
    <cellStyle name="Normal 2 3 2 3 2 2 4" xfId="1630"/>
    <cellStyle name="Normal 2 3 2 3 2 2 4 2" xfId="4350"/>
    <cellStyle name="Normal 2 3 2 3 2 2 4 2 2" xfId="18077"/>
    <cellStyle name="Normal 2 3 2 3 2 2 4 2 2 2" xfId="18078"/>
    <cellStyle name="Normal 2 3 2 3 2 2 4 2 2 2 2" xfId="18079"/>
    <cellStyle name="Normal 2 3 2 3 2 2 4 2 2 3" xfId="18080"/>
    <cellStyle name="Normal 2 3 2 3 2 2 4 2 3" xfId="18081"/>
    <cellStyle name="Normal 2 3 2 3 2 2 4 2 3 2" xfId="18082"/>
    <cellStyle name="Normal 2 3 2 3 2 2 4 2 4" xfId="18083"/>
    <cellStyle name="Normal 2 3 2 3 2 2 4 3" xfId="18084"/>
    <cellStyle name="Normal 2 3 2 3 2 2 4 3 2" xfId="18085"/>
    <cellStyle name="Normal 2 3 2 3 2 2 4 3 2 2" xfId="18086"/>
    <cellStyle name="Normal 2 3 2 3 2 2 4 3 3" xfId="18087"/>
    <cellStyle name="Normal 2 3 2 3 2 2 4 4" xfId="18088"/>
    <cellStyle name="Normal 2 3 2 3 2 2 4 4 2" xfId="18089"/>
    <cellStyle name="Normal 2 3 2 3 2 2 4 5" xfId="18090"/>
    <cellStyle name="Normal 2 3 2 3 2 2 5" xfId="2990"/>
    <cellStyle name="Normal 2 3 2 3 2 2 5 2" xfId="18091"/>
    <cellStyle name="Normal 2 3 2 3 2 2 5 2 2" xfId="18092"/>
    <cellStyle name="Normal 2 3 2 3 2 2 5 2 2 2" xfId="18093"/>
    <cellStyle name="Normal 2 3 2 3 2 2 5 2 3" xfId="18094"/>
    <cellStyle name="Normal 2 3 2 3 2 2 5 3" xfId="18095"/>
    <cellStyle name="Normal 2 3 2 3 2 2 5 3 2" xfId="18096"/>
    <cellStyle name="Normal 2 3 2 3 2 2 5 4" xfId="18097"/>
    <cellStyle name="Normal 2 3 2 3 2 2 6" xfId="18098"/>
    <cellStyle name="Normal 2 3 2 3 2 2 6 2" xfId="18099"/>
    <cellStyle name="Normal 2 3 2 3 2 2 6 2 2" xfId="18100"/>
    <cellStyle name="Normal 2 3 2 3 2 2 6 3" xfId="18101"/>
    <cellStyle name="Normal 2 3 2 3 2 2 7" xfId="18102"/>
    <cellStyle name="Normal 2 3 2 3 2 2 7 2" xfId="18103"/>
    <cellStyle name="Normal 2 3 2 3 2 2 8" xfId="18104"/>
    <cellStyle name="Normal 2 3 2 3 2 3" xfId="406"/>
    <cellStyle name="Normal 2 3 2 3 2 3 2" xfId="1086"/>
    <cellStyle name="Normal 2 3 2 3 2 3 2 2" xfId="2446"/>
    <cellStyle name="Normal 2 3 2 3 2 3 2 2 2" xfId="5166"/>
    <cellStyle name="Normal 2 3 2 3 2 3 2 2 2 2" xfId="18105"/>
    <cellStyle name="Normal 2 3 2 3 2 3 2 2 2 2 2" xfId="18106"/>
    <cellStyle name="Normal 2 3 2 3 2 3 2 2 2 2 2 2" xfId="18107"/>
    <cellStyle name="Normal 2 3 2 3 2 3 2 2 2 2 3" xfId="18108"/>
    <cellStyle name="Normal 2 3 2 3 2 3 2 2 2 3" xfId="18109"/>
    <cellStyle name="Normal 2 3 2 3 2 3 2 2 2 3 2" xfId="18110"/>
    <cellStyle name="Normal 2 3 2 3 2 3 2 2 2 4" xfId="18111"/>
    <cellStyle name="Normal 2 3 2 3 2 3 2 2 3" xfId="18112"/>
    <cellStyle name="Normal 2 3 2 3 2 3 2 2 3 2" xfId="18113"/>
    <cellStyle name="Normal 2 3 2 3 2 3 2 2 3 2 2" xfId="18114"/>
    <cellStyle name="Normal 2 3 2 3 2 3 2 2 3 3" xfId="18115"/>
    <cellStyle name="Normal 2 3 2 3 2 3 2 2 4" xfId="18116"/>
    <cellStyle name="Normal 2 3 2 3 2 3 2 2 4 2" xfId="18117"/>
    <cellStyle name="Normal 2 3 2 3 2 3 2 2 5" xfId="18118"/>
    <cellStyle name="Normal 2 3 2 3 2 3 2 3" xfId="3806"/>
    <cellStyle name="Normal 2 3 2 3 2 3 2 3 2" xfId="18119"/>
    <cellStyle name="Normal 2 3 2 3 2 3 2 3 2 2" xfId="18120"/>
    <cellStyle name="Normal 2 3 2 3 2 3 2 3 2 2 2" xfId="18121"/>
    <cellStyle name="Normal 2 3 2 3 2 3 2 3 2 3" xfId="18122"/>
    <cellStyle name="Normal 2 3 2 3 2 3 2 3 3" xfId="18123"/>
    <cellStyle name="Normal 2 3 2 3 2 3 2 3 3 2" xfId="18124"/>
    <cellStyle name="Normal 2 3 2 3 2 3 2 3 4" xfId="18125"/>
    <cellStyle name="Normal 2 3 2 3 2 3 2 4" xfId="18126"/>
    <cellStyle name="Normal 2 3 2 3 2 3 2 4 2" xfId="18127"/>
    <cellStyle name="Normal 2 3 2 3 2 3 2 4 2 2" xfId="18128"/>
    <cellStyle name="Normal 2 3 2 3 2 3 2 4 3" xfId="18129"/>
    <cellStyle name="Normal 2 3 2 3 2 3 2 5" xfId="18130"/>
    <cellStyle name="Normal 2 3 2 3 2 3 2 5 2" xfId="18131"/>
    <cellStyle name="Normal 2 3 2 3 2 3 2 6" xfId="18132"/>
    <cellStyle name="Normal 2 3 2 3 2 3 3" xfId="1766"/>
    <cellStyle name="Normal 2 3 2 3 2 3 3 2" xfId="4486"/>
    <cellStyle name="Normal 2 3 2 3 2 3 3 2 2" xfId="18133"/>
    <cellStyle name="Normal 2 3 2 3 2 3 3 2 2 2" xfId="18134"/>
    <cellStyle name="Normal 2 3 2 3 2 3 3 2 2 2 2" xfId="18135"/>
    <cellStyle name="Normal 2 3 2 3 2 3 3 2 2 3" xfId="18136"/>
    <cellStyle name="Normal 2 3 2 3 2 3 3 2 3" xfId="18137"/>
    <cellStyle name="Normal 2 3 2 3 2 3 3 2 3 2" xfId="18138"/>
    <cellStyle name="Normal 2 3 2 3 2 3 3 2 4" xfId="18139"/>
    <cellStyle name="Normal 2 3 2 3 2 3 3 3" xfId="18140"/>
    <cellStyle name="Normal 2 3 2 3 2 3 3 3 2" xfId="18141"/>
    <cellStyle name="Normal 2 3 2 3 2 3 3 3 2 2" xfId="18142"/>
    <cellStyle name="Normal 2 3 2 3 2 3 3 3 3" xfId="18143"/>
    <cellStyle name="Normal 2 3 2 3 2 3 3 4" xfId="18144"/>
    <cellStyle name="Normal 2 3 2 3 2 3 3 4 2" xfId="18145"/>
    <cellStyle name="Normal 2 3 2 3 2 3 3 5" xfId="18146"/>
    <cellStyle name="Normal 2 3 2 3 2 3 4" xfId="3126"/>
    <cellStyle name="Normal 2 3 2 3 2 3 4 2" xfId="18147"/>
    <cellStyle name="Normal 2 3 2 3 2 3 4 2 2" xfId="18148"/>
    <cellStyle name="Normal 2 3 2 3 2 3 4 2 2 2" xfId="18149"/>
    <cellStyle name="Normal 2 3 2 3 2 3 4 2 3" xfId="18150"/>
    <cellStyle name="Normal 2 3 2 3 2 3 4 3" xfId="18151"/>
    <cellStyle name="Normal 2 3 2 3 2 3 4 3 2" xfId="18152"/>
    <cellStyle name="Normal 2 3 2 3 2 3 4 4" xfId="18153"/>
    <cellStyle name="Normal 2 3 2 3 2 3 5" xfId="18154"/>
    <cellStyle name="Normal 2 3 2 3 2 3 5 2" xfId="18155"/>
    <cellStyle name="Normal 2 3 2 3 2 3 5 2 2" xfId="18156"/>
    <cellStyle name="Normal 2 3 2 3 2 3 5 3" xfId="18157"/>
    <cellStyle name="Normal 2 3 2 3 2 3 6" xfId="18158"/>
    <cellStyle name="Normal 2 3 2 3 2 3 6 2" xfId="18159"/>
    <cellStyle name="Normal 2 3 2 3 2 3 7" xfId="18160"/>
    <cellStyle name="Normal 2 3 2 3 2 4" xfId="678"/>
    <cellStyle name="Normal 2 3 2 3 2 4 2" xfId="1358"/>
    <cellStyle name="Normal 2 3 2 3 2 4 2 2" xfId="2718"/>
    <cellStyle name="Normal 2 3 2 3 2 4 2 2 2" xfId="5438"/>
    <cellStyle name="Normal 2 3 2 3 2 4 2 2 2 2" xfId="18161"/>
    <cellStyle name="Normal 2 3 2 3 2 4 2 2 2 2 2" xfId="18162"/>
    <cellStyle name="Normal 2 3 2 3 2 4 2 2 2 2 2 2" xfId="18163"/>
    <cellStyle name="Normal 2 3 2 3 2 4 2 2 2 2 3" xfId="18164"/>
    <cellStyle name="Normal 2 3 2 3 2 4 2 2 2 3" xfId="18165"/>
    <cellStyle name="Normal 2 3 2 3 2 4 2 2 2 3 2" xfId="18166"/>
    <cellStyle name="Normal 2 3 2 3 2 4 2 2 2 4" xfId="18167"/>
    <cellStyle name="Normal 2 3 2 3 2 4 2 2 3" xfId="18168"/>
    <cellStyle name="Normal 2 3 2 3 2 4 2 2 3 2" xfId="18169"/>
    <cellStyle name="Normal 2 3 2 3 2 4 2 2 3 2 2" xfId="18170"/>
    <cellStyle name="Normal 2 3 2 3 2 4 2 2 3 3" xfId="18171"/>
    <cellStyle name="Normal 2 3 2 3 2 4 2 2 4" xfId="18172"/>
    <cellStyle name="Normal 2 3 2 3 2 4 2 2 4 2" xfId="18173"/>
    <cellStyle name="Normal 2 3 2 3 2 4 2 2 5" xfId="18174"/>
    <cellStyle name="Normal 2 3 2 3 2 4 2 3" xfId="4078"/>
    <cellStyle name="Normal 2 3 2 3 2 4 2 3 2" xfId="18175"/>
    <cellStyle name="Normal 2 3 2 3 2 4 2 3 2 2" xfId="18176"/>
    <cellStyle name="Normal 2 3 2 3 2 4 2 3 2 2 2" xfId="18177"/>
    <cellStyle name="Normal 2 3 2 3 2 4 2 3 2 3" xfId="18178"/>
    <cellStyle name="Normal 2 3 2 3 2 4 2 3 3" xfId="18179"/>
    <cellStyle name="Normal 2 3 2 3 2 4 2 3 3 2" xfId="18180"/>
    <cellStyle name="Normal 2 3 2 3 2 4 2 3 4" xfId="18181"/>
    <cellStyle name="Normal 2 3 2 3 2 4 2 4" xfId="18182"/>
    <cellStyle name="Normal 2 3 2 3 2 4 2 4 2" xfId="18183"/>
    <cellStyle name="Normal 2 3 2 3 2 4 2 4 2 2" xfId="18184"/>
    <cellStyle name="Normal 2 3 2 3 2 4 2 4 3" xfId="18185"/>
    <cellStyle name="Normal 2 3 2 3 2 4 2 5" xfId="18186"/>
    <cellStyle name="Normal 2 3 2 3 2 4 2 5 2" xfId="18187"/>
    <cellStyle name="Normal 2 3 2 3 2 4 2 6" xfId="18188"/>
    <cellStyle name="Normal 2 3 2 3 2 4 3" xfId="2038"/>
    <cellStyle name="Normal 2 3 2 3 2 4 3 2" xfId="4758"/>
    <cellStyle name="Normal 2 3 2 3 2 4 3 2 2" xfId="18189"/>
    <cellStyle name="Normal 2 3 2 3 2 4 3 2 2 2" xfId="18190"/>
    <cellStyle name="Normal 2 3 2 3 2 4 3 2 2 2 2" xfId="18191"/>
    <cellStyle name="Normal 2 3 2 3 2 4 3 2 2 3" xfId="18192"/>
    <cellStyle name="Normal 2 3 2 3 2 4 3 2 3" xfId="18193"/>
    <cellStyle name="Normal 2 3 2 3 2 4 3 2 3 2" xfId="18194"/>
    <cellStyle name="Normal 2 3 2 3 2 4 3 2 4" xfId="18195"/>
    <cellStyle name="Normal 2 3 2 3 2 4 3 3" xfId="18196"/>
    <cellStyle name="Normal 2 3 2 3 2 4 3 3 2" xfId="18197"/>
    <cellStyle name="Normal 2 3 2 3 2 4 3 3 2 2" xfId="18198"/>
    <cellStyle name="Normal 2 3 2 3 2 4 3 3 3" xfId="18199"/>
    <cellStyle name="Normal 2 3 2 3 2 4 3 4" xfId="18200"/>
    <cellStyle name="Normal 2 3 2 3 2 4 3 4 2" xfId="18201"/>
    <cellStyle name="Normal 2 3 2 3 2 4 3 5" xfId="18202"/>
    <cellStyle name="Normal 2 3 2 3 2 4 4" xfId="3398"/>
    <cellStyle name="Normal 2 3 2 3 2 4 4 2" xfId="18203"/>
    <cellStyle name="Normal 2 3 2 3 2 4 4 2 2" xfId="18204"/>
    <cellStyle name="Normal 2 3 2 3 2 4 4 2 2 2" xfId="18205"/>
    <cellStyle name="Normal 2 3 2 3 2 4 4 2 3" xfId="18206"/>
    <cellStyle name="Normal 2 3 2 3 2 4 4 3" xfId="18207"/>
    <cellStyle name="Normal 2 3 2 3 2 4 4 3 2" xfId="18208"/>
    <cellStyle name="Normal 2 3 2 3 2 4 4 4" xfId="18209"/>
    <cellStyle name="Normal 2 3 2 3 2 4 5" xfId="18210"/>
    <cellStyle name="Normal 2 3 2 3 2 4 5 2" xfId="18211"/>
    <cellStyle name="Normal 2 3 2 3 2 4 5 2 2" xfId="18212"/>
    <cellStyle name="Normal 2 3 2 3 2 4 5 3" xfId="18213"/>
    <cellStyle name="Normal 2 3 2 3 2 4 6" xfId="18214"/>
    <cellStyle name="Normal 2 3 2 3 2 4 6 2" xfId="18215"/>
    <cellStyle name="Normal 2 3 2 3 2 4 7" xfId="18216"/>
    <cellStyle name="Normal 2 3 2 3 2 5" xfId="814"/>
    <cellStyle name="Normal 2 3 2 3 2 5 2" xfId="2174"/>
    <cellStyle name="Normal 2 3 2 3 2 5 2 2" xfId="4894"/>
    <cellStyle name="Normal 2 3 2 3 2 5 2 2 2" xfId="18217"/>
    <cellStyle name="Normal 2 3 2 3 2 5 2 2 2 2" xfId="18218"/>
    <cellStyle name="Normal 2 3 2 3 2 5 2 2 2 2 2" xfId="18219"/>
    <cellStyle name="Normal 2 3 2 3 2 5 2 2 2 3" xfId="18220"/>
    <cellStyle name="Normal 2 3 2 3 2 5 2 2 3" xfId="18221"/>
    <cellStyle name="Normal 2 3 2 3 2 5 2 2 3 2" xfId="18222"/>
    <cellStyle name="Normal 2 3 2 3 2 5 2 2 4" xfId="18223"/>
    <cellStyle name="Normal 2 3 2 3 2 5 2 3" xfId="18224"/>
    <cellStyle name="Normal 2 3 2 3 2 5 2 3 2" xfId="18225"/>
    <cellStyle name="Normal 2 3 2 3 2 5 2 3 2 2" xfId="18226"/>
    <cellStyle name="Normal 2 3 2 3 2 5 2 3 3" xfId="18227"/>
    <cellStyle name="Normal 2 3 2 3 2 5 2 4" xfId="18228"/>
    <cellStyle name="Normal 2 3 2 3 2 5 2 4 2" xfId="18229"/>
    <cellStyle name="Normal 2 3 2 3 2 5 2 5" xfId="18230"/>
    <cellStyle name="Normal 2 3 2 3 2 5 3" xfId="3534"/>
    <cellStyle name="Normal 2 3 2 3 2 5 3 2" xfId="18231"/>
    <cellStyle name="Normal 2 3 2 3 2 5 3 2 2" xfId="18232"/>
    <cellStyle name="Normal 2 3 2 3 2 5 3 2 2 2" xfId="18233"/>
    <cellStyle name="Normal 2 3 2 3 2 5 3 2 3" xfId="18234"/>
    <cellStyle name="Normal 2 3 2 3 2 5 3 3" xfId="18235"/>
    <cellStyle name="Normal 2 3 2 3 2 5 3 3 2" xfId="18236"/>
    <cellStyle name="Normal 2 3 2 3 2 5 3 4" xfId="18237"/>
    <cellStyle name="Normal 2 3 2 3 2 5 4" xfId="18238"/>
    <cellStyle name="Normal 2 3 2 3 2 5 4 2" xfId="18239"/>
    <cellStyle name="Normal 2 3 2 3 2 5 4 2 2" xfId="18240"/>
    <cellStyle name="Normal 2 3 2 3 2 5 4 3" xfId="18241"/>
    <cellStyle name="Normal 2 3 2 3 2 5 5" xfId="18242"/>
    <cellStyle name="Normal 2 3 2 3 2 5 5 2" xfId="18243"/>
    <cellStyle name="Normal 2 3 2 3 2 5 6" xfId="18244"/>
    <cellStyle name="Normal 2 3 2 3 2 6" xfId="1494"/>
    <cellStyle name="Normal 2 3 2 3 2 6 2" xfId="4214"/>
    <cellStyle name="Normal 2 3 2 3 2 6 2 2" xfId="18245"/>
    <cellStyle name="Normal 2 3 2 3 2 6 2 2 2" xfId="18246"/>
    <cellStyle name="Normal 2 3 2 3 2 6 2 2 2 2" xfId="18247"/>
    <cellStyle name="Normal 2 3 2 3 2 6 2 2 3" xfId="18248"/>
    <cellStyle name="Normal 2 3 2 3 2 6 2 3" xfId="18249"/>
    <cellStyle name="Normal 2 3 2 3 2 6 2 3 2" xfId="18250"/>
    <cellStyle name="Normal 2 3 2 3 2 6 2 4" xfId="18251"/>
    <cellStyle name="Normal 2 3 2 3 2 6 3" xfId="18252"/>
    <cellStyle name="Normal 2 3 2 3 2 6 3 2" xfId="18253"/>
    <cellStyle name="Normal 2 3 2 3 2 6 3 2 2" xfId="18254"/>
    <cellStyle name="Normal 2 3 2 3 2 6 3 3" xfId="18255"/>
    <cellStyle name="Normal 2 3 2 3 2 6 4" xfId="18256"/>
    <cellStyle name="Normal 2 3 2 3 2 6 4 2" xfId="18257"/>
    <cellStyle name="Normal 2 3 2 3 2 6 5" xfId="18258"/>
    <cellStyle name="Normal 2 3 2 3 2 7" xfId="2854"/>
    <cellStyle name="Normal 2 3 2 3 2 7 2" xfId="18259"/>
    <cellStyle name="Normal 2 3 2 3 2 7 2 2" xfId="18260"/>
    <cellStyle name="Normal 2 3 2 3 2 7 2 2 2" xfId="18261"/>
    <cellStyle name="Normal 2 3 2 3 2 7 2 3" xfId="18262"/>
    <cellStyle name="Normal 2 3 2 3 2 7 3" xfId="18263"/>
    <cellStyle name="Normal 2 3 2 3 2 7 3 2" xfId="18264"/>
    <cellStyle name="Normal 2 3 2 3 2 7 4" xfId="18265"/>
    <cellStyle name="Normal 2 3 2 3 2 8" xfId="18266"/>
    <cellStyle name="Normal 2 3 2 3 2 8 2" xfId="18267"/>
    <cellStyle name="Normal 2 3 2 3 2 8 2 2" xfId="18268"/>
    <cellStyle name="Normal 2 3 2 3 2 8 3" xfId="18269"/>
    <cellStyle name="Normal 2 3 2 3 2 9" xfId="18270"/>
    <cellStyle name="Normal 2 3 2 3 2 9 2" xfId="18271"/>
    <cellStyle name="Normal 2 3 2 3 3" xfId="202"/>
    <cellStyle name="Normal 2 3 2 3 3 2" xfId="474"/>
    <cellStyle name="Normal 2 3 2 3 3 2 2" xfId="1154"/>
    <cellStyle name="Normal 2 3 2 3 3 2 2 2" xfId="2514"/>
    <cellStyle name="Normal 2 3 2 3 3 2 2 2 2" xfId="5234"/>
    <cellStyle name="Normal 2 3 2 3 3 2 2 2 2 2" xfId="18272"/>
    <cellStyle name="Normal 2 3 2 3 3 2 2 2 2 2 2" xfId="18273"/>
    <cellStyle name="Normal 2 3 2 3 3 2 2 2 2 2 2 2" xfId="18274"/>
    <cellStyle name="Normal 2 3 2 3 3 2 2 2 2 2 3" xfId="18275"/>
    <cellStyle name="Normal 2 3 2 3 3 2 2 2 2 3" xfId="18276"/>
    <cellStyle name="Normal 2 3 2 3 3 2 2 2 2 3 2" xfId="18277"/>
    <cellStyle name="Normal 2 3 2 3 3 2 2 2 2 4" xfId="18278"/>
    <cellStyle name="Normal 2 3 2 3 3 2 2 2 3" xfId="18279"/>
    <cellStyle name="Normal 2 3 2 3 3 2 2 2 3 2" xfId="18280"/>
    <cellStyle name="Normal 2 3 2 3 3 2 2 2 3 2 2" xfId="18281"/>
    <cellStyle name="Normal 2 3 2 3 3 2 2 2 3 3" xfId="18282"/>
    <cellStyle name="Normal 2 3 2 3 3 2 2 2 4" xfId="18283"/>
    <cellStyle name="Normal 2 3 2 3 3 2 2 2 4 2" xfId="18284"/>
    <cellStyle name="Normal 2 3 2 3 3 2 2 2 5" xfId="18285"/>
    <cellStyle name="Normal 2 3 2 3 3 2 2 3" xfId="3874"/>
    <cellStyle name="Normal 2 3 2 3 3 2 2 3 2" xfId="18286"/>
    <cellStyle name="Normal 2 3 2 3 3 2 2 3 2 2" xfId="18287"/>
    <cellStyle name="Normal 2 3 2 3 3 2 2 3 2 2 2" xfId="18288"/>
    <cellStyle name="Normal 2 3 2 3 3 2 2 3 2 3" xfId="18289"/>
    <cellStyle name="Normal 2 3 2 3 3 2 2 3 3" xfId="18290"/>
    <cellStyle name="Normal 2 3 2 3 3 2 2 3 3 2" xfId="18291"/>
    <cellStyle name="Normal 2 3 2 3 3 2 2 3 4" xfId="18292"/>
    <cellStyle name="Normal 2 3 2 3 3 2 2 4" xfId="18293"/>
    <cellStyle name="Normal 2 3 2 3 3 2 2 4 2" xfId="18294"/>
    <cellStyle name="Normal 2 3 2 3 3 2 2 4 2 2" xfId="18295"/>
    <cellStyle name="Normal 2 3 2 3 3 2 2 4 3" xfId="18296"/>
    <cellStyle name="Normal 2 3 2 3 3 2 2 5" xfId="18297"/>
    <cellStyle name="Normal 2 3 2 3 3 2 2 5 2" xfId="18298"/>
    <cellStyle name="Normal 2 3 2 3 3 2 2 6" xfId="18299"/>
    <cellStyle name="Normal 2 3 2 3 3 2 3" xfId="1834"/>
    <cellStyle name="Normal 2 3 2 3 3 2 3 2" xfId="4554"/>
    <cellStyle name="Normal 2 3 2 3 3 2 3 2 2" xfId="18300"/>
    <cellStyle name="Normal 2 3 2 3 3 2 3 2 2 2" xfId="18301"/>
    <cellStyle name="Normal 2 3 2 3 3 2 3 2 2 2 2" xfId="18302"/>
    <cellStyle name="Normal 2 3 2 3 3 2 3 2 2 3" xfId="18303"/>
    <cellStyle name="Normal 2 3 2 3 3 2 3 2 3" xfId="18304"/>
    <cellStyle name="Normal 2 3 2 3 3 2 3 2 3 2" xfId="18305"/>
    <cellStyle name="Normal 2 3 2 3 3 2 3 2 4" xfId="18306"/>
    <cellStyle name="Normal 2 3 2 3 3 2 3 3" xfId="18307"/>
    <cellStyle name="Normal 2 3 2 3 3 2 3 3 2" xfId="18308"/>
    <cellStyle name="Normal 2 3 2 3 3 2 3 3 2 2" xfId="18309"/>
    <cellStyle name="Normal 2 3 2 3 3 2 3 3 3" xfId="18310"/>
    <cellStyle name="Normal 2 3 2 3 3 2 3 4" xfId="18311"/>
    <cellStyle name="Normal 2 3 2 3 3 2 3 4 2" xfId="18312"/>
    <cellStyle name="Normal 2 3 2 3 3 2 3 5" xfId="18313"/>
    <cellStyle name="Normal 2 3 2 3 3 2 4" xfId="3194"/>
    <cellStyle name="Normal 2 3 2 3 3 2 4 2" xfId="18314"/>
    <cellStyle name="Normal 2 3 2 3 3 2 4 2 2" xfId="18315"/>
    <cellStyle name="Normal 2 3 2 3 3 2 4 2 2 2" xfId="18316"/>
    <cellStyle name="Normal 2 3 2 3 3 2 4 2 3" xfId="18317"/>
    <cellStyle name="Normal 2 3 2 3 3 2 4 3" xfId="18318"/>
    <cellStyle name="Normal 2 3 2 3 3 2 4 3 2" xfId="18319"/>
    <cellStyle name="Normal 2 3 2 3 3 2 4 4" xfId="18320"/>
    <cellStyle name="Normal 2 3 2 3 3 2 5" xfId="18321"/>
    <cellStyle name="Normal 2 3 2 3 3 2 5 2" xfId="18322"/>
    <cellStyle name="Normal 2 3 2 3 3 2 5 2 2" xfId="18323"/>
    <cellStyle name="Normal 2 3 2 3 3 2 5 3" xfId="18324"/>
    <cellStyle name="Normal 2 3 2 3 3 2 6" xfId="18325"/>
    <cellStyle name="Normal 2 3 2 3 3 2 6 2" xfId="18326"/>
    <cellStyle name="Normal 2 3 2 3 3 2 7" xfId="18327"/>
    <cellStyle name="Normal 2 3 2 3 3 3" xfId="882"/>
    <cellStyle name="Normal 2 3 2 3 3 3 2" xfId="2242"/>
    <cellStyle name="Normal 2 3 2 3 3 3 2 2" xfId="4962"/>
    <cellStyle name="Normal 2 3 2 3 3 3 2 2 2" xfId="18328"/>
    <cellStyle name="Normal 2 3 2 3 3 3 2 2 2 2" xfId="18329"/>
    <cellStyle name="Normal 2 3 2 3 3 3 2 2 2 2 2" xfId="18330"/>
    <cellStyle name="Normal 2 3 2 3 3 3 2 2 2 3" xfId="18331"/>
    <cellStyle name="Normal 2 3 2 3 3 3 2 2 3" xfId="18332"/>
    <cellStyle name="Normal 2 3 2 3 3 3 2 2 3 2" xfId="18333"/>
    <cellStyle name="Normal 2 3 2 3 3 3 2 2 4" xfId="18334"/>
    <cellStyle name="Normal 2 3 2 3 3 3 2 3" xfId="18335"/>
    <cellStyle name="Normal 2 3 2 3 3 3 2 3 2" xfId="18336"/>
    <cellStyle name="Normal 2 3 2 3 3 3 2 3 2 2" xfId="18337"/>
    <cellStyle name="Normal 2 3 2 3 3 3 2 3 3" xfId="18338"/>
    <cellStyle name="Normal 2 3 2 3 3 3 2 4" xfId="18339"/>
    <cellStyle name="Normal 2 3 2 3 3 3 2 4 2" xfId="18340"/>
    <cellStyle name="Normal 2 3 2 3 3 3 2 5" xfId="18341"/>
    <cellStyle name="Normal 2 3 2 3 3 3 3" xfId="3602"/>
    <cellStyle name="Normal 2 3 2 3 3 3 3 2" xfId="18342"/>
    <cellStyle name="Normal 2 3 2 3 3 3 3 2 2" xfId="18343"/>
    <cellStyle name="Normal 2 3 2 3 3 3 3 2 2 2" xfId="18344"/>
    <cellStyle name="Normal 2 3 2 3 3 3 3 2 3" xfId="18345"/>
    <cellStyle name="Normal 2 3 2 3 3 3 3 3" xfId="18346"/>
    <cellStyle name="Normal 2 3 2 3 3 3 3 3 2" xfId="18347"/>
    <cellStyle name="Normal 2 3 2 3 3 3 3 4" xfId="18348"/>
    <cellStyle name="Normal 2 3 2 3 3 3 4" xfId="18349"/>
    <cellStyle name="Normal 2 3 2 3 3 3 4 2" xfId="18350"/>
    <cellStyle name="Normal 2 3 2 3 3 3 4 2 2" xfId="18351"/>
    <cellStyle name="Normal 2 3 2 3 3 3 4 3" xfId="18352"/>
    <cellStyle name="Normal 2 3 2 3 3 3 5" xfId="18353"/>
    <cellStyle name="Normal 2 3 2 3 3 3 5 2" xfId="18354"/>
    <cellStyle name="Normal 2 3 2 3 3 3 6" xfId="18355"/>
    <cellStyle name="Normal 2 3 2 3 3 4" xfId="1562"/>
    <cellStyle name="Normal 2 3 2 3 3 4 2" xfId="4282"/>
    <cellStyle name="Normal 2 3 2 3 3 4 2 2" xfId="18356"/>
    <cellStyle name="Normal 2 3 2 3 3 4 2 2 2" xfId="18357"/>
    <cellStyle name="Normal 2 3 2 3 3 4 2 2 2 2" xfId="18358"/>
    <cellStyle name="Normal 2 3 2 3 3 4 2 2 3" xfId="18359"/>
    <cellStyle name="Normal 2 3 2 3 3 4 2 3" xfId="18360"/>
    <cellStyle name="Normal 2 3 2 3 3 4 2 3 2" xfId="18361"/>
    <cellStyle name="Normal 2 3 2 3 3 4 2 4" xfId="18362"/>
    <cellStyle name="Normal 2 3 2 3 3 4 3" xfId="18363"/>
    <cellStyle name="Normal 2 3 2 3 3 4 3 2" xfId="18364"/>
    <cellStyle name="Normal 2 3 2 3 3 4 3 2 2" xfId="18365"/>
    <cellStyle name="Normal 2 3 2 3 3 4 3 3" xfId="18366"/>
    <cellStyle name="Normal 2 3 2 3 3 4 4" xfId="18367"/>
    <cellStyle name="Normal 2 3 2 3 3 4 4 2" xfId="18368"/>
    <cellStyle name="Normal 2 3 2 3 3 4 5" xfId="18369"/>
    <cellStyle name="Normal 2 3 2 3 3 5" xfId="2922"/>
    <cellStyle name="Normal 2 3 2 3 3 5 2" xfId="18370"/>
    <cellStyle name="Normal 2 3 2 3 3 5 2 2" xfId="18371"/>
    <cellStyle name="Normal 2 3 2 3 3 5 2 2 2" xfId="18372"/>
    <cellStyle name="Normal 2 3 2 3 3 5 2 3" xfId="18373"/>
    <cellStyle name="Normal 2 3 2 3 3 5 3" xfId="18374"/>
    <cellStyle name="Normal 2 3 2 3 3 5 3 2" xfId="18375"/>
    <cellStyle name="Normal 2 3 2 3 3 5 4" xfId="18376"/>
    <cellStyle name="Normal 2 3 2 3 3 6" xfId="18377"/>
    <cellStyle name="Normal 2 3 2 3 3 6 2" xfId="18378"/>
    <cellStyle name="Normal 2 3 2 3 3 6 2 2" xfId="18379"/>
    <cellStyle name="Normal 2 3 2 3 3 6 3" xfId="18380"/>
    <cellStyle name="Normal 2 3 2 3 3 7" xfId="18381"/>
    <cellStyle name="Normal 2 3 2 3 3 7 2" xfId="18382"/>
    <cellStyle name="Normal 2 3 2 3 3 8" xfId="18383"/>
    <cellStyle name="Normal 2 3 2 3 4" xfId="338"/>
    <cellStyle name="Normal 2 3 2 3 4 2" xfId="1018"/>
    <cellStyle name="Normal 2 3 2 3 4 2 2" xfId="2378"/>
    <cellStyle name="Normal 2 3 2 3 4 2 2 2" xfId="5098"/>
    <cellStyle name="Normal 2 3 2 3 4 2 2 2 2" xfId="18384"/>
    <cellStyle name="Normal 2 3 2 3 4 2 2 2 2 2" xfId="18385"/>
    <cellStyle name="Normal 2 3 2 3 4 2 2 2 2 2 2" xfId="18386"/>
    <cellStyle name="Normal 2 3 2 3 4 2 2 2 2 3" xfId="18387"/>
    <cellStyle name="Normal 2 3 2 3 4 2 2 2 3" xfId="18388"/>
    <cellStyle name="Normal 2 3 2 3 4 2 2 2 3 2" xfId="18389"/>
    <cellStyle name="Normal 2 3 2 3 4 2 2 2 4" xfId="18390"/>
    <cellStyle name="Normal 2 3 2 3 4 2 2 3" xfId="18391"/>
    <cellStyle name="Normal 2 3 2 3 4 2 2 3 2" xfId="18392"/>
    <cellStyle name="Normal 2 3 2 3 4 2 2 3 2 2" xfId="18393"/>
    <cellStyle name="Normal 2 3 2 3 4 2 2 3 3" xfId="18394"/>
    <cellStyle name="Normal 2 3 2 3 4 2 2 4" xfId="18395"/>
    <cellStyle name="Normal 2 3 2 3 4 2 2 4 2" xfId="18396"/>
    <cellStyle name="Normal 2 3 2 3 4 2 2 5" xfId="18397"/>
    <cellStyle name="Normal 2 3 2 3 4 2 3" xfId="3738"/>
    <cellStyle name="Normal 2 3 2 3 4 2 3 2" xfId="18398"/>
    <cellStyle name="Normal 2 3 2 3 4 2 3 2 2" xfId="18399"/>
    <cellStyle name="Normal 2 3 2 3 4 2 3 2 2 2" xfId="18400"/>
    <cellStyle name="Normal 2 3 2 3 4 2 3 2 3" xfId="18401"/>
    <cellStyle name="Normal 2 3 2 3 4 2 3 3" xfId="18402"/>
    <cellStyle name="Normal 2 3 2 3 4 2 3 3 2" xfId="18403"/>
    <cellStyle name="Normal 2 3 2 3 4 2 3 4" xfId="18404"/>
    <cellStyle name="Normal 2 3 2 3 4 2 4" xfId="18405"/>
    <cellStyle name="Normal 2 3 2 3 4 2 4 2" xfId="18406"/>
    <cellStyle name="Normal 2 3 2 3 4 2 4 2 2" xfId="18407"/>
    <cellStyle name="Normal 2 3 2 3 4 2 4 3" xfId="18408"/>
    <cellStyle name="Normal 2 3 2 3 4 2 5" xfId="18409"/>
    <cellStyle name="Normal 2 3 2 3 4 2 5 2" xfId="18410"/>
    <cellStyle name="Normal 2 3 2 3 4 2 6" xfId="18411"/>
    <cellStyle name="Normal 2 3 2 3 4 3" xfId="1698"/>
    <cellStyle name="Normal 2 3 2 3 4 3 2" xfId="4418"/>
    <cellStyle name="Normal 2 3 2 3 4 3 2 2" xfId="18412"/>
    <cellStyle name="Normal 2 3 2 3 4 3 2 2 2" xfId="18413"/>
    <cellStyle name="Normal 2 3 2 3 4 3 2 2 2 2" xfId="18414"/>
    <cellStyle name="Normal 2 3 2 3 4 3 2 2 3" xfId="18415"/>
    <cellStyle name="Normal 2 3 2 3 4 3 2 3" xfId="18416"/>
    <cellStyle name="Normal 2 3 2 3 4 3 2 3 2" xfId="18417"/>
    <cellStyle name="Normal 2 3 2 3 4 3 2 4" xfId="18418"/>
    <cellStyle name="Normal 2 3 2 3 4 3 3" xfId="18419"/>
    <cellStyle name="Normal 2 3 2 3 4 3 3 2" xfId="18420"/>
    <cellStyle name="Normal 2 3 2 3 4 3 3 2 2" xfId="18421"/>
    <cellStyle name="Normal 2 3 2 3 4 3 3 3" xfId="18422"/>
    <cellStyle name="Normal 2 3 2 3 4 3 4" xfId="18423"/>
    <cellStyle name="Normal 2 3 2 3 4 3 4 2" xfId="18424"/>
    <cellStyle name="Normal 2 3 2 3 4 3 5" xfId="18425"/>
    <cellStyle name="Normal 2 3 2 3 4 4" xfId="3058"/>
    <cellStyle name="Normal 2 3 2 3 4 4 2" xfId="18426"/>
    <cellStyle name="Normal 2 3 2 3 4 4 2 2" xfId="18427"/>
    <cellStyle name="Normal 2 3 2 3 4 4 2 2 2" xfId="18428"/>
    <cellStyle name="Normal 2 3 2 3 4 4 2 3" xfId="18429"/>
    <cellStyle name="Normal 2 3 2 3 4 4 3" xfId="18430"/>
    <cellStyle name="Normal 2 3 2 3 4 4 3 2" xfId="18431"/>
    <cellStyle name="Normal 2 3 2 3 4 4 4" xfId="18432"/>
    <cellStyle name="Normal 2 3 2 3 4 5" xfId="18433"/>
    <cellStyle name="Normal 2 3 2 3 4 5 2" xfId="18434"/>
    <cellStyle name="Normal 2 3 2 3 4 5 2 2" xfId="18435"/>
    <cellStyle name="Normal 2 3 2 3 4 5 3" xfId="18436"/>
    <cellStyle name="Normal 2 3 2 3 4 6" xfId="18437"/>
    <cellStyle name="Normal 2 3 2 3 4 6 2" xfId="18438"/>
    <cellStyle name="Normal 2 3 2 3 4 7" xfId="18439"/>
    <cellStyle name="Normal 2 3 2 3 5" xfId="610"/>
    <cellStyle name="Normal 2 3 2 3 5 2" xfId="1290"/>
    <cellStyle name="Normal 2 3 2 3 5 2 2" xfId="2650"/>
    <cellStyle name="Normal 2 3 2 3 5 2 2 2" xfId="5370"/>
    <cellStyle name="Normal 2 3 2 3 5 2 2 2 2" xfId="18440"/>
    <cellStyle name="Normal 2 3 2 3 5 2 2 2 2 2" xfId="18441"/>
    <cellStyle name="Normal 2 3 2 3 5 2 2 2 2 2 2" xfId="18442"/>
    <cellStyle name="Normal 2 3 2 3 5 2 2 2 2 3" xfId="18443"/>
    <cellStyle name="Normal 2 3 2 3 5 2 2 2 3" xfId="18444"/>
    <cellStyle name="Normal 2 3 2 3 5 2 2 2 3 2" xfId="18445"/>
    <cellStyle name="Normal 2 3 2 3 5 2 2 2 4" xfId="18446"/>
    <cellStyle name="Normal 2 3 2 3 5 2 2 3" xfId="18447"/>
    <cellStyle name="Normal 2 3 2 3 5 2 2 3 2" xfId="18448"/>
    <cellStyle name="Normal 2 3 2 3 5 2 2 3 2 2" xfId="18449"/>
    <cellStyle name="Normal 2 3 2 3 5 2 2 3 3" xfId="18450"/>
    <cellStyle name="Normal 2 3 2 3 5 2 2 4" xfId="18451"/>
    <cellStyle name="Normal 2 3 2 3 5 2 2 4 2" xfId="18452"/>
    <cellStyle name="Normal 2 3 2 3 5 2 2 5" xfId="18453"/>
    <cellStyle name="Normal 2 3 2 3 5 2 3" xfId="4010"/>
    <cellStyle name="Normal 2 3 2 3 5 2 3 2" xfId="18454"/>
    <cellStyle name="Normal 2 3 2 3 5 2 3 2 2" xfId="18455"/>
    <cellStyle name="Normal 2 3 2 3 5 2 3 2 2 2" xfId="18456"/>
    <cellStyle name="Normal 2 3 2 3 5 2 3 2 3" xfId="18457"/>
    <cellStyle name="Normal 2 3 2 3 5 2 3 3" xfId="18458"/>
    <cellStyle name="Normal 2 3 2 3 5 2 3 3 2" xfId="18459"/>
    <cellStyle name="Normal 2 3 2 3 5 2 3 4" xfId="18460"/>
    <cellStyle name="Normal 2 3 2 3 5 2 4" xfId="18461"/>
    <cellStyle name="Normal 2 3 2 3 5 2 4 2" xfId="18462"/>
    <cellStyle name="Normal 2 3 2 3 5 2 4 2 2" xfId="18463"/>
    <cellStyle name="Normal 2 3 2 3 5 2 4 3" xfId="18464"/>
    <cellStyle name="Normal 2 3 2 3 5 2 5" xfId="18465"/>
    <cellStyle name="Normal 2 3 2 3 5 2 5 2" xfId="18466"/>
    <cellStyle name="Normal 2 3 2 3 5 2 6" xfId="18467"/>
    <cellStyle name="Normal 2 3 2 3 5 3" xfId="1970"/>
    <cellStyle name="Normal 2 3 2 3 5 3 2" xfId="4690"/>
    <cellStyle name="Normal 2 3 2 3 5 3 2 2" xfId="18468"/>
    <cellStyle name="Normal 2 3 2 3 5 3 2 2 2" xfId="18469"/>
    <cellStyle name="Normal 2 3 2 3 5 3 2 2 2 2" xfId="18470"/>
    <cellStyle name="Normal 2 3 2 3 5 3 2 2 3" xfId="18471"/>
    <cellStyle name="Normal 2 3 2 3 5 3 2 3" xfId="18472"/>
    <cellStyle name="Normal 2 3 2 3 5 3 2 3 2" xfId="18473"/>
    <cellStyle name="Normal 2 3 2 3 5 3 2 4" xfId="18474"/>
    <cellStyle name="Normal 2 3 2 3 5 3 3" xfId="18475"/>
    <cellStyle name="Normal 2 3 2 3 5 3 3 2" xfId="18476"/>
    <cellStyle name="Normal 2 3 2 3 5 3 3 2 2" xfId="18477"/>
    <cellStyle name="Normal 2 3 2 3 5 3 3 3" xfId="18478"/>
    <cellStyle name="Normal 2 3 2 3 5 3 4" xfId="18479"/>
    <cellStyle name="Normal 2 3 2 3 5 3 4 2" xfId="18480"/>
    <cellStyle name="Normal 2 3 2 3 5 3 5" xfId="18481"/>
    <cellStyle name="Normal 2 3 2 3 5 4" xfId="3330"/>
    <cellStyle name="Normal 2 3 2 3 5 4 2" xfId="18482"/>
    <cellStyle name="Normal 2 3 2 3 5 4 2 2" xfId="18483"/>
    <cellStyle name="Normal 2 3 2 3 5 4 2 2 2" xfId="18484"/>
    <cellStyle name="Normal 2 3 2 3 5 4 2 3" xfId="18485"/>
    <cellStyle name="Normal 2 3 2 3 5 4 3" xfId="18486"/>
    <cellStyle name="Normal 2 3 2 3 5 4 3 2" xfId="18487"/>
    <cellStyle name="Normal 2 3 2 3 5 4 4" xfId="18488"/>
    <cellStyle name="Normal 2 3 2 3 5 5" xfId="18489"/>
    <cellStyle name="Normal 2 3 2 3 5 5 2" xfId="18490"/>
    <cellStyle name="Normal 2 3 2 3 5 5 2 2" xfId="18491"/>
    <cellStyle name="Normal 2 3 2 3 5 5 3" xfId="18492"/>
    <cellStyle name="Normal 2 3 2 3 5 6" xfId="18493"/>
    <cellStyle name="Normal 2 3 2 3 5 6 2" xfId="18494"/>
    <cellStyle name="Normal 2 3 2 3 5 7" xfId="18495"/>
    <cellStyle name="Normal 2 3 2 3 6" xfId="746"/>
    <cellStyle name="Normal 2 3 2 3 6 2" xfId="2106"/>
    <cellStyle name="Normal 2 3 2 3 6 2 2" xfId="4826"/>
    <cellStyle name="Normal 2 3 2 3 6 2 2 2" xfId="18496"/>
    <cellStyle name="Normal 2 3 2 3 6 2 2 2 2" xfId="18497"/>
    <cellStyle name="Normal 2 3 2 3 6 2 2 2 2 2" xfId="18498"/>
    <cellStyle name="Normal 2 3 2 3 6 2 2 2 3" xfId="18499"/>
    <cellStyle name="Normal 2 3 2 3 6 2 2 3" xfId="18500"/>
    <cellStyle name="Normal 2 3 2 3 6 2 2 3 2" xfId="18501"/>
    <cellStyle name="Normal 2 3 2 3 6 2 2 4" xfId="18502"/>
    <cellStyle name="Normal 2 3 2 3 6 2 3" xfId="18503"/>
    <cellStyle name="Normal 2 3 2 3 6 2 3 2" xfId="18504"/>
    <cellStyle name="Normal 2 3 2 3 6 2 3 2 2" xfId="18505"/>
    <cellStyle name="Normal 2 3 2 3 6 2 3 3" xfId="18506"/>
    <cellStyle name="Normal 2 3 2 3 6 2 4" xfId="18507"/>
    <cellStyle name="Normal 2 3 2 3 6 2 4 2" xfId="18508"/>
    <cellStyle name="Normal 2 3 2 3 6 2 5" xfId="18509"/>
    <cellStyle name="Normal 2 3 2 3 6 3" xfId="3466"/>
    <cellStyle name="Normal 2 3 2 3 6 3 2" xfId="18510"/>
    <cellStyle name="Normal 2 3 2 3 6 3 2 2" xfId="18511"/>
    <cellStyle name="Normal 2 3 2 3 6 3 2 2 2" xfId="18512"/>
    <cellStyle name="Normal 2 3 2 3 6 3 2 3" xfId="18513"/>
    <cellStyle name="Normal 2 3 2 3 6 3 3" xfId="18514"/>
    <cellStyle name="Normal 2 3 2 3 6 3 3 2" xfId="18515"/>
    <cellStyle name="Normal 2 3 2 3 6 3 4" xfId="18516"/>
    <cellStyle name="Normal 2 3 2 3 6 4" xfId="18517"/>
    <cellStyle name="Normal 2 3 2 3 6 4 2" xfId="18518"/>
    <cellStyle name="Normal 2 3 2 3 6 4 2 2" xfId="18519"/>
    <cellStyle name="Normal 2 3 2 3 6 4 3" xfId="18520"/>
    <cellStyle name="Normal 2 3 2 3 6 5" xfId="18521"/>
    <cellStyle name="Normal 2 3 2 3 6 5 2" xfId="18522"/>
    <cellStyle name="Normal 2 3 2 3 6 6" xfId="18523"/>
    <cellStyle name="Normal 2 3 2 3 7" xfId="1426"/>
    <cellStyle name="Normal 2 3 2 3 7 2" xfId="4146"/>
    <cellStyle name="Normal 2 3 2 3 7 2 2" xfId="18524"/>
    <cellStyle name="Normal 2 3 2 3 7 2 2 2" xfId="18525"/>
    <cellStyle name="Normal 2 3 2 3 7 2 2 2 2" xfId="18526"/>
    <cellStyle name="Normal 2 3 2 3 7 2 2 3" xfId="18527"/>
    <cellStyle name="Normal 2 3 2 3 7 2 3" xfId="18528"/>
    <cellStyle name="Normal 2 3 2 3 7 2 3 2" xfId="18529"/>
    <cellStyle name="Normal 2 3 2 3 7 2 4" xfId="18530"/>
    <cellStyle name="Normal 2 3 2 3 7 3" xfId="18531"/>
    <cellStyle name="Normal 2 3 2 3 7 3 2" xfId="18532"/>
    <cellStyle name="Normal 2 3 2 3 7 3 2 2" xfId="18533"/>
    <cellStyle name="Normal 2 3 2 3 7 3 3" xfId="18534"/>
    <cellStyle name="Normal 2 3 2 3 7 4" xfId="18535"/>
    <cellStyle name="Normal 2 3 2 3 7 4 2" xfId="18536"/>
    <cellStyle name="Normal 2 3 2 3 7 5" xfId="18537"/>
    <cellStyle name="Normal 2 3 2 3 8" xfId="2786"/>
    <cellStyle name="Normal 2 3 2 3 8 2" xfId="18538"/>
    <cellStyle name="Normal 2 3 2 3 8 2 2" xfId="18539"/>
    <cellStyle name="Normal 2 3 2 3 8 2 2 2" xfId="18540"/>
    <cellStyle name="Normal 2 3 2 3 8 2 3" xfId="18541"/>
    <cellStyle name="Normal 2 3 2 3 8 3" xfId="18542"/>
    <cellStyle name="Normal 2 3 2 3 8 3 2" xfId="18543"/>
    <cellStyle name="Normal 2 3 2 3 8 4" xfId="18544"/>
    <cellStyle name="Normal 2 3 2 3 9" xfId="18545"/>
    <cellStyle name="Normal 2 3 2 3 9 2" xfId="18546"/>
    <cellStyle name="Normal 2 3 2 3 9 2 2" xfId="18547"/>
    <cellStyle name="Normal 2 3 2 3 9 3" xfId="18548"/>
    <cellStyle name="Normal 2 3 2 4" xfId="99"/>
    <cellStyle name="Normal 2 3 2 4 10" xfId="18549"/>
    <cellStyle name="Normal 2 3 2 4 2" xfId="236"/>
    <cellStyle name="Normal 2 3 2 4 2 2" xfId="508"/>
    <cellStyle name="Normal 2 3 2 4 2 2 2" xfId="1188"/>
    <cellStyle name="Normal 2 3 2 4 2 2 2 2" xfId="2548"/>
    <cellStyle name="Normal 2 3 2 4 2 2 2 2 2" xfId="5268"/>
    <cellStyle name="Normal 2 3 2 4 2 2 2 2 2 2" xfId="18550"/>
    <cellStyle name="Normal 2 3 2 4 2 2 2 2 2 2 2" xfId="18551"/>
    <cellStyle name="Normal 2 3 2 4 2 2 2 2 2 2 2 2" xfId="18552"/>
    <cellStyle name="Normal 2 3 2 4 2 2 2 2 2 2 3" xfId="18553"/>
    <cellStyle name="Normal 2 3 2 4 2 2 2 2 2 3" xfId="18554"/>
    <cellStyle name="Normal 2 3 2 4 2 2 2 2 2 3 2" xfId="18555"/>
    <cellStyle name="Normal 2 3 2 4 2 2 2 2 2 4" xfId="18556"/>
    <cellStyle name="Normal 2 3 2 4 2 2 2 2 3" xfId="18557"/>
    <cellStyle name="Normal 2 3 2 4 2 2 2 2 3 2" xfId="18558"/>
    <cellStyle name="Normal 2 3 2 4 2 2 2 2 3 2 2" xfId="18559"/>
    <cellStyle name="Normal 2 3 2 4 2 2 2 2 3 3" xfId="18560"/>
    <cellStyle name="Normal 2 3 2 4 2 2 2 2 4" xfId="18561"/>
    <cellStyle name="Normal 2 3 2 4 2 2 2 2 4 2" xfId="18562"/>
    <cellStyle name="Normal 2 3 2 4 2 2 2 2 5" xfId="18563"/>
    <cellStyle name="Normal 2 3 2 4 2 2 2 3" xfId="3908"/>
    <cellStyle name="Normal 2 3 2 4 2 2 2 3 2" xfId="18564"/>
    <cellStyle name="Normal 2 3 2 4 2 2 2 3 2 2" xfId="18565"/>
    <cellStyle name="Normal 2 3 2 4 2 2 2 3 2 2 2" xfId="18566"/>
    <cellStyle name="Normal 2 3 2 4 2 2 2 3 2 3" xfId="18567"/>
    <cellStyle name="Normal 2 3 2 4 2 2 2 3 3" xfId="18568"/>
    <cellStyle name="Normal 2 3 2 4 2 2 2 3 3 2" xfId="18569"/>
    <cellStyle name="Normal 2 3 2 4 2 2 2 3 4" xfId="18570"/>
    <cellStyle name="Normal 2 3 2 4 2 2 2 4" xfId="18571"/>
    <cellStyle name="Normal 2 3 2 4 2 2 2 4 2" xfId="18572"/>
    <cellStyle name="Normal 2 3 2 4 2 2 2 4 2 2" xfId="18573"/>
    <cellStyle name="Normal 2 3 2 4 2 2 2 4 3" xfId="18574"/>
    <cellStyle name="Normal 2 3 2 4 2 2 2 5" xfId="18575"/>
    <cellStyle name="Normal 2 3 2 4 2 2 2 5 2" xfId="18576"/>
    <cellStyle name="Normal 2 3 2 4 2 2 2 6" xfId="18577"/>
    <cellStyle name="Normal 2 3 2 4 2 2 3" xfId="1868"/>
    <cellStyle name="Normal 2 3 2 4 2 2 3 2" xfId="4588"/>
    <cellStyle name="Normal 2 3 2 4 2 2 3 2 2" xfId="18578"/>
    <cellStyle name="Normal 2 3 2 4 2 2 3 2 2 2" xfId="18579"/>
    <cellStyle name="Normal 2 3 2 4 2 2 3 2 2 2 2" xfId="18580"/>
    <cellStyle name="Normal 2 3 2 4 2 2 3 2 2 3" xfId="18581"/>
    <cellStyle name="Normal 2 3 2 4 2 2 3 2 3" xfId="18582"/>
    <cellStyle name="Normal 2 3 2 4 2 2 3 2 3 2" xfId="18583"/>
    <cellStyle name="Normal 2 3 2 4 2 2 3 2 4" xfId="18584"/>
    <cellStyle name="Normal 2 3 2 4 2 2 3 3" xfId="18585"/>
    <cellStyle name="Normal 2 3 2 4 2 2 3 3 2" xfId="18586"/>
    <cellStyle name="Normal 2 3 2 4 2 2 3 3 2 2" xfId="18587"/>
    <cellStyle name="Normal 2 3 2 4 2 2 3 3 3" xfId="18588"/>
    <cellStyle name="Normal 2 3 2 4 2 2 3 4" xfId="18589"/>
    <cellStyle name="Normal 2 3 2 4 2 2 3 4 2" xfId="18590"/>
    <cellStyle name="Normal 2 3 2 4 2 2 3 5" xfId="18591"/>
    <cellStyle name="Normal 2 3 2 4 2 2 4" xfId="3228"/>
    <cellStyle name="Normal 2 3 2 4 2 2 4 2" xfId="18592"/>
    <cellStyle name="Normal 2 3 2 4 2 2 4 2 2" xfId="18593"/>
    <cellStyle name="Normal 2 3 2 4 2 2 4 2 2 2" xfId="18594"/>
    <cellStyle name="Normal 2 3 2 4 2 2 4 2 3" xfId="18595"/>
    <cellStyle name="Normal 2 3 2 4 2 2 4 3" xfId="18596"/>
    <cellStyle name="Normal 2 3 2 4 2 2 4 3 2" xfId="18597"/>
    <cellStyle name="Normal 2 3 2 4 2 2 4 4" xfId="18598"/>
    <cellStyle name="Normal 2 3 2 4 2 2 5" xfId="18599"/>
    <cellStyle name="Normal 2 3 2 4 2 2 5 2" xfId="18600"/>
    <cellStyle name="Normal 2 3 2 4 2 2 5 2 2" xfId="18601"/>
    <cellStyle name="Normal 2 3 2 4 2 2 5 3" xfId="18602"/>
    <cellStyle name="Normal 2 3 2 4 2 2 6" xfId="18603"/>
    <cellStyle name="Normal 2 3 2 4 2 2 6 2" xfId="18604"/>
    <cellStyle name="Normal 2 3 2 4 2 2 7" xfId="18605"/>
    <cellStyle name="Normal 2 3 2 4 2 3" xfId="916"/>
    <cellStyle name="Normal 2 3 2 4 2 3 2" xfId="2276"/>
    <cellStyle name="Normal 2 3 2 4 2 3 2 2" xfId="4996"/>
    <cellStyle name="Normal 2 3 2 4 2 3 2 2 2" xfId="18606"/>
    <cellStyle name="Normal 2 3 2 4 2 3 2 2 2 2" xfId="18607"/>
    <cellStyle name="Normal 2 3 2 4 2 3 2 2 2 2 2" xfId="18608"/>
    <cellStyle name="Normal 2 3 2 4 2 3 2 2 2 3" xfId="18609"/>
    <cellStyle name="Normal 2 3 2 4 2 3 2 2 3" xfId="18610"/>
    <cellStyle name="Normal 2 3 2 4 2 3 2 2 3 2" xfId="18611"/>
    <cellStyle name="Normal 2 3 2 4 2 3 2 2 4" xfId="18612"/>
    <cellStyle name="Normal 2 3 2 4 2 3 2 3" xfId="18613"/>
    <cellStyle name="Normal 2 3 2 4 2 3 2 3 2" xfId="18614"/>
    <cellStyle name="Normal 2 3 2 4 2 3 2 3 2 2" xfId="18615"/>
    <cellStyle name="Normal 2 3 2 4 2 3 2 3 3" xfId="18616"/>
    <cellStyle name="Normal 2 3 2 4 2 3 2 4" xfId="18617"/>
    <cellStyle name="Normal 2 3 2 4 2 3 2 4 2" xfId="18618"/>
    <cellStyle name="Normal 2 3 2 4 2 3 2 5" xfId="18619"/>
    <cellStyle name="Normal 2 3 2 4 2 3 3" xfId="3636"/>
    <cellStyle name="Normal 2 3 2 4 2 3 3 2" xfId="18620"/>
    <cellStyle name="Normal 2 3 2 4 2 3 3 2 2" xfId="18621"/>
    <cellStyle name="Normal 2 3 2 4 2 3 3 2 2 2" xfId="18622"/>
    <cellStyle name="Normal 2 3 2 4 2 3 3 2 3" xfId="18623"/>
    <cellStyle name="Normal 2 3 2 4 2 3 3 3" xfId="18624"/>
    <cellStyle name="Normal 2 3 2 4 2 3 3 3 2" xfId="18625"/>
    <cellStyle name="Normal 2 3 2 4 2 3 3 4" xfId="18626"/>
    <cellStyle name="Normal 2 3 2 4 2 3 4" xfId="18627"/>
    <cellStyle name="Normal 2 3 2 4 2 3 4 2" xfId="18628"/>
    <cellStyle name="Normal 2 3 2 4 2 3 4 2 2" xfId="18629"/>
    <cellStyle name="Normal 2 3 2 4 2 3 4 3" xfId="18630"/>
    <cellStyle name="Normal 2 3 2 4 2 3 5" xfId="18631"/>
    <cellStyle name="Normal 2 3 2 4 2 3 5 2" xfId="18632"/>
    <cellStyle name="Normal 2 3 2 4 2 3 6" xfId="18633"/>
    <cellStyle name="Normal 2 3 2 4 2 4" xfId="1596"/>
    <cellStyle name="Normal 2 3 2 4 2 4 2" xfId="4316"/>
    <cellStyle name="Normal 2 3 2 4 2 4 2 2" xfId="18634"/>
    <cellStyle name="Normal 2 3 2 4 2 4 2 2 2" xfId="18635"/>
    <cellStyle name="Normal 2 3 2 4 2 4 2 2 2 2" xfId="18636"/>
    <cellStyle name="Normal 2 3 2 4 2 4 2 2 3" xfId="18637"/>
    <cellStyle name="Normal 2 3 2 4 2 4 2 3" xfId="18638"/>
    <cellStyle name="Normal 2 3 2 4 2 4 2 3 2" xfId="18639"/>
    <cellStyle name="Normal 2 3 2 4 2 4 2 4" xfId="18640"/>
    <cellStyle name="Normal 2 3 2 4 2 4 3" xfId="18641"/>
    <cellStyle name="Normal 2 3 2 4 2 4 3 2" xfId="18642"/>
    <cellStyle name="Normal 2 3 2 4 2 4 3 2 2" xfId="18643"/>
    <cellStyle name="Normal 2 3 2 4 2 4 3 3" xfId="18644"/>
    <cellStyle name="Normal 2 3 2 4 2 4 4" xfId="18645"/>
    <cellStyle name="Normal 2 3 2 4 2 4 4 2" xfId="18646"/>
    <cellStyle name="Normal 2 3 2 4 2 4 5" xfId="18647"/>
    <cellStyle name="Normal 2 3 2 4 2 5" xfId="2956"/>
    <cellStyle name="Normal 2 3 2 4 2 5 2" xfId="18648"/>
    <cellStyle name="Normal 2 3 2 4 2 5 2 2" xfId="18649"/>
    <cellStyle name="Normal 2 3 2 4 2 5 2 2 2" xfId="18650"/>
    <cellStyle name="Normal 2 3 2 4 2 5 2 3" xfId="18651"/>
    <cellStyle name="Normal 2 3 2 4 2 5 3" xfId="18652"/>
    <cellStyle name="Normal 2 3 2 4 2 5 3 2" xfId="18653"/>
    <cellStyle name="Normal 2 3 2 4 2 5 4" xfId="18654"/>
    <cellStyle name="Normal 2 3 2 4 2 6" xfId="18655"/>
    <cellStyle name="Normal 2 3 2 4 2 6 2" xfId="18656"/>
    <cellStyle name="Normal 2 3 2 4 2 6 2 2" xfId="18657"/>
    <cellStyle name="Normal 2 3 2 4 2 6 3" xfId="18658"/>
    <cellStyle name="Normal 2 3 2 4 2 7" xfId="18659"/>
    <cellStyle name="Normal 2 3 2 4 2 7 2" xfId="18660"/>
    <cellStyle name="Normal 2 3 2 4 2 8" xfId="18661"/>
    <cellStyle name="Normal 2 3 2 4 3" xfId="372"/>
    <cellStyle name="Normal 2 3 2 4 3 2" xfId="1052"/>
    <cellStyle name="Normal 2 3 2 4 3 2 2" xfId="2412"/>
    <cellStyle name="Normal 2 3 2 4 3 2 2 2" xfId="5132"/>
    <cellStyle name="Normal 2 3 2 4 3 2 2 2 2" xfId="18662"/>
    <cellStyle name="Normal 2 3 2 4 3 2 2 2 2 2" xfId="18663"/>
    <cellStyle name="Normal 2 3 2 4 3 2 2 2 2 2 2" xfId="18664"/>
    <cellStyle name="Normal 2 3 2 4 3 2 2 2 2 3" xfId="18665"/>
    <cellStyle name="Normal 2 3 2 4 3 2 2 2 3" xfId="18666"/>
    <cellStyle name="Normal 2 3 2 4 3 2 2 2 3 2" xfId="18667"/>
    <cellStyle name="Normal 2 3 2 4 3 2 2 2 4" xfId="18668"/>
    <cellStyle name="Normal 2 3 2 4 3 2 2 3" xfId="18669"/>
    <cellStyle name="Normal 2 3 2 4 3 2 2 3 2" xfId="18670"/>
    <cellStyle name="Normal 2 3 2 4 3 2 2 3 2 2" xfId="18671"/>
    <cellStyle name="Normal 2 3 2 4 3 2 2 3 3" xfId="18672"/>
    <cellStyle name="Normal 2 3 2 4 3 2 2 4" xfId="18673"/>
    <cellStyle name="Normal 2 3 2 4 3 2 2 4 2" xfId="18674"/>
    <cellStyle name="Normal 2 3 2 4 3 2 2 5" xfId="18675"/>
    <cellStyle name="Normal 2 3 2 4 3 2 3" xfId="3772"/>
    <cellStyle name="Normal 2 3 2 4 3 2 3 2" xfId="18676"/>
    <cellStyle name="Normal 2 3 2 4 3 2 3 2 2" xfId="18677"/>
    <cellStyle name="Normal 2 3 2 4 3 2 3 2 2 2" xfId="18678"/>
    <cellStyle name="Normal 2 3 2 4 3 2 3 2 3" xfId="18679"/>
    <cellStyle name="Normal 2 3 2 4 3 2 3 3" xfId="18680"/>
    <cellStyle name="Normal 2 3 2 4 3 2 3 3 2" xfId="18681"/>
    <cellStyle name="Normal 2 3 2 4 3 2 3 4" xfId="18682"/>
    <cellStyle name="Normal 2 3 2 4 3 2 4" xfId="18683"/>
    <cellStyle name="Normal 2 3 2 4 3 2 4 2" xfId="18684"/>
    <cellStyle name="Normal 2 3 2 4 3 2 4 2 2" xfId="18685"/>
    <cellStyle name="Normal 2 3 2 4 3 2 4 3" xfId="18686"/>
    <cellStyle name="Normal 2 3 2 4 3 2 5" xfId="18687"/>
    <cellStyle name="Normal 2 3 2 4 3 2 5 2" xfId="18688"/>
    <cellStyle name="Normal 2 3 2 4 3 2 6" xfId="18689"/>
    <cellStyle name="Normal 2 3 2 4 3 3" xfId="1732"/>
    <cellStyle name="Normal 2 3 2 4 3 3 2" xfId="4452"/>
    <cellStyle name="Normal 2 3 2 4 3 3 2 2" xfId="18690"/>
    <cellStyle name="Normal 2 3 2 4 3 3 2 2 2" xfId="18691"/>
    <cellStyle name="Normal 2 3 2 4 3 3 2 2 2 2" xfId="18692"/>
    <cellStyle name="Normal 2 3 2 4 3 3 2 2 3" xfId="18693"/>
    <cellStyle name="Normal 2 3 2 4 3 3 2 3" xfId="18694"/>
    <cellStyle name="Normal 2 3 2 4 3 3 2 3 2" xfId="18695"/>
    <cellStyle name="Normal 2 3 2 4 3 3 2 4" xfId="18696"/>
    <cellStyle name="Normal 2 3 2 4 3 3 3" xfId="18697"/>
    <cellStyle name="Normal 2 3 2 4 3 3 3 2" xfId="18698"/>
    <cellStyle name="Normal 2 3 2 4 3 3 3 2 2" xfId="18699"/>
    <cellStyle name="Normal 2 3 2 4 3 3 3 3" xfId="18700"/>
    <cellStyle name="Normal 2 3 2 4 3 3 4" xfId="18701"/>
    <cellStyle name="Normal 2 3 2 4 3 3 4 2" xfId="18702"/>
    <cellStyle name="Normal 2 3 2 4 3 3 5" xfId="18703"/>
    <cellStyle name="Normal 2 3 2 4 3 4" xfId="3092"/>
    <cellStyle name="Normal 2 3 2 4 3 4 2" xfId="18704"/>
    <cellStyle name="Normal 2 3 2 4 3 4 2 2" xfId="18705"/>
    <cellStyle name="Normal 2 3 2 4 3 4 2 2 2" xfId="18706"/>
    <cellStyle name="Normal 2 3 2 4 3 4 2 3" xfId="18707"/>
    <cellStyle name="Normal 2 3 2 4 3 4 3" xfId="18708"/>
    <cellStyle name="Normal 2 3 2 4 3 4 3 2" xfId="18709"/>
    <cellStyle name="Normal 2 3 2 4 3 4 4" xfId="18710"/>
    <cellStyle name="Normal 2 3 2 4 3 5" xfId="18711"/>
    <cellStyle name="Normal 2 3 2 4 3 5 2" xfId="18712"/>
    <cellStyle name="Normal 2 3 2 4 3 5 2 2" xfId="18713"/>
    <cellStyle name="Normal 2 3 2 4 3 5 3" xfId="18714"/>
    <cellStyle name="Normal 2 3 2 4 3 6" xfId="18715"/>
    <cellStyle name="Normal 2 3 2 4 3 6 2" xfId="18716"/>
    <cellStyle name="Normal 2 3 2 4 3 7" xfId="18717"/>
    <cellStyle name="Normal 2 3 2 4 4" xfId="644"/>
    <cellStyle name="Normal 2 3 2 4 4 2" xfId="1324"/>
    <cellStyle name="Normal 2 3 2 4 4 2 2" xfId="2684"/>
    <cellStyle name="Normal 2 3 2 4 4 2 2 2" xfId="5404"/>
    <cellStyle name="Normal 2 3 2 4 4 2 2 2 2" xfId="18718"/>
    <cellStyle name="Normal 2 3 2 4 4 2 2 2 2 2" xfId="18719"/>
    <cellStyle name="Normal 2 3 2 4 4 2 2 2 2 2 2" xfId="18720"/>
    <cellStyle name="Normal 2 3 2 4 4 2 2 2 2 3" xfId="18721"/>
    <cellStyle name="Normal 2 3 2 4 4 2 2 2 3" xfId="18722"/>
    <cellStyle name="Normal 2 3 2 4 4 2 2 2 3 2" xfId="18723"/>
    <cellStyle name="Normal 2 3 2 4 4 2 2 2 4" xfId="18724"/>
    <cellStyle name="Normal 2 3 2 4 4 2 2 3" xfId="18725"/>
    <cellStyle name="Normal 2 3 2 4 4 2 2 3 2" xfId="18726"/>
    <cellStyle name="Normal 2 3 2 4 4 2 2 3 2 2" xfId="18727"/>
    <cellStyle name="Normal 2 3 2 4 4 2 2 3 3" xfId="18728"/>
    <cellStyle name="Normal 2 3 2 4 4 2 2 4" xfId="18729"/>
    <cellStyle name="Normal 2 3 2 4 4 2 2 4 2" xfId="18730"/>
    <cellStyle name="Normal 2 3 2 4 4 2 2 5" xfId="18731"/>
    <cellStyle name="Normal 2 3 2 4 4 2 3" xfId="4044"/>
    <cellStyle name="Normal 2 3 2 4 4 2 3 2" xfId="18732"/>
    <cellStyle name="Normal 2 3 2 4 4 2 3 2 2" xfId="18733"/>
    <cellStyle name="Normal 2 3 2 4 4 2 3 2 2 2" xfId="18734"/>
    <cellStyle name="Normal 2 3 2 4 4 2 3 2 3" xfId="18735"/>
    <cellStyle name="Normal 2 3 2 4 4 2 3 3" xfId="18736"/>
    <cellStyle name="Normal 2 3 2 4 4 2 3 3 2" xfId="18737"/>
    <cellStyle name="Normal 2 3 2 4 4 2 3 4" xfId="18738"/>
    <cellStyle name="Normal 2 3 2 4 4 2 4" xfId="18739"/>
    <cellStyle name="Normal 2 3 2 4 4 2 4 2" xfId="18740"/>
    <cellStyle name="Normal 2 3 2 4 4 2 4 2 2" xfId="18741"/>
    <cellStyle name="Normal 2 3 2 4 4 2 4 3" xfId="18742"/>
    <cellStyle name="Normal 2 3 2 4 4 2 5" xfId="18743"/>
    <cellStyle name="Normal 2 3 2 4 4 2 5 2" xfId="18744"/>
    <cellStyle name="Normal 2 3 2 4 4 2 6" xfId="18745"/>
    <cellStyle name="Normal 2 3 2 4 4 3" xfId="2004"/>
    <cellStyle name="Normal 2 3 2 4 4 3 2" xfId="4724"/>
    <cellStyle name="Normal 2 3 2 4 4 3 2 2" xfId="18746"/>
    <cellStyle name="Normal 2 3 2 4 4 3 2 2 2" xfId="18747"/>
    <cellStyle name="Normal 2 3 2 4 4 3 2 2 2 2" xfId="18748"/>
    <cellStyle name="Normal 2 3 2 4 4 3 2 2 3" xfId="18749"/>
    <cellStyle name="Normal 2 3 2 4 4 3 2 3" xfId="18750"/>
    <cellStyle name="Normal 2 3 2 4 4 3 2 3 2" xfId="18751"/>
    <cellStyle name="Normal 2 3 2 4 4 3 2 4" xfId="18752"/>
    <cellStyle name="Normal 2 3 2 4 4 3 3" xfId="18753"/>
    <cellStyle name="Normal 2 3 2 4 4 3 3 2" xfId="18754"/>
    <cellStyle name="Normal 2 3 2 4 4 3 3 2 2" xfId="18755"/>
    <cellStyle name="Normal 2 3 2 4 4 3 3 3" xfId="18756"/>
    <cellStyle name="Normal 2 3 2 4 4 3 4" xfId="18757"/>
    <cellStyle name="Normal 2 3 2 4 4 3 4 2" xfId="18758"/>
    <cellStyle name="Normal 2 3 2 4 4 3 5" xfId="18759"/>
    <cellStyle name="Normal 2 3 2 4 4 4" xfId="3364"/>
    <cellStyle name="Normal 2 3 2 4 4 4 2" xfId="18760"/>
    <cellStyle name="Normal 2 3 2 4 4 4 2 2" xfId="18761"/>
    <cellStyle name="Normal 2 3 2 4 4 4 2 2 2" xfId="18762"/>
    <cellStyle name="Normal 2 3 2 4 4 4 2 3" xfId="18763"/>
    <cellStyle name="Normal 2 3 2 4 4 4 3" xfId="18764"/>
    <cellStyle name="Normal 2 3 2 4 4 4 3 2" xfId="18765"/>
    <cellStyle name="Normal 2 3 2 4 4 4 4" xfId="18766"/>
    <cellStyle name="Normal 2 3 2 4 4 5" xfId="18767"/>
    <cellStyle name="Normal 2 3 2 4 4 5 2" xfId="18768"/>
    <cellStyle name="Normal 2 3 2 4 4 5 2 2" xfId="18769"/>
    <cellStyle name="Normal 2 3 2 4 4 5 3" xfId="18770"/>
    <cellStyle name="Normal 2 3 2 4 4 6" xfId="18771"/>
    <cellStyle name="Normal 2 3 2 4 4 6 2" xfId="18772"/>
    <cellStyle name="Normal 2 3 2 4 4 7" xfId="18773"/>
    <cellStyle name="Normal 2 3 2 4 5" xfId="780"/>
    <cellStyle name="Normal 2 3 2 4 5 2" xfId="2140"/>
    <cellStyle name="Normal 2 3 2 4 5 2 2" xfId="4860"/>
    <cellStyle name="Normal 2 3 2 4 5 2 2 2" xfId="18774"/>
    <cellStyle name="Normal 2 3 2 4 5 2 2 2 2" xfId="18775"/>
    <cellStyle name="Normal 2 3 2 4 5 2 2 2 2 2" xfId="18776"/>
    <cellStyle name="Normal 2 3 2 4 5 2 2 2 3" xfId="18777"/>
    <cellStyle name="Normal 2 3 2 4 5 2 2 3" xfId="18778"/>
    <cellStyle name="Normal 2 3 2 4 5 2 2 3 2" xfId="18779"/>
    <cellStyle name="Normal 2 3 2 4 5 2 2 4" xfId="18780"/>
    <cellStyle name="Normal 2 3 2 4 5 2 3" xfId="18781"/>
    <cellStyle name="Normal 2 3 2 4 5 2 3 2" xfId="18782"/>
    <cellStyle name="Normal 2 3 2 4 5 2 3 2 2" xfId="18783"/>
    <cellStyle name="Normal 2 3 2 4 5 2 3 3" xfId="18784"/>
    <cellStyle name="Normal 2 3 2 4 5 2 4" xfId="18785"/>
    <cellStyle name="Normal 2 3 2 4 5 2 4 2" xfId="18786"/>
    <cellStyle name="Normal 2 3 2 4 5 2 5" xfId="18787"/>
    <cellStyle name="Normal 2 3 2 4 5 3" xfId="3500"/>
    <cellStyle name="Normal 2 3 2 4 5 3 2" xfId="18788"/>
    <cellStyle name="Normal 2 3 2 4 5 3 2 2" xfId="18789"/>
    <cellStyle name="Normal 2 3 2 4 5 3 2 2 2" xfId="18790"/>
    <cellStyle name="Normal 2 3 2 4 5 3 2 3" xfId="18791"/>
    <cellStyle name="Normal 2 3 2 4 5 3 3" xfId="18792"/>
    <cellStyle name="Normal 2 3 2 4 5 3 3 2" xfId="18793"/>
    <cellStyle name="Normal 2 3 2 4 5 3 4" xfId="18794"/>
    <cellStyle name="Normal 2 3 2 4 5 4" xfId="18795"/>
    <cellStyle name="Normal 2 3 2 4 5 4 2" xfId="18796"/>
    <cellStyle name="Normal 2 3 2 4 5 4 2 2" xfId="18797"/>
    <cellStyle name="Normal 2 3 2 4 5 4 3" xfId="18798"/>
    <cellStyle name="Normal 2 3 2 4 5 5" xfId="18799"/>
    <cellStyle name="Normal 2 3 2 4 5 5 2" xfId="18800"/>
    <cellStyle name="Normal 2 3 2 4 5 6" xfId="18801"/>
    <cellStyle name="Normal 2 3 2 4 6" xfId="1460"/>
    <cellStyle name="Normal 2 3 2 4 6 2" xfId="4180"/>
    <cellStyle name="Normal 2 3 2 4 6 2 2" xfId="18802"/>
    <cellStyle name="Normal 2 3 2 4 6 2 2 2" xfId="18803"/>
    <cellStyle name="Normal 2 3 2 4 6 2 2 2 2" xfId="18804"/>
    <cellStyle name="Normal 2 3 2 4 6 2 2 3" xfId="18805"/>
    <cellStyle name="Normal 2 3 2 4 6 2 3" xfId="18806"/>
    <cellStyle name="Normal 2 3 2 4 6 2 3 2" xfId="18807"/>
    <cellStyle name="Normal 2 3 2 4 6 2 4" xfId="18808"/>
    <cellStyle name="Normal 2 3 2 4 6 3" xfId="18809"/>
    <cellStyle name="Normal 2 3 2 4 6 3 2" xfId="18810"/>
    <cellStyle name="Normal 2 3 2 4 6 3 2 2" xfId="18811"/>
    <cellStyle name="Normal 2 3 2 4 6 3 3" xfId="18812"/>
    <cellStyle name="Normal 2 3 2 4 6 4" xfId="18813"/>
    <cellStyle name="Normal 2 3 2 4 6 4 2" xfId="18814"/>
    <cellStyle name="Normal 2 3 2 4 6 5" xfId="18815"/>
    <cellStyle name="Normal 2 3 2 4 7" xfId="2820"/>
    <cellStyle name="Normal 2 3 2 4 7 2" xfId="18816"/>
    <cellStyle name="Normal 2 3 2 4 7 2 2" xfId="18817"/>
    <cellStyle name="Normal 2 3 2 4 7 2 2 2" xfId="18818"/>
    <cellStyle name="Normal 2 3 2 4 7 2 3" xfId="18819"/>
    <cellStyle name="Normal 2 3 2 4 7 3" xfId="18820"/>
    <cellStyle name="Normal 2 3 2 4 7 3 2" xfId="18821"/>
    <cellStyle name="Normal 2 3 2 4 7 4" xfId="18822"/>
    <cellStyle name="Normal 2 3 2 4 8" xfId="18823"/>
    <cellStyle name="Normal 2 3 2 4 8 2" xfId="18824"/>
    <cellStyle name="Normal 2 3 2 4 8 2 2" xfId="18825"/>
    <cellStyle name="Normal 2 3 2 4 8 3" xfId="18826"/>
    <cellStyle name="Normal 2 3 2 4 9" xfId="18827"/>
    <cellStyle name="Normal 2 3 2 4 9 2" xfId="18828"/>
    <cellStyle name="Normal 2 3 2 5" xfId="168"/>
    <cellStyle name="Normal 2 3 2 5 2" xfId="440"/>
    <cellStyle name="Normal 2 3 2 5 2 2" xfId="1120"/>
    <cellStyle name="Normal 2 3 2 5 2 2 2" xfId="2480"/>
    <cellStyle name="Normal 2 3 2 5 2 2 2 2" xfId="5200"/>
    <cellStyle name="Normal 2 3 2 5 2 2 2 2 2" xfId="18829"/>
    <cellStyle name="Normal 2 3 2 5 2 2 2 2 2 2" xfId="18830"/>
    <cellStyle name="Normal 2 3 2 5 2 2 2 2 2 2 2" xfId="18831"/>
    <cellStyle name="Normal 2 3 2 5 2 2 2 2 2 3" xfId="18832"/>
    <cellStyle name="Normal 2 3 2 5 2 2 2 2 3" xfId="18833"/>
    <cellStyle name="Normal 2 3 2 5 2 2 2 2 3 2" xfId="18834"/>
    <cellStyle name="Normal 2 3 2 5 2 2 2 2 4" xfId="18835"/>
    <cellStyle name="Normal 2 3 2 5 2 2 2 3" xfId="18836"/>
    <cellStyle name="Normal 2 3 2 5 2 2 2 3 2" xfId="18837"/>
    <cellStyle name="Normal 2 3 2 5 2 2 2 3 2 2" xfId="18838"/>
    <cellStyle name="Normal 2 3 2 5 2 2 2 3 3" xfId="18839"/>
    <cellStyle name="Normal 2 3 2 5 2 2 2 4" xfId="18840"/>
    <cellStyle name="Normal 2 3 2 5 2 2 2 4 2" xfId="18841"/>
    <cellStyle name="Normal 2 3 2 5 2 2 2 5" xfId="18842"/>
    <cellStyle name="Normal 2 3 2 5 2 2 3" xfId="3840"/>
    <cellStyle name="Normal 2 3 2 5 2 2 3 2" xfId="18843"/>
    <cellStyle name="Normal 2 3 2 5 2 2 3 2 2" xfId="18844"/>
    <cellStyle name="Normal 2 3 2 5 2 2 3 2 2 2" xfId="18845"/>
    <cellStyle name="Normal 2 3 2 5 2 2 3 2 3" xfId="18846"/>
    <cellStyle name="Normal 2 3 2 5 2 2 3 3" xfId="18847"/>
    <cellStyle name="Normal 2 3 2 5 2 2 3 3 2" xfId="18848"/>
    <cellStyle name="Normal 2 3 2 5 2 2 3 4" xfId="18849"/>
    <cellStyle name="Normal 2 3 2 5 2 2 4" xfId="18850"/>
    <cellStyle name="Normal 2 3 2 5 2 2 4 2" xfId="18851"/>
    <cellStyle name="Normal 2 3 2 5 2 2 4 2 2" xfId="18852"/>
    <cellStyle name="Normal 2 3 2 5 2 2 4 3" xfId="18853"/>
    <cellStyle name="Normal 2 3 2 5 2 2 5" xfId="18854"/>
    <cellStyle name="Normal 2 3 2 5 2 2 5 2" xfId="18855"/>
    <cellStyle name="Normal 2 3 2 5 2 2 6" xfId="18856"/>
    <cellStyle name="Normal 2 3 2 5 2 3" xfId="1800"/>
    <cellStyle name="Normal 2 3 2 5 2 3 2" xfId="4520"/>
    <cellStyle name="Normal 2 3 2 5 2 3 2 2" xfId="18857"/>
    <cellStyle name="Normal 2 3 2 5 2 3 2 2 2" xfId="18858"/>
    <cellStyle name="Normal 2 3 2 5 2 3 2 2 2 2" xfId="18859"/>
    <cellStyle name="Normal 2 3 2 5 2 3 2 2 3" xfId="18860"/>
    <cellStyle name="Normal 2 3 2 5 2 3 2 3" xfId="18861"/>
    <cellStyle name="Normal 2 3 2 5 2 3 2 3 2" xfId="18862"/>
    <cellStyle name="Normal 2 3 2 5 2 3 2 4" xfId="18863"/>
    <cellStyle name="Normal 2 3 2 5 2 3 3" xfId="18864"/>
    <cellStyle name="Normal 2 3 2 5 2 3 3 2" xfId="18865"/>
    <cellStyle name="Normal 2 3 2 5 2 3 3 2 2" xfId="18866"/>
    <cellStyle name="Normal 2 3 2 5 2 3 3 3" xfId="18867"/>
    <cellStyle name="Normal 2 3 2 5 2 3 4" xfId="18868"/>
    <cellStyle name="Normal 2 3 2 5 2 3 4 2" xfId="18869"/>
    <cellStyle name="Normal 2 3 2 5 2 3 5" xfId="18870"/>
    <cellStyle name="Normal 2 3 2 5 2 4" xfId="3160"/>
    <cellStyle name="Normal 2 3 2 5 2 4 2" xfId="18871"/>
    <cellStyle name="Normal 2 3 2 5 2 4 2 2" xfId="18872"/>
    <cellStyle name="Normal 2 3 2 5 2 4 2 2 2" xfId="18873"/>
    <cellStyle name="Normal 2 3 2 5 2 4 2 3" xfId="18874"/>
    <cellStyle name="Normal 2 3 2 5 2 4 3" xfId="18875"/>
    <cellStyle name="Normal 2 3 2 5 2 4 3 2" xfId="18876"/>
    <cellStyle name="Normal 2 3 2 5 2 4 4" xfId="18877"/>
    <cellStyle name="Normal 2 3 2 5 2 5" xfId="18878"/>
    <cellStyle name="Normal 2 3 2 5 2 5 2" xfId="18879"/>
    <cellStyle name="Normal 2 3 2 5 2 5 2 2" xfId="18880"/>
    <cellStyle name="Normal 2 3 2 5 2 5 3" xfId="18881"/>
    <cellStyle name="Normal 2 3 2 5 2 6" xfId="18882"/>
    <cellStyle name="Normal 2 3 2 5 2 6 2" xfId="18883"/>
    <cellStyle name="Normal 2 3 2 5 2 7" xfId="18884"/>
    <cellStyle name="Normal 2 3 2 5 3" xfId="848"/>
    <cellStyle name="Normal 2 3 2 5 3 2" xfId="2208"/>
    <cellStyle name="Normal 2 3 2 5 3 2 2" xfId="4928"/>
    <cellStyle name="Normal 2 3 2 5 3 2 2 2" xfId="18885"/>
    <cellStyle name="Normal 2 3 2 5 3 2 2 2 2" xfId="18886"/>
    <cellStyle name="Normal 2 3 2 5 3 2 2 2 2 2" xfId="18887"/>
    <cellStyle name="Normal 2 3 2 5 3 2 2 2 3" xfId="18888"/>
    <cellStyle name="Normal 2 3 2 5 3 2 2 3" xfId="18889"/>
    <cellStyle name="Normal 2 3 2 5 3 2 2 3 2" xfId="18890"/>
    <cellStyle name="Normal 2 3 2 5 3 2 2 4" xfId="18891"/>
    <cellStyle name="Normal 2 3 2 5 3 2 3" xfId="18892"/>
    <cellStyle name="Normal 2 3 2 5 3 2 3 2" xfId="18893"/>
    <cellStyle name="Normal 2 3 2 5 3 2 3 2 2" xfId="18894"/>
    <cellStyle name="Normal 2 3 2 5 3 2 3 3" xfId="18895"/>
    <cellStyle name="Normal 2 3 2 5 3 2 4" xfId="18896"/>
    <cellStyle name="Normal 2 3 2 5 3 2 4 2" xfId="18897"/>
    <cellStyle name="Normal 2 3 2 5 3 2 5" xfId="18898"/>
    <cellStyle name="Normal 2 3 2 5 3 3" xfId="3568"/>
    <cellStyle name="Normal 2 3 2 5 3 3 2" xfId="18899"/>
    <cellStyle name="Normal 2 3 2 5 3 3 2 2" xfId="18900"/>
    <cellStyle name="Normal 2 3 2 5 3 3 2 2 2" xfId="18901"/>
    <cellStyle name="Normal 2 3 2 5 3 3 2 3" xfId="18902"/>
    <cellStyle name="Normal 2 3 2 5 3 3 3" xfId="18903"/>
    <cellStyle name="Normal 2 3 2 5 3 3 3 2" xfId="18904"/>
    <cellStyle name="Normal 2 3 2 5 3 3 4" xfId="18905"/>
    <cellStyle name="Normal 2 3 2 5 3 4" xfId="18906"/>
    <cellStyle name="Normal 2 3 2 5 3 4 2" xfId="18907"/>
    <cellStyle name="Normal 2 3 2 5 3 4 2 2" xfId="18908"/>
    <cellStyle name="Normal 2 3 2 5 3 4 3" xfId="18909"/>
    <cellStyle name="Normal 2 3 2 5 3 5" xfId="18910"/>
    <cellStyle name="Normal 2 3 2 5 3 5 2" xfId="18911"/>
    <cellStyle name="Normal 2 3 2 5 3 6" xfId="18912"/>
    <cellStyle name="Normal 2 3 2 5 4" xfId="1528"/>
    <cellStyle name="Normal 2 3 2 5 4 2" xfId="4248"/>
    <cellStyle name="Normal 2 3 2 5 4 2 2" xfId="18913"/>
    <cellStyle name="Normal 2 3 2 5 4 2 2 2" xfId="18914"/>
    <cellStyle name="Normal 2 3 2 5 4 2 2 2 2" xfId="18915"/>
    <cellStyle name="Normal 2 3 2 5 4 2 2 3" xfId="18916"/>
    <cellStyle name="Normal 2 3 2 5 4 2 3" xfId="18917"/>
    <cellStyle name="Normal 2 3 2 5 4 2 3 2" xfId="18918"/>
    <cellStyle name="Normal 2 3 2 5 4 2 4" xfId="18919"/>
    <cellStyle name="Normal 2 3 2 5 4 3" xfId="18920"/>
    <cellStyle name="Normal 2 3 2 5 4 3 2" xfId="18921"/>
    <cellStyle name="Normal 2 3 2 5 4 3 2 2" xfId="18922"/>
    <cellStyle name="Normal 2 3 2 5 4 3 3" xfId="18923"/>
    <cellStyle name="Normal 2 3 2 5 4 4" xfId="18924"/>
    <cellStyle name="Normal 2 3 2 5 4 4 2" xfId="18925"/>
    <cellStyle name="Normal 2 3 2 5 4 5" xfId="18926"/>
    <cellStyle name="Normal 2 3 2 5 5" xfId="2888"/>
    <cellStyle name="Normal 2 3 2 5 5 2" xfId="18927"/>
    <cellStyle name="Normal 2 3 2 5 5 2 2" xfId="18928"/>
    <cellStyle name="Normal 2 3 2 5 5 2 2 2" xfId="18929"/>
    <cellStyle name="Normal 2 3 2 5 5 2 3" xfId="18930"/>
    <cellStyle name="Normal 2 3 2 5 5 3" xfId="18931"/>
    <cellStyle name="Normal 2 3 2 5 5 3 2" xfId="18932"/>
    <cellStyle name="Normal 2 3 2 5 5 4" xfId="18933"/>
    <cellStyle name="Normal 2 3 2 5 6" xfId="18934"/>
    <cellStyle name="Normal 2 3 2 5 6 2" xfId="18935"/>
    <cellStyle name="Normal 2 3 2 5 6 2 2" xfId="18936"/>
    <cellStyle name="Normal 2 3 2 5 6 3" xfId="18937"/>
    <cellStyle name="Normal 2 3 2 5 7" xfId="18938"/>
    <cellStyle name="Normal 2 3 2 5 7 2" xfId="18939"/>
    <cellStyle name="Normal 2 3 2 5 8" xfId="18940"/>
    <cellStyle name="Normal 2 3 2 6" xfId="304"/>
    <cellStyle name="Normal 2 3 2 6 2" xfId="984"/>
    <cellStyle name="Normal 2 3 2 6 2 2" xfId="2344"/>
    <cellStyle name="Normal 2 3 2 6 2 2 2" xfId="5064"/>
    <cellStyle name="Normal 2 3 2 6 2 2 2 2" xfId="18941"/>
    <cellStyle name="Normal 2 3 2 6 2 2 2 2 2" xfId="18942"/>
    <cellStyle name="Normal 2 3 2 6 2 2 2 2 2 2" xfId="18943"/>
    <cellStyle name="Normal 2 3 2 6 2 2 2 2 3" xfId="18944"/>
    <cellStyle name="Normal 2 3 2 6 2 2 2 3" xfId="18945"/>
    <cellStyle name="Normal 2 3 2 6 2 2 2 3 2" xfId="18946"/>
    <cellStyle name="Normal 2 3 2 6 2 2 2 4" xfId="18947"/>
    <cellStyle name="Normal 2 3 2 6 2 2 3" xfId="18948"/>
    <cellStyle name="Normal 2 3 2 6 2 2 3 2" xfId="18949"/>
    <cellStyle name="Normal 2 3 2 6 2 2 3 2 2" xfId="18950"/>
    <cellStyle name="Normal 2 3 2 6 2 2 3 3" xfId="18951"/>
    <cellStyle name="Normal 2 3 2 6 2 2 4" xfId="18952"/>
    <cellStyle name="Normal 2 3 2 6 2 2 4 2" xfId="18953"/>
    <cellStyle name="Normal 2 3 2 6 2 2 5" xfId="18954"/>
    <cellStyle name="Normal 2 3 2 6 2 3" xfId="3704"/>
    <cellStyle name="Normal 2 3 2 6 2 3 2" xfId="18955"/>
    <cellStyle name="Normal 2 3 2 6 2 3 2 2" xfId="18956"/>
    <cellStyle name="Normal 2 3 2 6 2 3 2 2 2" xfId="18957"/>
    <cellStyle name="Normal 2 3 2 6 2 3 2 3" xfId="18958"/>
    <cellStyle name="Normal 2 3 2 6 2 3 3" xfId="18959"/>
    <cellStyle name="Normal 2 3 2 6 2 3 3 2" xfId="18960"/>
    <cellStyle name="Normal 2 3 2 6 2 3 4" xfId="18961"/>
    <cellStyle name="Normal 2 3 2 6 2 4" xfId="18962"/>
    <cellStyle name="Normal 2 3 2 6 2 4 2" xfId="18963"/>
    <cellStyle name="Normal 2 3 2 6 2 4 2 2" xfId="18964"/>
    <cellStyle name="Normal 2 3 2 6 2 4 3" xfId="18965"/>
    <cellStyle name="Normal 2 3 2 6 2 5" xfId="18966"/>
    <cellStyle name="Normal 2 3 2 6 2 5 2" xfId="18967"/>
    <cellStyle name="Normal 2 3 2 6 2 6" xfId="18968"/>
    <cellStyle name="Normal 2 3 2 6 3" xfId="1664"/>
    <cellStyle name="Normal 2 3 2 6 3 2" xfId="4384"/>
    <cellStyle name="Normal 2 3 2 6 3 2 2" xfId="18969"/>
    <cellStyle name="Normal 2 3 2 6 3 2 2 2" xfId="18970"/>
    <cellStyle name="Normal 2 3 2 6 3 2 2 2 2" xfId="18971"/>
    <cellStyle name="Normal 2 3 2 6 3 2 2 3" xfId="18972"/>
    <cellStyle name="Normal 2 3 2 6 3 2 3" xfId="18973"/>
    <cellStyle name="Normal 2 3 2 6 3 2 3 2" xfId="18974"/>
    <cellStyle name="Normal 2 3 2 6 3 2 4" xfId="18975"/>
    <cellStyle name="Normal 2 3 2 6 3 3" xfId="18976"/>
    <cellStyle name="Normal 2 3 2 6 3 3 2" xfId="18977"/>
    <cellStyle name="Normal 2 3 2 6 3 3 2 2" xfId="18978"/>
    <cellStyle name="Normal 2 3 2 6 3 3 3" xfId="18979"/>
    <cellStyle name="Normal 2 3 2 6 3 4" xfId="18980"/>
    <cellStyle name="Normal 2 3 2 6 3 4 2" xfId="18981"/>
    <cellStyle name="Normal 2 3 2 6 3 5" xfId="18982"/>
    <cellStyle name="Normal 2 3 2 6 4" xfId="3024"/>
    <cellStyle name="Normal 2 3 2 6 4 2" xfId="18983"/>
    <cellStyle name="Normal 2 3 2 6 4 2 2" xfId="18984"/>
    <cellStyle name="Normal 2 3 2 6 4 2 2 2" xfId="18985"/>
    <cellStyle name="Normal 2 3 2 6 4 2 3" xfId="18986"/>
    <cellStyle name="Normal 2 3 2 6 4 3" xfId="18987"/>
    <cellStyle name="Normal 2 3 2 6 4 3 2" xfId="18988"/>
    <cellStyle name="Normal 2 3 2 6 4 4" xfId="18989"/>
    <cellStyle name="Normal 2 3 2 6 5" xfId="18990"/>
    <cellStyle name="Normal 2 3 2 6 5 2" xfId="18991"/>
    <cellStyle name="Normal 2 3 2 6 5 2 2" xfId="18992"/>
    <cellStyle name="Normal 2 3 2 6 5 3" xfId="18993"/>
    <cellStyle name="Normal 2 3 2 6 6" xfId="18994"/>
    <cellStyle name="Normal 2 3 2 6 6 2" xfId="18995"/>
    <cellStyle name="Normal 2 3 2 6 7" xfId="18996"/>
    <cellStyle name="Normal 2 3 2 7" xfId="576"/>
    <cellStyle name="Normal 2 3 2 7 2" xfId="1256"/>
    <cellStyle name="Normal 2 3 2 7 2 2" xfId="2616"/>
    <cellStyle name="Normal 2 3 2 7 2 2 2" xfId="5336"/>
    <cellStyle name="Normal 2 3 2 7 2 2 2 2" xfId="18997"/>
    <cellStyle name="Normal 2 3 2 7 2 2 2 2 2" xfId="18998"/>
    <cellStyle name="Normal 2 3 2 7 2 2 2 2 2 2" xfId="18999"/>
    <cellStyle name="Normal 2 3 2 7 2 2 2 2 3" xfId="19000"/>
    <cellStyle name="Normal 2 3 2 7 2 2 2 3" xfId="19001"/>
    <cellStyle name="Normal 2 3 2 7 2 2 2 3 2" xfId="19002"/>
    <cellStyle name="Normal 2 3 2 7 2 2 2 4" xfId="19003"/>
    <cellStyle name="Normal 2 3 2 7 2 2 3" xfId="19004"/>
    <cellStyle name="Normal 2 3 2 7 2 2 3 2" xfId="19005"/>
    <cellStyle name="Normal 2 3 2 7 2 2 3 2 2" xfId="19006"/>
    <cellStyle name="Normal 2 3 2 7 2 2 3 3" xfId="19007"/>
    <cellStyle name="Normal 2 3 2 7 2 2 4" xfId="19008"/>
    <cellStyle name="Normal 2 3 2 7 2 2 4 2" xfId="19009"/>
    <cellStyle name="Normal 2 3 2 7 2 2 5" xfId="19010"/>
    <cellStyle name="Normal 2 3 2 7 2 3" xfId="3976"/>
    <cellStyle name="Normal 2 3 2 7 2 3 2" xfId="19011"/>
    <cellStyle name="Normal 2 3 2 7 2 3 2 2" xfId="19012"/>
    <cellStyle name="Normal 2 3 2 7 2 3 2 2 2" xfId="19013"/>
    <cellStyle name="Normal 2 3 2 7 2 3 2 3" xfId="19014"/>
    <cellStyle name="Normal 2 3 2 7 2 3 3" xfId="19015"/>
    <cellStyle name="Normal 2 3 2 7 2 3 3 2" xfId="19016"/>
    <cellStyle name="Normal 2 3 2 7 2 3 4" xfId="19017"/>
    <cellStyle name="Normal 2 3 2 7 2 4" xfId="19018"/>
    <cellStyle name="Normal 2 3 2 7 2 4 2" xfId="19019"/>
    <cellStyle name="Normal 2 3 2 7 2 4 2 2" xfId="19020"/>
    <cellStyle name="Normal 2 3 2 7 2 4 3" xfId="19021"/>
    <cellStyle name="Normal 2 3 2 7 2 5" xfId="19022"/>
    <cellStyle name="Normal 2 3 2 7 2 5 2" xfId="19023"/>
    <cellStyle name="Normal 2 3 2 7 2 6" xfId="19024"/>
    <cellStyle name="Normal 2 3 2 7 3" xfId="1936"/>
    <cellStyle name="Normal 2 3 2 7 3 2" xfId="4656"/>
    <cellStyle name="Normal 2 3 2 7 3 2 2" xfId="19025"/>
    <cellStyle name="Normal 2 3 2 7 3 2 2 2" xfId="19026"/>
    <cellStyle name="Normal 2 3 2 7 3 2 2 2 2" xfId="19027"/>
    <cellStyle name="Normal 2 3 2 7 3 2 2 3" xfId="19028"/>
    <cellStyle name="Normal 2 3 2 7 3 2 3" xfId="19029"/>
    <cellStyle name="Normal 2 3 2 7 3 2 3 2" xfId="19030"/>
    <cellStyle name="Normal 2 3 2 7 3 2 4" xfId="19031"/>
    <cellStyle name="Normal 2 3 2 7 3 3" xfId="19032"/>
    <cellStyle name="Normal 2 3 2 7 3 3 2" xfId="19033"/>
    <cellStyle name="Normal 2 3 2 7 3 3 2 2" xfId="19034"/>
    <cellStyle name="Normal 2 3 2 7 3 3 3" xfId="19035"/>
    <cellStyle name="Normal 2 3 2 7 3 4" xfId="19036"/>
    <cellStyle name="Normal 2 3 2 7 3 4 2" xfId="19037"/>
    <cellStyle name="Normal 2 3 2 7 3 5" xfId="19038"/>
    <cellStyle name="Normal 2 3 2 7 4" xfId="3296"/>
    <cellStyle name="Normal 2 3 2 7 4 2" xfId="19039"/>
    <cellStyle name="Normal 2 3 2 7 4 2 2" xfId="19040"/>
    <cellStyle name="Normal 2 3 2 7 4 2 2 2" xfId="19041"/>
    <cellStyle name="Normal 2 3 2 7 4 2 3" xfId="19042"/>
    <cellStyle name="Normal 2 3 2 7 4 3" xfId="19043"/>
    <cellStyle name="Normal 2 3 2 7 4 3 2" xfId="19044"/>
    <cellStyle name="Normal 2 3 2 7 4 4" xfId="19045"/>
    <cellStyle name="Normal 2 3 2 7 5" xfId="19046"/>
    <cellStyle name="Normal 2 3 2 7 5 2" xfId="19047"/>
    <cellStyle name="Normal 2 3 2 7 5 2 2" xfId="19048"/>
    <cellStyle name="Normal 2 3 2 7 5 3" xfId="19049"/>
    <cellStyle name="Normal 2 3 2 7 6" xfId="19050"/>
    <cellStyle name="Normal 2 3 2 7 6 2" xfId="19051"/>
    <cellStyle name="Normal 2 3 2 7 7" xfId="19052"/>
    <cellStyle name="Normal 2 3 2 8" xfId="712"/>
    <cellStyle name="Normal 2 3 2 8 2" xfId="2072"/>
    <cellStyle name="Normal 2 3 2 8 2 2" xfId="4792"/>
    <cellStyle name="Normal 2 3 2 8 2 2 2" xfId="19053"/>
    <cellStyle name="Normal 2 3 2 8 2 2 2 2" xfId="19054"/>
    <cellStyle name="Normal 2 3 2 8 2 2 2 2 2" xfId="19055"/>
    <cellStyle name="Normal 2 3 2 8 2 2 2 3" xfId="19056"/>
    <cellStyle name="Normal 2 3 2 8 2 2 3" xfId="19057"/>
    <cellStyle name="Normal 2 3 2 8 2 2 3 2" xfId="19058"/>
    <cellStyle name="Normal 2 3 2 8 2 2 4" xfId="19059"/>
    <cellStyle name="Normal 2 3 2 8 2 3" xfId="19060"/>
    <cellStyle name="Normal 2 3 2 8 2 3 2" xfId="19061"/>
    <cellStyle name="Normal 2 3 2 8 2 3 2 2" xfId="19062"/>
    <cellStyle name="Normal 2 3 2 8 2 3 3" xfId="19063"/>
    <cellStyle name="Normal 2 3 2 8 2 4" xfId="19064"/>
    <cellStyle name="Normal 2 3 2 8 2 4 2" xfId="19065"/>
    <cellStyle name="Normal 2 3 2 8 2 5" xfId="19066"/>
    <cellStyle name="Normal 2 3 2 8 3" xfId="3432"/>
    <cellStyle name="Normal 2 3 2 8 3 2" xfId="19067"/>
    <cellStyle name="Normal 2 3 2 8 3 2 2" xfId="19068"/>
    <cellStyle name="Normal 2 3 2 8 3 2 2 2" xfId="19069"/>
    <cellStyle name="Normal 2 3 2 8 3 2 3" xfId="19070"/>
    <cellStyle name="Normal 2 3 2 8 3 3" xfId="19071"/>
    <cellStyle name="Normal 2 3 2 8 3 3 2" xfId="19072"/>
    <cellStyle name="Normal 2 3 2 8 3 4" xfId="19073"/>
    <cellStyle name="Normal 2 3 2 8 4" xfId="19074"/>
    <cellStyle name="Normal 2 3 2 8 4 2" xfId="19075"/>
    <cellStyle name="Normal 2 3 2 8 4 2 2" xfId="19076"/>
    <cellStyle name="Normal 2 3 2 8 4 3" xfId="19077"/>
    <cellStyle name="Normal 2 3 2 8 5" xfId="19078"/>
    <cellStyle name="Normal 2 3 2 8 5 2" xfId="19079"/>
    <cellStyle name="Normal 2 3 2 8 6" xfId="19080"/>
    <cellStyle name="Normal 2 3 2 9" xfId="1392"/>
    <cellStyle name="Normal 2 3 2 9 2" xfId="4112"/>
    <cellStyle name="Normal 2 3 2 9 2 2" xfId="19081"/>
    <cellStyle name="Normal 2 3 2 9 2 2 2" xfId="19082"/>
    <cellStyle name="Normal 2 3 2 9 2 2 2 2" xfId="19083"/>
    <cellStyle name="Normal 2 3 2 9 2 2 3" xfId="19084"/>
    <cellStyle name="Normal 2 3 2 9 2 3" xfId="19085"/>
    <cellStyle name="Normal 2 3 2 9 2 3 2" xfId="19086"/>
    <cellStyle name="Normal 2 3 2 9 2 4" xfId="19087"/>
    <cellStyle name="Normal 2 3 2 9 3" xfId="19088"/>
    <cellStyle name="Normal 2 3 2 9 3 2" xfId="19089"/>
    <cellStyle name="Normal 2 3 2 9 3 2 2" xfId="19090"/>
    <cellStyle name="Normal 2 3 2 9 3 3" xfId="19091"/>
    <cellStyle name="Normal 2 3 2 9 4" xfId="19092"/>
    <cellStyle name="Normal 2 3 2 9 4 2" xfId="19093"/>
    <cellStyle name="Normal 2 3 2 9 5" xfId="19094"/>
    <cellStyle name="Normal 2 3 3" xfId="40"/>
    <cellStyle name="Normal 2 3 3 10" xfId="19095"/>
    <cellStyle name="Normal 2 3 3 10 2" xfId="19096"/>
    <cellStyle name="Normal 2 3 3 10 2 2" xfId="19097"/>
    <cellStyle name="Normal 2 3 3 10 3" xfId="19098"/>
    <cellStyle name="Normal 2 3 3 11" xfId="19099"/>
    <cellStyle name="Normal 2 3 3 11 2" xfId="19100"/>
    <cellStyle name="Normal 2 3 3 12" xfId="19101"/>
    <cellStyle name="Normal 2 3 3 2" xfId="75"/>
    <cellStyle name="Normal 2 3 3 2 10" xfId="19102"/>
    <cellStyle name="Normal 2 3 3 2 10 2" xfId="19103"/>
    <cellStyle name="Normal 2 3 3 2 11" xfId="19104"/>
    <cellStyle name="Normal 2 3 3 2 2" xfId="143"/>
    <cellStyle name="Normal 2 3 3 2 2 10" xfId="19105"/>
    <cellStyle name="Normal 2 3 3 2 2 2" xfId="280"/>
    <cellStyle name="Normal 2 3 3 2 2 2 2" xfId="552"/>
    <cellStyle name="Normal 2 3 3 2 2 2 2 2" xfId="1232"/>
    <cellStyle name="Normal 2 3 3 2 2 2 2 2 2" xfId="2592"/>
    <cellStyle name="Normal 2 3 3 2 2 2 2 2 2 2" xfId="5312"/>
    <cellStyle name="Normal 2 3 3 2 2 2 2 2 2 2 2" xfId="19106"/>
    <cellStyle name="Normal 2 3 3 2 2 2 2 2 2 2 2 2" xfId="19107"/>
    <cellStyle name="Normal 2 3 3 2 2 2 2 2 2 2 2 2 2" xfId="19108"/>
    <cellStyle name="Normal 2 3 3 2 2 2 2 2 2 2 2 3" xfId="19109"/>
    <cellStyle name="Normal 2 3 3 2 2 2 2 2 2 2 3" xfId="19110"/>
    <cellStyle name="Normal 2 3 3 2 2 2 2 2 2 2 3 2" xfId="19111"/>
    <cellStyle name="Normal 2 3 3 2 2 2 2 2 2 2 4" xfId="19112"/>
    <cellStyle name="Normal 2 3 3 2 2 2 2 2 2 3" xfId="19113"/>
    <cellStyle name="Normal 2 3 3 2 2 2 2 2 2 3 2" xfId="19114"/>
    <cellStyle name="Normal 2 3 3 2 2 2 2 2 2 3 2 2" xfId="19115"/>
    <cellStyle name="Normal 2 3 3 2 2 2 2 2 2 3 3" xfId="19116"/>
    <cellStyle name="Normal 2 3 3 2 2 2 2 2 2 4" xfId="19117"/>
    <cellStyle name="Normal 2 3 3 2 2 2 2 2 2 4 2" xfId="19118"/>
    <cellStyle name="Normal 2 3 3 2 2 2 2 2 2 5" xfId="19119"/>
    <cellStyle name="Normal 2 3 3 2 2 2 2 2 3" xfId="3952"/>
    <cellStyle name="Normal 2 3 3 2 2 2 2 2 3 2" xfId="19120"/>
    <cellStyle name="Normal 2 3 3 2 2 2 2 2 3 2 2" xfId="19121"/>
    <cellStyle name="Normal 2 3 3 2 2 2 2 2 3 2 2 2" xfId="19122"/>
    <cellStyle name="Normal 2 3 3 2 2 2 2 2 3 2 3" xfId="19123"/>
    <cellStyle name="Normal 2 3 3 2 2 2 2 2 3 3" xfId="19124"/>
    <cellStyle name="Normal 2 3 3 2 2 2 2 2 3 3 2" xfId="19125"/>
    <cellStyle name="Normal 2 3 3 2 2 2 2 2 3 4" xfId="19126"/>
    <cellStyle name="Normal 2 3 3 2 2 2 2 2 4" xfId="19127"/>
    <cellStyle name="Normal 2 3 3 2 2 2 2 2 4 2" xfId="19128"/>
    <cellStyle name="Normal 2 3 3 2 2 2 2 2 4 2 2" xfId="19129"/>
    <cellStyle name="Normal 2 3 3 2 2 2 2 2 4 3" xfId="19130"/>
    <cellStyle name="Normal 2 3 3 2 2 2 2 2 5" xfId="19131"/>
    <cellStyle name="Normal 2 3 3 2 2 2 2 2 5 2" xfId="19132"/>
    <cellStyle name="Normal 2 3 3 2 2 2 2 2 6" xfId="19133"/>
    <cellStyle name="Normal 2 3 3 2 2 2 2 3" xfId="1912"/>
    <cellStyle name="Normal 2 3 3 2 2 2 2 3 2" xfId="4632"/>
    <cellStyle name="Normal 2 3 3 2 2 2 2 3 2 2" xfId="19134"/>
    <cellStyle name="Normal 2 3 3 2 2 2 2 3 2 2 2" xfId="19135"/>
    <cellStyle name="Normal 2 3 3 2 2 2 2 3 2 2 2 2" xfId="19136"/>
    <cellStyle name="Normal 2 3 3 2 2 2 2 3 2 2 3" xfId="19137"/>
    <cellStyle name="Normal 2 3 3 2 2 2 2 3 2 3" xfId="19138"/>
    <cellStyle name="Normal 2 3 3 2 2 2 2 3 2 3 2" xfId="19139"/>
    <cellStyle name="Normal 2 3 3 2 2 2 2 3 2 4" xfId="19140"/>
    <cellStyle name="Normal 2 3 3 2 2 2 2 3 3" xfId="19141"/>
    <cellStyle name="Normal 2 3 3 2 2 2 2 3 3 2" xfId="19142"/>
    <cellStyle name="Normal 2 3 3 2 2 2 2 3 3 2 2" xfId="19143"/>
    <cellStyle name="Normal 2 3 3 2 2 2 2 3 3 3" xfId="19144"/>
    <cellStyle name="Normal 2 3 3 2 2 2 2 3 4" xfId="19145"/>
    <cellStyle name="Normal 2 3 3 2 2 2 2 3 4 2" xfId="19146"/>
    <cellStyle name="Normal 2 3 3 2 2 2 2 3 5" xfId="19147"/>
    <cellStyle name="Normal 2 3 3 2 2 2 2 4" xfId="3272"/>
    <cellStyle name="Normal 2 3 3 2 2 2 2 4 2" xfId="19148"/>
    <cellStyle name="Normal 2 3 3 2 2 2 2 4 2 2" xfId="19149"/>
    <cellStyle name="Normal 2 3 3 2 2 2 2 4 2 2 2" xfId="19150"/>
    <cellStyle name="Normal 2 3 3 2 2 2 2 4 2 3" xfId="19151"/>
    <cellStyle name="Normal 2 3 3 2 2 2 2 4 3" xfId="19152"/>
    <cellStyle name="Normal 2 3 3 2 2 2 2 4 3 2" xfId="19153"/>
    <cellStyle name="Normal 2 3 3 2 2 2 2 4 4" xfId="19154"/>
    <cellStyle name="Normal 2 3 3 2 2 2 2 5" xfId="19155"/>
    <cellStyle name="Normal 2 3 3 2 2 2 2 5 2" xfId="19156"/>
    <cellStyle name="Normal 2 3 3 2 2 2 2 5 2 2" xfId="19157"/>
    <cellStyle name="Normal 2 3 3 2 2 2 2 5 3" xfId="19158"/>
    <cellStyle name="Normal 2 3 3 2 2 2 2 6" xfId="19159"/>
    <cellStyle name="Normal 2 3 3 2 2 2 2 6 2" xfId="19160"/>
    <cellStyle name="Normal 2 3 3 2 2 2 2 7" xfId="19161"/>
    <cellStyle name="Normal 2 3 3 2 2 2 3" xfId="960"/>
    <cellStyle name="Normal 2 3 3 2 2 2 3 2" xfId="2320"/>
    <cellStyle name="Normal 2 3 3 2 2 2 3 2 2" xfId="5040"/>
    <cellStyle name="Normal 2 3 3 2 2 2 3 2 2 2" xfId="19162"/>
    <cellStyle name="Normal 2 3 3 2 2 2 3 2 2 2 2" xfId="19163"/>
    <cellStyle name="Normal 2 3 3 2 2 2 3 2 2 2 2 2" xfId="19164"/>
    <cellStyle name="Normal 2 3 3 2 2 2 3 2 2 2 3" xfId="19165"/>
    <cellStyle name="Normal 2 3 3 2 2 2 3 2 2 3" xfId="19166"/>
    <cellStyle name="Normal 2 3 3 2 2 2 3 2 2 3 2" xfId="19167"/>
    <cellStyle name="Normal 2 3 3 2 2 2 3 2 2 4" xfId="19168"/>
    <cellStyle name="Normal 2 3 3 2 2 2 3 2 3" xfId="19169"/>
    <cellStyle name="Normal 2 3 3 2 2 2 3 2 3 2" xfId="19170"/>
    <cellStyle name="Normal 2 3 3 2 2 2 3 2 3 2 2" xfId="19171"/>
    <cellStyle name="Normal 2 3 3 2 2 2 3 2 3 3" xfId="19172"/>
    <cellStyle name="Normal 2 3 3 2 2 2 3 2 4" xfId="19173"/>
    <cellStyle name="Normal 2 3 3 2 2 2 3 2 4 2" xfId="19174"/>
    <cellStyle name="Normal 2 3 3 2 2 2 3 2 5" xfId="19175"/>
    <cellStyle name="Normal 2 3 3 2 2 2 3 3" xfId="3680"/>
    <cellStyle name="Normal 2 3 3 2 2 2 3 3 2" xfId="19176"/>
    <cellStyle name="Normal 2 3 3 2 2 2 3 3 2 2" xfId="19177"/>
    <cellStyle name="Normal 2 3 3 2 2 2 3 3 2 2 2" xfId="19178"/>
    <cellStyle name="Normal 2 3 3 2 2 2 3 3 2 3" xfId="19179"/>
    <cellStyle name="Normal 2 3 3 2 2 2 3 3 3" xfId="19180"/>
    <cellStyle name="Normal 2 3 3 2 2 2 3 3 3 2" xfId="19181"/>
    <cellStyle name="Normal 2 3 3 2 2 2 3 3 4" xfId="19182"/>
    <cellStyle name="Normal 2 3 3 2 2 2 3 4" xfId="19183"/>
    <cellStyle name="Normal 2 3 3 2 2 2 3 4 2" xfId="19184"/>
    <cellStyle name="Normal 2 3 3 2 2 2 3 4 2 2" xfId="19185"/>
    <cellStyle name="Normal 2 3 3 2 2 2 3 4 3" xfId="19186"/>
    <cellStyle name="Normal 2 3 3 2 2 2 3 5" xfId="19187"/>
    <cellStyle name="Normal 2 3 3 2 2 2 3 5 2" xfId="19188"/>
    <cellStyle name="Normal 2 3 3 2 2 2 3 6" xfId="19189"/>
    <cellStyle name="Normal 2 3 3 2 2 2 4" xfId="1640"/>
    <cellStyle name="Normal 2 3 3 2 2 2 4 2" xfId="4360"/>
    <cellStyle name="Normal 2 3 3 2 2 2 4 2 2" xfId="19190"/>
    <cellStyle name="Normal 2 3 3 2 2 2 4 2 2 2" xfId="19191"/>
    <cellStyle name="Normal 2 3 3 2 2 2 4 2 2 2 2" xfId="19192"/>
    <cellStyle name="Normal 2 3 3 2 2 2 4 2 2 3" xfId="19193"/>
    <cellStyle name="Normal 2 3 3 2 2 2 4 2 3" xfId="19194"/>
    <cellStyle name="Normal 2 3 3 2 2 2 4 2 3 2" xfId="19195"/>
    <cellStyle name="Normal 2 3 3 2 2 2 4 2 4" xfId="19196"/>
    <cellStyle name="Normal 2 3 3 2 2 2 4 3" xfId="19197"/>
    <cellStyle name="Normal 2 3 3 2 2 2 4 3 2" xfId="19198"/>
    <cellStyle name="Normal 2 3 3 2 2 2 4 3 2 2" xfId="19199"/>
    <cellStyle name="Normal 2 3 3 2 2 2 4 3 3" xfId="19200"/>
    <cellStyle name="Normal 2 3 3 2 2 2 4 4" xfId="19201"/>
    <cellStyle name="Normal 2 3 3 2 2 2 4 4 2" xfId="19202"/>
    <cellStyle name="Normal 2 3 3 2 2 2 4 5" xfId="19203"/>
    <cellStyle name="Normal 2 3 3 2 2 2 5" xfId="3000"/>
    <cellStyle name="Normal 2 3 3 2 2 2 5 2" xfId="19204"/>
    <cellStyle name="Normal 2 3 3 2 2 2 5 2 2" xfId="19205"/>
    <cellStyle name="Normal 2 3 3 2 2 2 5 2 2 2" xfId="19206"/>
    <cellStyle name="Normal 2 3 3 2 2 2 5 2 3" xfId="19207"/>
    <cellStyle name="Normal 2 3 3 2 2 2 5 3" xfId="19208"/>
    <cellStyle name="Normal 2 3 3 2 2 2 5 3 2" xfId="19209"/>
    <cellStyle name="Normal 2 3 3 2 2 2 5 4" xfId="19210"/>
    <cellStyle name="Normal 2 3 3 2 2 2 6" xfId="19211"/>
    <cellStyle name="Normal 2 3 3 2 2 2 6 2" xfId="19212"/>
    <cellStyle name="Normal 2 3 3 2 2 2 6 2 2" xfId="19213"/>
    <cellStyle name="Normal 2 3 3 2 2 2 6 3" xfId="19214"/>
    <cellStyle name="Normal 2 3 3 2 2 2 7" xfId="19215"/>
    <cellStyle name="Normal 2 3 3 2 2 2 7 2" xfId="19216"/>
    <cellStyle name="Normal 2 3 3 2 2 2 8" xfId="19217"/>
    <cellStyle name="Normal 2 3 3 2 2 3" xfId="416"/>
    <cellStyle name="Normal 2 3 3 2 2 3 2" xfId="1096"/>
    <cellStyle name="Normal 2 3 3 2 2 3 2 2" xfId="2456"/>
    <cellStyle name="Normal 2 3 3 2 2 3 2 2 2" xfId="5176"/>
    <cellStyle name="Normal 2 3 3 2 2 3 2 2 2 2" xfId="19218"/>
    <cellStyle name="Normal 2 3 3 2 2 3 2 2 2 2 2" xfId="19219"/>
    <cellStyle name="Normal 2 3 3 2 2 3 2 2 2 2 2 2" xfId="19220"/>
    <cellStyle name="Normal 2 3 3 2 2 3 2 2 2 2 3" xfId="19221"/>
    <cellStyle name="Normal 2 3 3 2 2 3 2 2 2 3" xfId="19222"/>
    <cellStyle name="Normal 2 3 3 2 2 3 2 2 2 3 2" xfId="19223"/>
    <cellStyle name="Normal 2 3 3 2 2 3 2 2 2 4" xfId="19224"/>
    <cellStyle name="Normal 2 3 3 2 2 3 2 2 3" xfId="19225"/>
    <cellStyle name="Normal 2 3 3 2 2 3 2 2 3 2" xfId="19226"/>
    <cellStyle name="Normal 2 3 3 2 2 3 2 2 3 2 2" xfId="19227"/>
    <cellStyle name="Normal 2 3 3 2 2 3 2 2 3 3" xfId="19228"/>
    <cellStyle name="Normal 2 3 3 2 2 3 2 2 4" xfId="19229"/>
    <cellStyle name="Normal 2 3 3 2 2 3 2 2 4 2" xfId="19230"/>
    <cellStyle name="Normal 2 3 3 2 2 3 2 2 5" xfId="19231"/>
    <cellStyle name="Normal 2 3 3 2 2 3 2 3" xfId="3816"/>
    <cellStyle name="Normal 2 3 3 2 2 3 2 3 2" xfId="19232"/>
    <cellStyle name="Normal 2 3 3 2 2 3 2 3 2 2" xfId="19233"/>
    <cellStyle name="Normal 2 3 3 2 2 3 2 3 2 2 2" xfId="19234"/>
    <cellStyle name="Normal 2 3 3 2 2 3 2 3 2 3" xfId="19235"/>
    <cellStyle name="Normal 2 3 3 2 2 3 2 3 3" xfId="19236"/>
    <cellStyle name="Normal 2 3 3 2 2 3 2 3 3 2" xfId="19237"/>
    <cellStyle name="Normal 2 3 3 2 2 3 2 3 4" xfId="19238"/>
    <cellStyle name="Normal 2 3 3 2 2 3 2 4" xfId="19239"/>
    <cellStyle name="Normal 2 3 3 2 2 3 2 4 2" xfId="19240"/>
    <cellStyle name="Normal 2 3 3 2 2 3 2 4 2 2" xfId="19241"/>
    <cellStyle name="Normal 2 3 3 2 2 3 2 4 3" xfId="19242"/>
    <cellStyle name="Normal 2 3 3 2 2 3 2 5" xfId="19243"/>
    <cellStyle name="Normal 2 3 3 2 2 3 2 5 2" xfId="19244"/>
    <cellStyle name="Normal 2 3 3 2 2 3 2 6" xfId="19245"/>
    <cellStyle name="Normal 2 3 3 2 2 3 3" xfId="1776"/>
    <cellStyle name="Normal 2 3 3 2 2 3 3 2" xfId="4496"/>
    <cellStyle name="Normal 2 3 3 2 2 3 3 2 2" xfId="19246"/>
    <cellStyle name="Normal 2 3 3 2 2 3 3 2 2 2" xfId="19247"/>
    <cellStyle name="Normal 2 3 3 2 2 3 3 2 2 2 2" xfId="19248"/>
    <cellStyle name="Normal 2 3 3 2 2 3 3 2 2 3" xfId="19249"/>
    <cellStyle name="Normal 2 3 3 2 2 3 3 2 3" xfId="19250"/>
    <cellStyle name="Normal 2 3 3 2 2 3 3 2 3 2" xfId="19251"/>
    <cellStyle name="Normal 2 3 3 2 2 3 3 2 4" xfId="19252"/>
    <cellStyle name="Normal 2 3 3 2 2 3 3 3" xfId="19253"/>
    <cellStyle name="Normal 2 3 3 2 2 3 3 3 2" xfId="19254"/>
    <cellStyle name="Normal 2 3 3 2 2 3 3 3 2 2" xfId="19255"/>
    <cellStyle name="Normal 2 3 3 2 2 3 3 3 3" xfId="19256"/>
    <cellStyle name="Normal 2 3 3 2 2 3 3 4" xfId="19257"/>
    <cellStyle name="Normal 2 3 3 2 2 3 3 4 2" xfId="19258"/>
    <cellStyle name="Normal 2 3 3 2 2 3 3 5" xfId="19259"/>
    <cellStyle name="Normal 2 3 3 2 2 3 4" xfId="3136"/>
    <cellStyle name="Normal 2 3 3 2 2 3 4 2" xfId="19260"/>
    <cellStyle name="Normal 2 3 3 2 2 3 4 2 2" xfId="19261"/>
    <cellStyle name="Normal 2 3 3 2 2 3 4 2 2 2" xfId="19262"/>
    <cellStyle name="Normal 2 3 3 2 2 3 4 2 3" xfId="19263"/>
    <cellStyle name="Normal 2 3 3 2 2 3 4 3" xfId="19264"/>
    <cellStyle name="Normal 2 3 3 2 2 3 4 3 2" xfId="19265"/>
    <cellStyle name="Normal 2 3 3 2 2 3 4 4" xfId="19266"/>
    <cellStyle name="Normal 2 3 3 2 2 3 5" xfId="19267"/>
    <cellStyle name="Normal 2 3 3 2 2 3 5 2" xfId="19268"/>
    <cellStyle name="Normal 2 3 3 2 2 3 5 2 2" xfId="19269"/>
    <cellStyle name="Normal 2 3 3 2 2 3 5 3" xfId="19270"/>
    <cellStyle name="Normal 2 3 3 2 2 3 6" xfId="19271"/>
    <cellStyle name="Normal 2 3 3 2 2 3 6 2" xfId="19272"/>
    <cellStyle name="Normal 2 3 3 2 2 3 7" xfId="19273"/>
    <cellStyle name="Normal 2 3 3 2 2 4" xfId="688"/>
    <cellStyle name="Normal 2 3 3 2 2 4 2" xfId="1368"/>
    <cellStyle name="Normal 2 3 3 2 2 4 2 2" xfId="2728"/>
    <cellStyle name="Normal 2 3 3 2 2 4 2 2 2" xfId="5448"/>
    <cellStyle name="Normal 2 3 3 2 2 4 2 2 2 2" xfId="19274"/>
    <cellStyle name="Normal 2 3 3 2 2 4 2 2 2 2 2" xfId="19275"/>
    <cellStyle name="Normal 2 3 3 2 2 4 2 2 2 2 2 2" xfId="19276"/>
    <cellStyle name="Normal 2 3 3 2 2 4 2 2 2 2 3" xfId="19277"/>
    <cellStyle name="Normal 2 3 3 2 2 4 2 2 2 3" xfId="19278"/>
    <cellStyle name="Normal 2 3 3 2 2 4 2 2 2 3 2" xfId="19279"/>
    <cellStyle name="Normal 2 3 3 2 2 4 2 2 2 4" xfId="19280"/>
    <cellStyle name="Normal 2 3 3 2 2 4 2 2 3" xfId="19281"/>
    <cellStyle name="Normal 2 3 3 2 2 4 2 2 3 2" xfId="19282"/>
    <cellStyle name="Normal 2 3 3 2 2 4 2 2 3 2 2" xfId="19283"/>
    <cellStyle name="Normal 2 3 3 2 2 4 2 2 3 3" xfId="19284"/>
    <cellStyle name="Normal 2 3 3 2 2 4 2 2 4" xfId="19285"/>
    <cellStyle name="Normal 2 3 3 2 2 4 2 2 4 2" xfId="19286"/>
    <cellStyle name="Normal 2 3 3 2 2 4 2 2 5" xfId="19287"/>
    <cellStyle name="Normal 2 3 3 2 2 4 2 3" xfId="4088"/>
    <cellStyle name="Normal 2 3 3 2 2 4 2 3 2" xfId="19288"/>
    <cellStyle name="Normal 2 3 3 2 2 4 2 3 2 2" xfId="19289"/>
    <cellStyle name="Normal 2 3 3 2 2 4 2 3 2 2 2" xfId="19290"/>
    <cellStyle name="Normal 2 3 3 2 2 4 2 3 2 3" xfId="19291"/>
    <cellStyle name="Normal 2 3 3 2 2 4 2 3 3" xfId="19292"/>
    <cellStyle name="Normal 2 3 3 2 2 4 2 3 3 2" xfId="19293"/>
    <cellStyle name="Normal 2 3 3 2 2 4 2 3 4" xfId="19294"/>
    <cellStyle name="Normal 2 3 3 2 2 4 2 4" xfId="19295"/>
    <cellStyle name="Normal 2 3 3 2 2 4 2 4 2" xfId="19296"/>
    <cellStyle name="Normal 2 3 3 2 2 4 2 4 2 2" xfId="19297"/>
    <cellStyle name="Normal 2 3 3 2 2 4 2 4 3" xfId="19298"/>
    <cellStyle name="Normal 2 3 3 2 2 4 2 5" xfId="19299"/>
    <cellStyle name="Normal 2 3 3 2 2 4 2 5 2" xfId="19300"/>
    <cellStyle name="Normal 2 3 3 2 2 4 2 6" xfId="19301"/>
    <cellStyle name="Normal 2 3 3 2 2 4 3" xfId="2048"/>
    <cellStyle name="Normal 2 3 3 2 2 4 3 2" xfId="4768"/>
    <cellStyle name="Normal 2 3 3 2 2 4 3 2 2" xfId="19302"/>
    <cellStyle name="Normal 2 3 3 2 2 4 3 2 2 2" xfId="19303"/>
    <cellStyle name="Normal 2 3 3 2 2 4 3 2 2 2 2" xfId="19304"/>
    <cellStyle name="Normal 2 3 3 2 2 4 3 2 2 3" xfId="19305"/>
    <cellStyle name="Normal 2 3 3 2 2 4 3 2 3" xfId="19306"/>
    <cellStyle name="Normal 2 3 3 2 2 4 3 2 3 2" xfId="19307"/>
    <cellStyle name="Normal 2 3 3 2 2 4 3 2 4" xfId="19308"/>
    <cellStyle name="Normal 2 3 3 2 2 4 3 3" xfId="19309"/>
    <cellStyle name="Normal 2 3 3 2 2 4 3 3 2" xfId="19310"/>
    <cellStyle name="Normal 2 3 3 2 2 4 3 3 2 2" xfId="19311"/>
    <cellStyle name="Normal 2 3 3 2 2 4 3 3 3" xfId="19312"/>
    <cellStyle name="Normal 2 3 3 2 2 4 3 4" xfId="19313"/>
    <cellStyle name="Normal 2 3 3 2 2 4 3 4 2" xfId="19314"/>
    <cellStyle name="Normal 2 3 3 2 2 4 3 5" xfId="19315"/>
    <cellStyle name="Normal 2 3 3 2 2 4 4" xfId="3408"/>
    <cellStyle name="Normal 2 3 3 2 2 4 4 2" xfId="19316"/>
    <cellStyle name="Normal 2 3 3 2 2 4 4 2 2" xfId="19317"/>
    <cellStyle name="Normal 2 3 3 2 2 4 4 2 2 2" xfId="19318"/>
    <cellStyle name="Normal 2 3 3 2 2 4 4 2 3" xfId="19319"/>
    <cellStyle name="Normal 2 3 3 2 2 4 4 3" xfId="19320"/>
    <cellStyle name="Normal 2 3 3 2 2 4 4 3 2" xfId="19321"/>
    <cellStyle name="Normal 2 3 3 2 2 4 4 4" xfId="19322"/>
    <cellStyle name="Normal 2 3 3 2 2 4 5" xfId="19323"/>
    <cellStyle name="Normal 2 3 3 2 2 4 5 2" xfId="19324"/>
    <cellStyle name="Normal 2 3 3 2 2 4 5 2 2" xfId="19325"/>
    <cellStyle name="Normal 2 3 3 2 2 4 5 3" xfId="19326"/>
    <cellStyle name="Normal 2 3 3 2 2 4 6" xfId="19327"/>
    <cellStyle name="Normal 2 3 3 2 2 4 6 2" xfId="19328"/>
    <cellStyle name="Normal 2 3 3 2 2 4 7" xfId="19329"/>
    <cellStyle name="Normal 2 3 3 2 2 5" xfId="824"/>
    <cellStyle name="Normal 2 3 3 2 2 5 2" xfId="2184"/>
    <cellStyle name="Normal 2 3 3 2 2 5 2 2" xfId="4904"/>
    <cellStyle name="Normal 2 3 3 2 2 5 2 2 2" xfId="19330"/>
    <cellStyle name="Normal 2 3 3 2 2 5 2 2 2 2" xfId="19331"/>
    <cellStyle name="Normal 2 3 3 2 2 5 2 2 2 2 2" xfId="19332"/>
    <cellStyle name="Normal 2 3 3 2 2 5 2 2 2 3" xfId="19333"/>
    <cellStyle name="Normal 2 3 3 2 2 5 2 2 3" xfId="19334"/>
    <cellStyle name="Normal 2 3 3 2 2 5 2 2 3 2" xfId="19335"/>
    <cellStyle name="Normal 2 3 3 2 2 5 2 2 4" xfId="19336"/>
    <cellStyle name="Normal 2 3 3 2 2 5 2 3" xfId="19337"/>
    <cellStyle name="Normal 2 3 3 2 2 5 2 3 2" xfId="19338"/>
    <cellStyle name="Normal 2 3 3 2 2 5 2 3 2 2" xfId="19339"/>
    <cellStyle name="Normal 2 3 3 2 2 5 2 3 3" xfId="19340"/>
    <cellStyle name="Normal 2 3 3 2 2 5 2 4" xfId="19341"/>
    <cellStyle name="Normal 2 3 3 2 2 5 2 4 2" xfId="19342"/>
    <cellStyle name="Normal 2 3 3 2 2 5 2 5" xfId="19343"/>
    <cellStyle name="Normal 2 3 3 2 2 5 3" xfId="3544"/>
    <cellStyle name="Normal 2 3 3 2 2 5 3 2" xfId="19344"/>
    <cellStyle name="Normal 2 3 3 2 2 5 3 2 2" xfId="19345"/>
    <cellStyle name="Normal 2 3 3 2 2 5 3 2 2 2" xfId="19346"/>
    <cellStyle name="Normal 2 3 3 2 2 5 3 2 3" xfId="19347"/>
    <cellStyle name="Normal 2 3 3 2 2 5 3 3" xfId="19348"/>
    <cellStyle name="Normal 2 3 3 2 2 5 3 3 2" xfId="19349"/>
    <cellStyle name="Normal 2 3 3 2 2 5 3 4" xfId="19350"/>
    <cellStyle name="Normal 2 3 3 2 2 5 4" xfId="19351"/>
    <cellStyle name="Normal 2 3 3 2 2 5 4 2" xfId="19352"/>
    <cellStyle name="Normal 2 3 3 2 2 5 4 2 2" xfId="19353"/>
    <cellStyle name="Normal 2 3 3 2 2 5 4 3" xfId="19354"/>
    <cellStyle name="Normal 2 3 3 2 2 5 5" xfId="19355"/>
    <cellStyle name="Normal 2 3 3 2 2 5 5 2" xfId="19356"/>
    <cellStyle name="Normal 2 3 3 2 2 5 6" xfId="19357"/>
    <cellStyle name="Normal 2 3 3 2 2 6" xfId="1504"/>
    <cellStyle name="Normal 2 3 3 2 2 6 2" xfId="4224"/>
    <cellStyle name="Normal 2 3 3 2 2 6 2 2" xfId="19358"/>
    <cellStyle name="Normal 2 3 3 2 2 6 2 2 2" xfId="19359"/>
    <cellStyle name="Normal 2 3 3 2 2 6 2 2 2 2" xfId="19360"/>
    <cellStyle name="Normal 2 3 3 2 2 6 2 2 3" xfId="19361"/>
    <cellStyle name="Normal 2 3 3 2 2 6 2 3" xfId="19362"/>
    <cellStyle name="Normal 2 3 3 2 2 6 2 3 2" xfId="19363"/>
    <cellStyle name="Normal 2 3 3 2 2 6 2 4" xfId="19364"/>
    <cellStyle name="Normal 2 3 3 2 2 6 3" xfId="19365"/>
    <cellStyle name="Normal 2 3 3 2 2 6 3 2" xfId="19366"/>
    <cellStyle name="Normal 2 3 3 2 2 6 3 2 2" xfId="19367"/>
    <cellStyle name="Normal 2 3 3 2 2 6 3 3" xfId="19368"/>
    <cellStyle name="Normal 2 3 3 2 2 6 4" xfId="19369"/>
    <cellStyle name="Normal 2 3 3 2 2 6 4 2" xfId="19370"/>
    <cellStyle name="Normal 2 3 3 2 2 6 5" xfId="19371"/>
    <cellStyle name="Normal 2 3 3 2 2 7" xfId="2864"/>
    <cellStyle name="Normal 2 3 3 2 2 7 2" xfId="19372"/>
    <cellStyle name="Normal 2 3 3 2 2 7 2 2" xfId="19373"/>
    <cellStyle name="Normal 2 3 3 2 2 7 2 2 2" xfId="19374"/>
    <cellStyle name="Normal 2 3 3 2 2 7 2 3" xfId="19375"/>
    <cellStyle name="Normal 2 3 3 2 2 7 3" xfId="19376"/>
    <cellStyle name="Normal 2 3 3 2 2 7 3 2" xfId="19377"/>
    <cellStyle name="Normal 2 3 3 2 2 7 4" xfId="19378"/>
    <cellStyle name="Normal 2 3 3 2 2 8" xfId="19379"/>
    <cellStyle name="Normal 2 3 3 2 2 8 2" xfId="19380"/>
    <cellStyle name="Normal 2 3 3 2 2 8 2 2" xfId="19381"/>
    <cellStyle name="Normal 2 3 3 2 2 8 3" xfId="19382"/>
    <cellStyle name="Normal 2 3 3 2 2 9" xfId="19383"/>
    <cellStyle name="Normal 2 3 3 2 2 9 2" xfId="19384"/>
    <cellStyle name="Normal 2 3 3 2 3" xfId="212"/>
    <cellStyle name="Normal 2 3 3 2 3 2" xfId="484"/>
    <cellStyle name="Normal 2 3 3 2 3 2 2" xfId="1164"/>
    <cellStyle name="Normal 2 3 3 2 3 2 2 2" xfId="2524"/>
    <cellStyle name="Normal 2 3 3 2 3 2 2 2 2" xfId="5244"/>
    <cellStyle name="Normal 2 3 3 2 3 2 2 2 2 2" xfId="19385"/>
    <cellStyle name="Normal 2 3 3 2 3 2 2 2 2 2 2" xfId="19386"/>
    <cellStyle name="Normal 2 3 3 2 3 2 2 2 2 2 2 2" xfId="19387"/>
    <cellStyle name="Normal 2 3 3 2 3 2 2 2 2 2 3" xfId="19388"/>
    <cellStyle name="Normal 2 3 3 2 3 2 2 2 2 3" xfId="19389"/>
    <cellStyle name="Normal 2 3 3 2 3 2 2 2 2 3 2" xfId="19390"/>
    <cellStyle name="Normal 2 3 3 2 3 2 2 2 2 4" xfId="19391"/>
    <cellStyle name="Normal 2 3 3 2 3 2 2 2 3" xfId="19392"/>
    <cellStyle name="Normal 2 3 3 2 3 2 2 2 3 2" xfId="19393"/>
    <cellStyle name="Normal 2 3 3 2 3 2 2 2 3 2 2" xfId="19394"/>
    <cellStyle name="Normal 2 3 3 2 3 2 2 2 3 3" xfId="19395"/>
    <cellStyle name="Normal 2 3 3 2 3 2 2 2 4" xfId="19396"/>
    <cellStyle name="Normal 2 3 3 2 3 2 2 2 4 2" xfId="19397"/>
    <cellStyle name="Normal 2 3 3 2 3 2 2 2 5" xfId="19398"/>
    <cellStyle name="Normal 2 3 3 2 3 2 2 3" xfId="3884"/>
    <cellStyle name="Normal 2 3 3 2 3 2 2 3 2" xfId="19399"/>
    <cellStyle name="Normal 2 3 3 2 3 2 2 3 2 2" xfId="19400"/>
    <cellStyle name="Normal 2 3 3 2 3 2 2 3 2 2 2" xfId="19401"/>
    <cellStyle name="Normal 2 3 3 2 3 2 2 3 2 3" xfId="19402"/>
    <cellStyle name="Normal 2 3 3 2 3 2 2 3 3" xfId="19403"/>
    <cellStyle name="Normal 2 3 3 2 3 2 2 3 3 2" xfId="19404"/>
    <cellStyle name="Normal 2 3 3 2 3 2 2 3 4" xfId="19405"/>
    <cellStyle name="Normal 2 3 3 2 3 2 2 4" xfId="19406"/>
    <cellStyle name="Normal 2 3 3 2 3 2 2 4 2" xfId="19407"/>
    <cellStyle name="Normal 2 3 3 2 3 2 2 4 2 2" xfId="19408"/>
    <cellStyle name="Normal 2 3 3 2 3 2 2 4 3" xfId="19409"/>
    <cellStyle name="Normal 2 3 3 2 3 2 2 5" xfId="19410"/>
    <cellStyle name="Normal 2 3 3 2 3 2 2 5 2" xfId="19411"/>
    <cellStyle name="Normal 2 3 3 2 3 2 2 6" xfId="19412"/>
    <cellStyle name="Normal 2 3 3 2 3 2 3" xfId="1844"/>
    <cellStyle name="Normal 2 3 3 2 3 2 3 2" xfId="4564"/>
    <cellStyle name="Normal 2 3 3 2 3 2 3 2 2" xfId="19413"/>
    <cellStyle name="Normal 2 3 3 2 3 2 3 2 2 2" xfId="19414"/>
    <cellStyle name="Normal 2 3 3 2 3 2 3 2 2 2 2" xfId="19415"/>
    <cellStyle name="Normal 2 3 3 2 3 2 3 2 2 3" xfId="19416"/>
    <cellStyle name="Normal 2 3 3 2 3 2 3 2 3" xfId="19417"/>
    <cellStyle name="Normal 2 3 3 2 3 2 3 2 3 2" xfId="19418"/>
    <cellStyle name="Normal 2 3 3 2 3 2 3 2 4" xfId="19419"/>
    <cellStyle name="Normal 2 3 3 2 3 2 3 3" xfId="19420"/>
    <cellStyle name="Normal 2 3 3 2 3 2 3 3 2" xfId="19421"/>
    <cellStyle name="Normal 2 3 3 2 3 2 3 3 2 2" xfId="19422"/>
    <cellStyle name="Normal 2 3 3 2 3 2 3 3 3" xfId="19423"/>
    <cellStyle name="Normal 2 3 3 2 3 2 3 4" xfId="19424"/>
    <cellStyle name="Normal 2 3 3 2 3 2 3 4 2" xfId="19425"/>
    <cellStyle name="Normal 2 3 3 2 3 2 3 5" xfId="19426"/>
    <cellStyle name="Normal 2 3 3 2 3 2 4" xfId="3204"/>
    <cellStyle name="Normal 2 3 3 2 3 2 4 2" xfId="19427"/>
    <cellStyle name="Normal 2 3 3 2 3 2 4 2 2" xfId="19428"/>
    <cellStyle name="Normal 2 3 3 2 3 2 4 2 2 2" xfId="19429"/>
    <cellStyle name="Normal 2 3 3 2 3 2 4 2 3" xfId="19430"/>
    <cellStyle name="Normal 2 3 3 2 3 2 4 3" xfId="19431"/>
    <cellStyle name="Normal 2 3 3 2 3 2 4 3 2" xfId="19432"/>
    <cellStyle name="Normal 2 3 3 2 3 2 4 4" xfId="19433"/>
    <cellStyle name="Normal 2 3 3 2 3 2 5" xfId="19434"/>
    <cellStyle name="Normal 2 3 3 2 3 2 5 2" xfId="19435"/>
    <cellStyle name="Normal 2 3 3 2 3 2 5 2 2" xfId="19436"/>
    <cellStyle name="Normal 2 3 3 2 3 2 5 3" xfId="19437"/>
    <cellStyle name="Normal 2 3 3 2 3 2 6" xfId="19438"/>
    <cellStyle name="Normal 2 3 3 2 3 2 6 2" xfId="19439"/>
    <cellStyle name="Normal 2 3 3 2 3 2 7" xfId="19440"/>
    <cellStyle name="Normal 2 3 3 2 3 3" xfId="892"/>
    <cellStyle name="Normal 2 3 3 2 3 3 2" xfId="2252"/>
    <cellStyle name="Normal 2 3 3 2 3 3 2 2" xfId="4972"/>
    <cellStyle name="Normal 2 3 3 2 3 3 2 2 2" xfId="19441"/>
    <cellStyle name="Normal 2 3 3 2 3 3 2 2 2 2" xfId="19442"/>
    <cellStyle name="Normal 2 3 3 2 3 3 2 2 2 2 2" xfId="19443"/>
    <cellStyle name="Normal 2 3 3 2 3 3 2 2 2 3" xfId="19444"/>
    <cellStyle name="Normal 2 3 3 2 3 3 2 2 3" xfId="19445"/>
    <cellStyle name="Normal 2 3 3 2 3 3 2 2 3 2" xfId="19446"/>
    <cellStyle name="Normal 2 3 3 2 3 3 2 2 4" xfId="19447"/>
    <cellStyle name="Normal 2 3 3 2 3 3 2 3" xfId="19448"/>
    <cellStyle name="Normal 2 3 3 2 3 3 2 3 2" xfId="19449"/>
    <cellStyle name="Normal 2 3 3 2 3 3 2 3 2 2" xfId="19450"/>
    <cellStyle name="Normal 2 3 3 2 3 3 2 3 3" xfId="19451"/>
    <cellStyle name="Normal 2 3 3 2 3 3 2 4" xfId="19452"/>
    <cellStyle name="Normal 2 3 3 2 3 3 2 4 2" xfId="19453"/>
    <cellStyle name="Normal 2 3 3 2 3 3 2 5" xfId="19454"/>
    <cellStyle name="Normal 2 3 3 2 3 3 3" xfId="3612"/>
    <cellStyle name="Normal 2 3 3 2 3 3 3 2" xfId="19455"/>
    <cellStyle name="Normal 2 3 3 2 3 3 3 2 2" xfId="19456"/>
    <cellStyle name="Normal 2 3 3 2 3 3 3 2 2 2" xfId="19457"/>
    <cellStyle name="Normal 2 3 3 2 3 3 3 2 3" xfId="19458"/>
    <cellStyle name="Normal 2 3 3 2 3 3 3 3" xfId="19459"/>
    <cellStyle name="Normal 2 3 3 2 3 3 3 3 2" xfId="19460"/>
    <cellStyle name="Normal 2 3 3 2 3 3 3 4" xfId="19461"/>
    <cellStyle name="Normal 2 3 3 2 3 3 4" xfId="19462"/>
    <cellStyle name="Normal 2 3 3 2 3 3 4 2" xfId="19463"/>
    <cellStyle name="Normal 2 3 3 2 3 3 4 2 2" xfId="19464"/>
    <cellStyle name="Normal 2 3 3 2 3 3 4 3" xfId="19465"/>
    <cellStyle name="Normal 2 3 3 2 3 3 5" xfId="19466"/>
    <cellStyle name="Normal 2 3 3 2 3 3 5 2" xfId="19467"/>
    <cellStyle name="Normal 2 3 3 2 3 3 6" xfId="19468"/>
    <cellStyle name="Normal 2 3 3 2 3 4" xfId="1572"/>
    <cellStyle name="Normal 2 3 3 2 3 4 2" xfId="4292"/>
    <cellStyle name="Normal 2 3 3 2 3 4 2 2" xfId="19469"/>
    <cellStyle name="Normal 2 3 3 2 3 4 2 2 2" xfId="19470"/>
    <cellStyle name="Normal 2 3 3 2 3 4 2 2 2 2" xfId="19471"/>
    <cellStyle name="Normal 2 3 3 2 3 4 2 2 3" xfId="19472"/>
    <cellStyle name="Normal 2 3 3 2 3 4 2 3" xfId="19473"/>
    <cellStyle name="Normal 2 3 3 2 3 4 2 3 2" xfId="19474"/>
    <cellStyle name="Normal 2 3 3 2 3 4 2 4" xfId="19475"/>
    <cellStyle name="Normal 2 3 3 2 3 4 3" xfId="19476"/>
    <cellStyle name="Normal 2 3 3 2 3 4 3 2" xfId="19477"/>
    <cellStyle name="Normal 2 3 3 2 3 4 3 2 2" xfId="19478"/>
    <cellStyle name="Normal 2 3 3 2 3 4 3 3" xfId="19479"/>
    <cellStyle name="Normal 2 3 3 2 3 4 4" xfId="19480"/>
    <cellStyle name="Normal 2 3 3 2 3 4 4 2" xfId="19481"/>
    <cellStyle name="Normal 2 3 3 2 3 4 5" xfId="19482"/>
    <cellStyle name="Normal 2 3 3 2 3 5" xfId="2932"/>
    <cellStyle name="Normal 2 3 3 2 3 5 2" xfId="19483"/>
    <cellStyle name="Normal 2 3 3 2 3 5 2 2" xfId="19484"/>
    <cellStyle name="Normal 2 3 3 2 3 5 2 2 2" xfId="19485"/>
    <cellStyle name="Normal 2 3 3 2 3 5 2 3" xfId="19486"/>
    <cellStyle name="Normal 2 3 3 2 3 5 3" xfId="19487"/>
    <cellStyle name="Normal 2 3 3 2 3 5 3 2" xfId="19488"/>
    <cellStyle name="Normal 2 3 3 2 3 5 4" xfId="19489"/>
    <cellStyle name="Normal 2 3 3 2 3 6" xfId="19490"/>
    <cellStyle name="Normal 2 3 3 2 3 6 2" xfId="19491"/>
    <cellStyle name="Normal 2 3 3 2 3 6 2 2" xfId="19492"/>
    <cellStyle name="Normal 2 3 3 2 3 6 3" xfId="19493"/>
    <cellStyle name="Normal 2 3 3 2 3 7" xfId="19494"/>
    <cellStyle name="Normal 2 3 3 2 3 7 2" xfId="19495"/>
    <cellStyle name="Normal 2 3 3 2 3 8" xfId="19496"/>
    <cellStyle name="Normal 2 3 3 2 4" xfId="348"/>
    <cellStyle name="Normal 2 3 3 2 4 2" xfId="1028"/>
    <cellStyle name="Normal 2 3 3 2 4 2 2" xfId="2388"/>
    <cellStyle name="Normal 2 3 3 2 4 2 2 2" xfId="5108"/>
    <cellStyle name="Normal 2 3 3 2 4 2 2 2 2" xfId="19497"/>
    <cellStyle name="Normal 2 3 3 2 4 2 2 2 2 2" xfId="19498"/>
    <cellStyle name="Normal 2 3 3 2 4 2 2 2 2 2 2" xfId="19499"/>
    <cellStyle name="Normal 2 3 3 2 4 2 2 2 2 3" xfId="19500"/>
    <cellStyle name="Normal 2 3 3 2 4 2 2 2 3" xfId="19501"/>
    <cellStyle name="Normal 2 3 3 2 4 2 2 2 3 2" xfId="19502"/>
    <cellStyle name="Normal 2 3 3 2 4 2 2 2 4" xfId="19503"/>
    <cellStyle name="Normal 2 3 3 2 4 2 2 3" xfId="19504"/>
    <cellStyle name="Normal 2 3 3 2 4 2 2 3 2" xfId="19505"/>
    <cellStyle name="Normal 2 3 3 2 4 2 2 3 2 2" xfId="19506"/>
    <cellStyle name="Normal 2 3 3 2 4 2 2 3 3" xfId="19507"/>
    <cellStyle name="Normal 2 3 3 2 4 2 2 4" xfId="19508"/>
    <cellStyle name="Normal 2 3 3 2 4 2 2 4 2" xfId="19509"/>
    <cellStyle name="Normal 2 3 3 2 4 2 2 5" xfId="19510"/>
    <cellStyle name="Normal 2 3 3 2 4 2 3" xfId="3748"/>
    <cellStyle name="Normal 2 3 3 2 4 2 3 2" xfId="19511"/>
    <cellStyle name="Normal 2 3 3 2 4 2 3 2 2" xfId="19512"/>
    <cellStyle name="Normal 2 3 3 2 4 2 3 2 2 2" xfId="19513"/>
    <cellStyle name="Normal 2 3 3 2 4 2 3 2 3" xfId="19514"/>
    <cellStyle name="Normal 2 3 3 2 4 2 3 3" xfId="19515"/>
    <cellStyle name="Normal 2 3 3 2 4 2 3 3 2" xfId="19516"/>
    <cellStyle name="Normal 2 3 3 2 4 2 3 4" xfId="19517"/>
    <cellStyle name="Normal 2 3 3 2 4 2 4" xfId="19518"/>
    <cellStyle name="Normal 2 3 3 2 4 2 4 2" xfId="19519"/>
    <cellStyle name="Normal 2 3 3 2 4 2 4 2 2" xfId="19520"/>
    <cellStyle name="Normal 2 3 3 2 4 2 4 3" xfId="19521"/>
    <cellStyle name="Normal 2 3 3 2 4 2 5" xfId="19522"/>
    <cellStyle name="Normal 2 3 3 2 4 2 5 2" xfId="19523"/>
    <cellStyle name="Normal 2 3 3 2 4 2 6" xfId="19524"/>
    <cellStyle name="Normal 2 3 3 2 4 3" xfId="1708"/>
    <cellStyle name="Normal 2 3 3 2 4 3 2" xfId="4428"/>
    <cellStyle name="Normal 2 3 3 2 4 3 2 2" xfId="19525"/>
    <cellStyle name="Normal 2 3 3 2 4 3 2 2 2" xfId="19526"/>
    <cellStyle name="Normal 2 3 3 2 4 3 2 2 2 2" xfId="19527"/>
    <cellStyle name="Normal 2 3 3 2 4 3 2 2 3" xfId="19528"/>
    <cellStyle name="Normal 2 3 3 2 4 3 2 3" xfId="19529"/>
    <cellStyle name="Normal 2 3 3 2 4 3 2 3 2" xfId="19530"/>
    <cellStyle name="Normal 2 3 3 2 4 3 2 4" xfId="19531"/>
    <cellStyle name="Normal 2 3 3 2 4 3 3" xfId="19532"/>
    <cellStyle name="Normal 2 3 3 2 4 3 3 2" xfId="19533"/>
    <cellStyle name="Normal 2 3 3 2 4 3 3 2 2" xfId="19534"/>
    <cellStyle name="Normal 2 3 3 2 4 3 3 3" xfId="19535"/>
    <cellStyle name="Normal 2 3 3 2 4 3 4" xfId="19536"/>
    <cellStyle name="Normal 2 3 3 2 4 3 4 2" xfId="19537"/>
    <cellStyle name="Normal 2 3 3 2 4 3 5" xfId="19538"/>
    <cellStyle name="Normal 2 3 3 2 4 4" xfId="3068"/>
    <cellStyle name="Normal 2 3 3 2 4 4 2" xfId="19539"/>
    <cellStyle name="Normal 2 3 3 2 4 4 2 2" xfId="19540"/>
    <cellStyle name="Normal 2 3 3 2 4 4 2 2 2" xfId="19541"/>
    <cellStyle name="Normal 2 3 3 2 4 4 2 3" xfId="19542"/>
    <cellStyle name="Normal 2 3 3 2 4 4 3" xfId="19543"/>
    <cellStyle name="Normal 2 3 3 2 4 4 3 2" xfId="19544"/>
    <cellStyle name="Normal 2 3 3 2 4 4 4" xfId="19545"/>
    <cellStyle name="Normal 2 3 3 2 4 5" xfId="19546"/>
    <cellStyle name="Normal 2 3 3 2 4 5 2" xfId="19547"/>
    <cellStyle name="Normal 2 3 3 2 4 5 2 2" xfId="19548"/>
    <cellStyle name="Normal 2 3 3 2 4 5 3" xfId="19549"/>
    <cellStyle name="Normal 2 3 3 2 4 6" xfId="19550"/>
    <cellStyle name="Normal 2 3 3 2 4 6 2" xfId="19551"/>
    <cellStyle name="Normal 2 3 3 2 4 7" xfId="19552"/>
    <cellStyle name="Normal 2 3 3 2 5" xfId="620"/>
    <cellStyle name="Normal 2 3 3 2 5 2" xfId="1300"/>
    <cellStyle name="Normal 2 3 3 2 5 2 2" xfId="2660"/>
    <cellStyle name="Normal 2 3 3 2 5 2 2 2" xfId="5380"/>
    <cellStyle name="Normal 2 3 3 2 5 2 2 2 2" xfId="19553"/>
    <cellStyle name="Normal 2 3 3 2 5 2 2 2 2 2" xfId="19554"/>
    <cellStyle name="Normal 2 3 3 2 5 2 2 2 2 2 2" xfId="19555"/>
    <cellStyle name="Normal 2 3 3 2 5 2 2 2 2 3" xfId="19556"/>
    <cellStyle name="Normal 2 3 3 2 5 2 2 2 3" xfId="19557"/>
    <cellStyle name="Normal 2 3 3 2 5 2 2 2 3 2" xfId="19558"/>
    <cellStyle name="Normal 2 3 3 2 5 2 2 2 4" xfId="19559"/>
    <cellStyle name="Normal 2 3 3 2 5 2 2 3" xfId="19560"/>
    <cellStyle name="Normal 2 3 3 2 5 2 2 3 2" xfId="19561"/>
    <cellStyle name="Normal 2 3 3 2 5 2 2 3 2 2" xfId="19562"/>
    <cellStyle name="Normal 2 3 3 2 5 2 2 3 3" xfId="19563"/>
    <cellStyle name="Normal 2 3 3 2 5 2 2 4" xfId="19564"/>
    <cellStyle name="Normal 2 3 3 2 5 2 2 4 2" xfId="19565"/>
    <cellStyle name="Normal 2 3 3 2 5 2 2 5" xfId="19566"/>
    <cellStyle name="Normal 2 3 3 2 5 2 3" xfId="4020"/>
    <cellStyle name="Normal 2 3 3 2 5 2 3 2" xfId="19567"/>
    <cellStyle name="Normal 2 3 3 2 5 2 3 2 2" xfId="19568"/>
    <cellStyle name="Normal 2 3 3 2 5 2 3 2 2 2" xfId="19569"/>
    <cellStyle name="Normal 2 3 3 2 5 2 3 2 3" xfId="19570"/>
    <cellStyle name="Normal 2 3 3 2 5 2 3 3" xfId="19571"/>
    <cellStyle name="Normal 2 3 3 2 5 2 3 3 2" xfId="19572"/>
    <cellStyle name="Normal 2 3 3 2 5 2 3 4" xfId="19573"/>
    <cellStyle name="Normal 2 3 3 2 5 2 4" xfId="19574"/>
    <cellStyle name="Normal 2 3 3 2 5 2 4 2" xfId="19575"/>
    <cellStyle name="Normal 2 3 3 2 5 2 4 2 2" xfId="19576"/>
    <cellStyle name="Normal 2 3 3 2 5 2 4 3" xfId="19577"/>
    <cellStyle name="Normal 2 3 3 2 5 2 5" xfId="19578"/>
    <cellStyle name="Normal 2 3 3 2 5 2 5 2" xfId="19579"/>
    <cellStyle name="Normal 2 3 3 2 5 2 6" xfId="19580"/>
    <cellStyle name="Normal 2 3 3 2 5 3" xfId="1980"/>
    <cellStyle name="Normal 2 3 3 2 5 3 2" xfId="4700"/>
    <cellStyle name="Normal 2 3 3 2 5 3 2 2" xfId="19581"/>
    <cellStyle name="Normal 2 3 3 2 5 3 2 2 2" xfId="19582"/>
    <cellStyle name="Normal 2 3 3 2 5 3 2 2 2 2" xfId="19583"/>
    <cellStyle name="Normal 2 3 3 2 5 3 2 2 3" xfId="19584"/>
    <cellStyle name="Normal 2 3 3 2 5 3 2 3" xfId="19585"/>
    <cellStyle name="Normal 2 3 3 2 5 3 2 3 2" xfId="19586"/>
    <cellStyle name="Normal 2 3 3 2 5 3 2 4" xfId="19587"/>
    <cellStyle name="Normal 2 3 3 2 5 3 3" xfId="19588"/>
    <cellStyle name="Normal 2 3 3 2 5 3 3 2" xfId="19589"/>
    <cellStyle name="Normal 2 3 3 2 5 3 3 2 2" xfId="19590"/>
    <cellStyle name="Normal 2 3 3 2 5 3 3 3" xfId="19591"/>
    <cellStyle name="Normal 2 3 3 2 5 3 4" xfId="19592"/>
    <cellStyle name="Normal 2 3 3 2 5 3 4 2" xfId="19593"/>
    <cellStyle name="Normal 2 3 3 2 5 3 5" xfId="19594"/>
    <cellStyle name="Normal 2 3 3 2 5 4" xfId="3340"/>
    <cellStyle name="Normal 2 3 3 2 5 4 2" xfId="19595"/>
    <cellStyle name="Normal 2 3 3 2 5 4 2 2" xfId="19596"/>
    <cellStyle name="Normal 2 3 3 2 5 4 2 2 2" xfId="19597"/>
    <cellStyle name="Normal 2 3 3 2 5 4 2 3" xfId="19598"/>
    <cellStyle name="Normal 2 3 3 2 5 4 3" xfId="19599"/>
    <cellStyle name="Normal 2 3 3 2 5 4 3 2" xfId="19600"/>
    <cellStyle name="Normal 2 3 3 2 5 4 4" xfId="19601"/>
    <cellStyle name="Normal 2 3 3 2 5 5" xfId="19602"/>
    <cellStyle name="Normal 2 3 3 2 5 5 2" xfId="19603"/>
    <cellStyle name="Normal 2 3 3 2 5 5 2 2" xfId="19604"/>
    <cellStyle name="Normal 2 3 3 2 5 5 3" xfId="19605"/>
    <cellStyle name="Normal 2 3 3 2 5 6" xfId="19606"/>
    <cellStyle name="Normal 2 3 3 2 5 6 2" xfId="19607"/>
    <cellStyle name="Normal 2 3 3 2 5 7" xfId="19608"/>
    <cellStyle name="Normal 2 3 3 2 6" xfId="756"/>
    <cellStyle name="Normal 2 3 3 2 6 2" xfId="2116"/>
    <cellStyle name="Normal 2 3 3 2 6 2 2" xfId="4836"/>
    <cellStyle name="Normal 2 3 3 2 6 2 2 2" xfId="19609"/>
    <cellStyle name="Normal 2 3 3 2 6 2 2 2 2" xfId="19610"/>
    <cellStyle name="Normal 2 3 3 2 6 2 2 2 2 2" xfId="19611"/>
    <cellStyle name="Normal 2 3 3 2 6 2 2 2 3" xfId="19612"/>
    <cellStyle name="Normal 2 3 3 2 6 2 2 3" xfId="19613"/>
    <cellStyle name="Normal 2 3 3 2 6 2 2 3 2" xfId="19614"/>
    <cellStyle name="Normal 2 3 3 2 6 2 2 4" xfId="19615"/>
    <cellStyle name="Normal 2 3 3 2 6 2 3" xfId="19616"/>
    <cellStyle name="Normal 2 3 3 2 6 2 3 2" xfId="19617"/>
    <cellStyle name="Normal 2 3 3 2 6 2 3 2 2" xfId="19618"/>
    <cellStyle name="Normal 2 3 3 2 6 2 3 3" xfId="19619"/>
    <cellStyle name="Normal 2 3 3 2 6 2 4" xfId="19620"/>
    <cellStyle name="Normal 2 3 3 2 6 2 4 2" xfId="19621"/>
    <cellStyle name="Normal 2 3 3 2 6 2 5" xfId="19622"/>
    <cellStyle name="Normal 2 3 3 2 6 3" xfId="3476"/>
    <cellStyle name="Normal 2 3 3 2 6 3 2" xfId="19623"/>
    <cellStyle name="Normal 2 3 3 2 6 3 2 2" xfId="19624"/>
    <cellStyle name="Normal 2 3 3 2 6 3 2 2 2" xfId="19625"/>
    <cellStyle name="Normal 2 3 3 2 6 3 2 3" xfId="19626"/>
    <cellStyle name="Normal 2 3 3 2 6 3 3" xfId="19627"/>
    <cellStyle name="Normal 2 3 3 2 6 3 3 2" xfId="19628"/>
    <cellStyle name="Normal 2 3 3 2 6 3 4" xfId="19629"/>
    <cellStyle name="Normal 2 3 3 2 6 4" xfId="19630"/>
    <cellStyle name="Normal 2 3 3 2 6 4 2" xfId="19631"/>
    <cellStyle name="Normal 2 3 3 2 6 4 2 2" xfId="19632"/>
    <cellStyle name="Normal 2 3 3 2 6 4 3" xfId="19633"/>
    <cellStyle name="Normal 2 3 3 2 6 5" xfId="19634"/>
    <cellStyle name="Normal 2 3 3 2 6 5 2" xfId="19635"/>
    <cellStyle name="Normal 2 3 3 2 6 6" xfId="19636"/>
    <cellStyle name="Normal 2 3 3 2 7" xfId="1436"/>
    <cellStyle name="Normal 2 3 3 2 7 2" xfId="4156"/>
    <cellStyle name="Normal 2 3 3 2 7 2 2" xfId="19637"/>
    <cellStyle name="Normal 2 3 3 2 7 2 2 2" xfId="19638"/>
    <cellStyle name="Normal 2 3 3 2 7 2 2 2 2" xfId="19639"/>
    <cellStyle name="Normal 2 3 3 2 7 2 2 3" xfId="19640"/>
    <cellStyle name="Normal 2 3 3 2 7 2 3" xfId="19641"/>
    <cellStyle name="Normal 2 3 3 2 7 2 3 2" xfId="19642"/>
    <cellStyle name="Normal 2 3 3 2 7 2 4" xfId="19643"/>
    <cellStyle name="Normal 2 3 3 2 7 3" xfId="19644"/>
    <cellStyle name="Normal 2 3 3 2 7 3 2" xfId="19645"/>
    <cellStyle name="Normal 2 3 3 2 7 3 2 2" xfId="19646"/>
    <cellStyle name="Normal 2 3 3 2 7 3 3" xfId="19647"/>
    <cellStyle name="Normal 2 3 3 2 7 4" xfId="19648"/>
    <cellStyle name="Normal 2 3 3 2 7 4 2" xfId="19649"/>
    <cellStyle name="Normal 2 3 3 2 7 5" xfId="19650"/>
    <cellStyle name="Normal 2 3 3 2 8" xfId="2796"/>
    <cellStyle name="Normal 2 3 3 2 8 2" xfId="19651"/>
    <cellStyle name="Normal 2 3 3 2 8 2 2" xfId="19652"/>
    <cellStyle name="Normal 2 3 3 2 8 2 2 2" xfId="19653"/>
    <cellStyle name="Normal 2 3 3 2 8 2 3" xfId="19654"/>
    <cellStyle name="Normal 2 3 3 2 8 3" xfId="19655"/>
    <cellStyle name="Normal 2 3 3 2 8 3 2" xfId="19656"/>
    <cellStyle name="Normal 2 3 3 2 8 4" xfId="19657"/>
    <cellStyle name="Normal 2 3 3 2 9" xfId="19658"/>
    <cellStyle name="Normal 2 3 3 2 9 2" xfId="19659"/>
    <cellStyle name="Normal 2 3 3 2 9 2 2" xfId="19660"/>
    <cellStyle name="Normal 2 3 3 2 9 3" xfId="19661"/>
    <cellStyle name="Normal 2 3 3 3" xfId="109"/>
    <cellStyle name="Normal 2 3 3 3 10" xfId="19662"/>
    <cellStyle name="Normal 2 3 3 3 2" xfId="246"/>
    <cellStyle name="Normal 2 3 3 3 2 2" xfId="518"/>
    <cellStyle name="Normal 2 3 3 3 2 2 2" xfId="1198"/>
    <cellStyle name="Normal 2 3 3 3 2 2 2 2" xfId="2558"/>
    <cellStyle name="Normal 2 3 3 3 2 2 2 2 2" xfId="5278"/>
    <cellStyle name="Normal 2 3 3 3 2 2 2 2 2 2" xfId="19663"/>
    <cellStyle name="Normal 2 3 3 3 2 2 2 2 2 2 2" xfId="19664"/>
    <cellStyle name="Normal 2 3 3 3 2 2 2 2 2 2 2 2" xfId="19665"/>
    <cellStyle name="Normal 2 3 3 3 2 2 2 2 2 2 3" xfId="19666"/>
    <cellStyle name="Normal 2 3 3 3 2 2 2 2 2 3" xfId="19667"/>
    <cellStyle name="Normal 2 3 3 3 2 2 2 2 2 3 2" xfId="19668"/>
    <cellStyle name="Normal 2 3 3 3 2 2 2 2 2 4" xfId="19669"/>
    <cellStyle name="Normal 2 3 3 3 2 2 2 2 3" xfId="19670"/>
    <cellStyle name="Normal 2 3 3 3 2 2 2 2 3 2" xfId="19671"/>
    <cellStyle name="Normal 2 3 3 3 2 2 2 2 3 2 2" xfId="19672"/>
    <cellStyle name="Normal 2 3 3 3 2 2 2 2 3 3" xfId="19673"/>
    <cellStyle name="Normal 2 3 3 3 2 2 2 2 4" xfId="19674"/>
    <cellStyle name="Normal 2 3 3 3 2 2 2 2 4 2" xfId="19675"/>
    <cellStyle name="Normal 2 3 3 3 2 2 2 2 5" xfId="19676"/>
    <cellStyle name="Normal 2 3 3 3 2 2 2 3" xfId="3918"/>
    <cellStyle name="Normal 2 3 3 3 2 2 2 3 2" xfId="19677"/>
    <cellStyle name="Normal 2 3 3 3 2 2 2 3 2 2" xfId="19678"/>
    <cellStyle name="Normal 2 3 3 3 2 2 2 3 2 2 2" xfId="19679"/>
    <cellStyle name="Normal 2 3 3 3 2 2 2 3 2 3" xfId="19680"/>
    <cellStyle name="Normal 2 3 3 3 2 2 2 3 3" xfId="19681"/>
    <cellStyle name="Normal 2 3 3 3 2 2 2 3 3 2" xfId="19682"/>
    <cellStyle name="Normal 2 3 3 3 2 2 2 3 4" xfId="19683"/>
    <cellStyle name="Normal 2 3 3 3 2 2 2 4" xfId="19684"/>
    <cellStyle name="Normal 2 3 3 3 2 2 2 4 2" xfId="19685"/>
    <cellStyle name="Normal 2 3 3 3 2 2 2 4 2 2" xfId="19686"/>
    <cellStyle name="Normal 2 3 3 3 2 2 2 4 3" xfId="19687"/>
    <cellStyle name="Normal 2 3 3 3 2 2 2 5" xfId="19688"/>
    <cellStyle name="Normal 2 3 3 3 2 2 2 5 2" xfId="19689"/>
    <cellStyle name="Normal 2 3 3 3 2 2 2 6" xfId="19690"/>
    <cellStyle name="Normal 2 3 3 3 2 2 3" xfId="1878"/>
    <cellStyle name="Normal 2 3 3 3 2 2 3 2" xfId="4598"/>
    <cellStyle name="Normal 2 3 3 3 2 2 3 2 2" xfId="19691"/>
    <cellStyle name="Normal 2 3 3 3 2 2 3 2 2 2" xfId="19692"/>
    <cellStyle name="Normal 2 3 3 3 2 2 3 2 2 2 2" xfId="19693"/>
    <cellStyle name="Normal 2 3 3 3 2 2 3 2 2 3" xfId="19694"/>
    <cellStyle name="Normal 2 3 3 3 2 2 3 2 3" xfId="19695"/>
    <cellStyle name="Normal 2 3 3 3 2 2 3 2 3 2" xfId="19696"/>
    <cellStyle name="Normal 2 3 3 3 2 2 3 2 4" xfId="19697"/>
    <cellStyle name="Normal 2 3 3 3 2 2 3 3" xfId="19698"/>
    <cellStyle name="Normal 2 3 3 3 2 2 3 3 2" xfId="19699"/>
    <cellStyle name="Normal 2 3 3 3 2 2 3 3 2 2" xfId="19700"/>
    <cellStyle name="Normal 2 3 3 3 2 2 3 3 3" xfId="19701"/>
    <cellStyle name="Normal 2 3 3 3 2 2 3 4" xfId="19702"/>
    <cellStyle name="Normal 2 3 3 3 2 2 3 4 2" xfId="19703"/>
    <cellStyle name="Normal 2 3 3 3 2 2 3 5" xfId="19704"/>
    <cellStyle name="Normal 2 3 3 3 2 2 4" xfId="3238"/>
    <cellStyle name="Normal 2 3 3 3 2 2 4 2" xfId="19705"/>
    <cellStyle name="Normal 2 3 3 3 2 2 4 2 2" xfId="19706"/>
    <cellStyle name="Normal 2 3 3 3 2 2 4 2 2 2" xfId="19707"/>
    <cellStyle name="Normal 2 3 3 3 2 2 4 2 3" xfId="19708"/>
    <cellStyle name="Normal 2 3 3 3 2 2 4 3" xfId="19709"/>
    <cellStyle name="Normal 2 3 3 3 2 2 4 3 2" xfId="19710"/>
    <cellStyle name="Normal 2 3 3 3 2 2 4 4" xfId="19711"/>
    <cellStyle name="Normal 2 3 3 3 2 2 5" xfId="19712"/>
    <cellStyle name="Normal 2 3 3 3 2 2 5 2" xfId="19713"/>
    <cellStyle name="Normal 2 3 3 3 2 2 5 2 2" xfId="19714"/>
    <cellStyle name="Normal 2 3 3 3 2 2 5 3" xfId="19715"/>
    <cellStyle name="Normal 2 3 3 3 2 2 6" xfId="19716"/>
    <cellStyle name="Normal 2 3 3 3 2 2 6 2" xfId="19717"/>
    <cellStyle name="Normal 2 3 3 3 2 2 7" xfId="19718"/>
    <cellStyle name="Normal 2 3 3 3 2 3" xfId="926"/>
    <cellStyle name="Normal 2 3 3 3 2 3 2" xfId="2286"/>
    <cellStyle name="Normal 2 3 3 3 2 3 2 2" xfId="5006"/>
    <cellStyle name="Normal 2 3 3 3 2 3 2 2 2" xfId="19719"/>
    <cellStyle name="Normal 2 3 3 3 2 3 2 2 2 2" xfId="19720"/>
    <cellStyle name="Normal 2 3 3 3 2 3 2 2 2 2 2" xfId="19721"/>
    <cellStyle name="Normal 2 3 3 3 2 3 2 2 2 3" xfId="19722"/>
    <cellStyle name="Normal 2 3 3 3 2 3 2 2 3" xfId="19723"/>
    <cellStyle name="Normal 2 3 3 3 2 3 2 2 3 2" xfId="19724"/>
    <cellStyle name="Normal 2 3 3 3 2 3 2 2 4" xfId="19725"/>
    <cellStyle name="Normal 2 3 3 3 2 3 2 3" xfId="19726"/>
    <cellStyle name="Normal 2 3 3 3 2 3 2 3 2" xfId="19727"/>
    <cellStyle name="Normal 2 3 3 3 2 3 2 3 2 2" xfId="19728"/>
    <cellStyle name="Normal 2 3 3 3 2 3 2 3 3" xfId="19729"/>
    <cellStyle name="Normal 2 3 3 3 2 3 2 4" xfId="19730"/>
    <cellStyle name="Normal 2 3 3 3 2 3 2 4 2" xfId="19731"/>
    <cellStyle name="Normal 2 3 3 3 2 3 2 5" xfId="19732"/>
    <cellStyle name="Normal 2 3 3 3 2 3 3" xfId="3646"/>
    <cellStyle name="Normal 2 3 3 3 2 3 3 2" xfId="19733"/>
    <cellStyle name="Normal 2 3 3 3 2 3 3 2 2" xfId="19734"/>
    <cellStyle name="Normal 2 3 3 3 2 3 3 2 2 2" xfId="19735"/>
    <cellStyle name="Normal 2 3 3 3 2 3 3 2 3" xfId="19736"/>
    <cellStyle name="Normal 2 3 3 3 2 3 3 3" xfId="19737"/>
    <cellStyle name="Normal 2 3 3 3 2 3 3 3 2" xfId="19738"/>
    <cellStyle name="Normal 2 3 3 3 2 3 3 4" xfId="19739"/>
    <cellStyle name="Normal 2 3 3 3 2 3 4" xfId="19740"/>
    <cellStyle name="Normal 2 3 3 3 2 3 4 2" xfId="19741"/>
    <cellStyle name="Normal 2 3 3 3 2 3 4 2 2" xfId="19742"/>
    <cellStyle name="Normal 2 3 3 3 2 3 4 3" xfId="19743"/>
    <cellStyle name="Normal 2 3 3 3 2 3 5" xfId="19744"/>
    <cellStyle name="Normal 2 3 3 3 2 3 5 2" xfId="19745"/>
    <cellStyle name="Normal 2 3 3 3 2 3 6" xfId="19746"/>
    <cellStyle name="Normal 2 3 3 3 2 4" xfId="1606"/>
    <cellStyle name="Normal 2 3 3 3 2 4 2" xfId="4326"/>
    <cellStyle name="Normal 2 3 3 3 2 4 2 2" xfId="19747"/>
    <cellStyle name="Normal 2 3 3 3 2 4 2 2 2" xfId="19748"/>
    <cellStyle name="Normal 2 3 3 3 2 4 2 2 2 2" xfId="19749"/>
    <cellStyle name="Normal 2 3 3 3 2 4 2 2 3" xfId="19750"/>
    <cellStyle name="Normal 2 3 3 3 2 4 2 3" xfId="19751"/>
    <cellStyle name="Normal 2 3 3 3 2 4 2 3 2" xfId="19752"/>
    <cellStyle name="Normal 2 3 3 3 2 4 2 4" xfId="19753"/>
    <cellStyle name="Normal 2 3 3 3 2 4 3" xfId="19754"/>
    <cellStyle name="Normal 2 3 3 3 2 4 3 2" xfId="19755"/>
    <cellStyle name="Normal 2 3 3 3 2 4 3 2 2" xfId="19756"/>
    <cellStyle name="Normal 2 3 3 3 2 4 3 3" xfId="19757"/>
    <cellStyle name="Normal 2 3 3 3 2 4 4" xfId="19758"/>
    <cellStyle name="Normal 2 3 3 3 2 4 4 2" xfId="19759"/>
    <cellStyle name="Normal 2 3 3 3 2 4 5" xfId="19760"/>
    <cellStyle name="Normal 2 3 3 3 2 5" xfId="2966"/>
    <cellStyle name="Normal 2 3 3 3 2 5 2" xfId="19761"/>
    <cellStyle name="Normal 2 3 3 3 2 5 2 2" xfId="19762"/>
    <cellStyle name="Normal 2 3 3 3 2 5 2 2 2" xfId="19763"/>
    <cellStyle name="Normal 2 3 3 3 2 5 2 3" xfId="19764"/>
    <cellStyle name="Normal 2 3 3 3 2 5 3" xfId="19765"/>
    <cellStyle name="Normal 2 3 3 3 2 5 3 2" xfId="19766"/>
    <cellStyle name="Normal 2 3 3 3 2 5 4" xfId="19767"/>
    <cellStyle name="Normal 2 3 3 3 2 6" xfId="19768"/>
    <cellStyle name="Normal 2 3 3 3 2 6 2" xfId="19769"/>
    <cellStyle name="Normal 2 3 3 3 2 6 2 2" xfId="19770"/>
    <cellStyle name="Normal 2 3 3 3 2 6 3" xfId="19771"/>
    <cellStyle name="Normal 2 3 3 3 2 7" xfId="19772"/>
    <cellStyle name="Normal 2 3 3 3 2 7 2" xfId="19773"/>
    <cellStyle name="Normal 2 3 3 3 2 8" xfId="19774"/>
    <cellStyle name="Normal 2 3 3 3 3" xfId="382"/>
    <cellStyle name="Normal 2 3 3 3 3 2" xfId="1062"/>
    <cellStyle name="Normal 2 3 3 3 3 2 2" xfId="2422"/>
    <cellStyle name="Normal 2 3 3 3 3 2 2 2" xfId="5142"/>
    <cellStyle name="Normal 2 3 3 3 3 2 2 2 2" xfId="19775"/>
    <cellStyle name="Normal 2 3 3 3 3 2 2 2 2 2" xfId="19776"/>
    <cellStyle name="Normal 2 3 3 3 3 2 2 2 2 2 2" xfId="19777"/>
    <cellStyle name="Normal 2 3 3 3 3 2 2 2 2 3" xfId="19778"/>
    <cellStyle name="Normal 2 3 3 3 3 2 2 2 3" xfId="19779"/>
    <cellStyle name="Normal 2 3 3 3 3 2 2 2 3 2" xfId="19780"/>
    <cellStyle name="Normal 2 3 3 3 3 2 2 2 4" xfId="19781"/>
    <cellStyle name="Normal 2 3 3 3 3 2 2 3" xfId="19782"/>
    <cellStyle name="Normal 2 3 3 3 3 2 2 3 2" xfId="19783"/>
    <cellStyle name="Normal 2 3 3 3 3 2 2 3 2 2" xfId="19784"/>
    <cellStyle name="Normal 2 3 3 3 3 2 2 3 3" xfId="19785"/>
    <cellStyle name="Normal 2 3 3 3 3 2 2 4" xfId="19786"/>
    <cellStyle name="Normal 2 3 3 3 3 2 2 4 2" xfId="19787"/>
    <cellStyle name="Normal 2 3 3 3 3 2 2 5" xfId="19788"/>
    <cellStyle name="Normal 2 3 3 3 3 2 3" xfId="3782"/>
    <cellStyle name="Normal 2 3 3 3 3 2 3 2" xfId="19789"/>
    <cellStyle name="Normal 2 3 3 3 3 2 3 2 2" xfId="19790"/>
    <cellStyle name="Normal 2 3 3 3 3 2 3 2 2 2" xfId="19791"/>
    <cellStyle name="Normal 2 3 3 3 3 2 3 2 3" xfId="19792"/>
    <cellStyle name="Normal 2 3 3 3 3 2 3 3" xfId="19793"/>
    <cellStyle name="Normal 2 3 3 3 3 2 3 3 2" xfId="19794"/>
    <cellStyle name="Normal 2 3 3 3 3 2 3 4" xfId="19795"/>
    <cellStyle name="Normal 2 3 3 3 3 2 4" xfId="19796"/>
    <cellStyle name="Normal 2 3 3 3 3 2 4 2" xfId="19797"/>
    <cellStyle name="Normal 2 3 3 3 3 2 4 2 2" xfId="19798"/>
    <cellStyle name="Normal 2 3 3 3 3 2 4 3" xfId="19799"/>
    <cellStyle name="Normal 2 3 3 3 3 2 5" xfId="19800"/>
    <cellStyle name="Normal 2 3 3 3 3 2 5 2" xfId="19801"/>
    <cellStyle name="Normal 2 3 3 3 3 2 6" xfId="19802"/>
    <cellStyle name="Normal 2 3 3 3 3 3" xfId="1742"/>
    <cellStyle name="Normal 2 3 3 3 3 3 2" xfId="4462"/>
    <cellStyle name="Normal 2 3 3 3 3 3 2 2" xfId="19803"/>
    <cellStyle name="Normal 2 3 3 3 3 3 2 2 2" xfId="19804"/>
    <cellStyle name="Normal 2 3 3 3 3 3 2 2 2 2" xfId="19805"/>
    <cellStyle name="Normal 2 3 3 3 3 3 2 2 3" xfId="19806"/>
    <cellStyle name="Normal 2 3 3 3 3 3 2 3" xfId="19807"/>
    <cellStyle name="Normal 2 3 3 3 3 3 2 3 2" xfId="19808"/>
    <cellStyle name="Normal 2 3 3 3 3 3 2 4" xfId="19809"/>
    <cellStyle name="Normal 2 3 3 3 3 3 3" xfId="19810"/>
    <cellStyle name="Normal 2 3 3 3 3 3 3 2" xfId="19811"/>
    <cellStyle name="Normal 2 3 3 3 3 3 3 2 2" xfId="19812"/>
    <cellStyle name="Normal 2 3 3 3 3 3 3 3" xfId="19813"/>
    <cellStyle name="Normal 2 3 3 3 3 3 4" xfId="19814"/>
    <cellStyle name="Normal 2 3 3 3 3 3 4 2" xfId="19815"/>
    <cellStyle name="Normal 2 3 3 3 3 3 5" xfId="19816"/>
    <cellStyle name="Normal 2 3 3 3 3 4" xfId="3102"/>
    <cellStyle name="Normal 2 3 3 3 3 4 2" xfId="19817"/>
    <cellStyle name="Normal 2 3 3 3 3 4 2 2" xfId="19818"/>
    <cellStyle name="Normal 2 3 3 3 3 4 2 2 2" xfId="19819"/>
    <cellStyle name="Normal 2 3 3 3 3 4 2 3" xfId="19820"/>
    <cellStyle name="Normal 2 3 3 3 3 4 3" xfId="19821"/>
    <cellStyle name="Normal 2 3 3 3 3 4 3 2" xfId="19822"/>
    <cellStyle name="Normal 2 3 3 3 3 4 4" xfId="19823"/>
    <cellStyle name="Normal 2 3 3 3 3 5" xfId="19824"/>
    <cellStyle name="Normal 2 3 3 3 3 5 2" xfId="19825"/>
    <cellStyle name="Normal 2 3 3 3 3 5 2 2" xfId="19826"/>
    <cellStyle name="Normal 2 3 3 3 3 5 3" xfId="19827"/>
    <cellStyle name="Normal 2 3 3 3 3 6" xfId="19828"/>
    <cellStyle name="Normal 2 3 3 3 3 6 2" xfId="19829"/>
    <cellStyle name="Normal 2 3 3 3 3 7" xfId="19830"/>
    <cellStyle name="Normal 2 3 3 3 4" xfId="654"/>
    <cellStyle name="Normal 2 3 3 3 4 2" xfId="1334"/>
    <cellStyle name="Normal 2 3 3 3 4 2 2" xfId="2694"/>
    <cellStyle name="Normal 2 3 3 3 4 2 2 2" xfId="5414"/>
    <cellStyle name="Normal 2 3 3 3 4 2 2 2 2" xfId="19831"/>
    <cellStyle name="Normal 2 3 3 3 4 2 2 2 2 2" xfId="19832"/>
    <cellStyle name="Normal 2 3 3 3 4 2 2 2 2 2 2" xfId="19833"/>
    <cellStyle name="Normal 2 3 3 3 4 2 2 2 2 3" xfId="19834"/>
    <cellStyle name="Normal 2 3 3 3 4 2 2 2 3" xfId="19835"/>
    <cellStyle name="Normal 2 3 3 3 4 2 2 2 3 2" xfId="19836"/>
    <cellStyle name="Normal 2 3 3 3 4 2 2 2 4" xfId="19837"/>
    <cellStyle name="Normal 2 3 3 3 4 2 2 3" xfId="19838"/>
    <cellStyle name="Normal 2 3 3 3 4 2 2 3 2" xfId="19839"/>
    <cellStyle name="Normal 2 3 3 3 4 2 2 3 2 2" xfId="19840"/>
    <cellStyle name="Normal 2 3 3 3 4 2 2 3 3" xfId="19841"/>
    <cellStyle name="Normal 2 3 3 3 4 2 2 4" xfId="19842"/>
    <cellStyle name="Normal 2 3 3 3 4 2 2 4 2" xfId="19843"/>
    <cellStyle name="Normal 2 3 3 3 4 2 2 5" xfId="19844"/>
    <cellStyle name="Normal 2 3 3 3 4 2 3" xfId="4054"/>
    <cellStyle name="Normal 2 3 3 3 4 2 3 2" xfId="19845"/>
    <cellStyle name="Normal 2 3 3 3 4 2 3 2 2" xfId="19846"/>
    <cellStyle name="Normal 2 3 3 3 4 2 3 2 2 2" xfId="19847"/>
    <cellStyle name="Normal 2 3 3 3 4 2 3 2 3" xfId="19848"/>
    <cellStyle name="Normal 2 3 3 3 4 2 3 3" xfId="19849"/>
    <cellStyle name="Normal 2 3 3 3 4 2 3 3 2" xfId="19850"/>
    <cellStyle name="Normal 2 3 3 3 4 2 3 4" xfId="19851"/>
    <cellStyle name="Normal 2 3 3 3 4 2 4" xfId="19852"/>
    <cellStyle name="Normal 2 3 3 3 4 2 4 2" xfId="19853"/>
    <cellStyle name="Normal 2 3 3 3 4 2 4 2 2" xfId="19854"/>
    <cellStyle name="Normal 2 3 3 3 4 2 4 3" xfId="19855"/>
    <cellStyle name="Normal 2 3 3 3 4 2 5" xfId="19856"/>
    <cellStyle name="Normal 2 3 3 3 4 2 5 2" xfId="19857"/>
    <cellStyle name="Normal 2 3 3 3 4 2 6" xfId="19858"/>
    <cellStyle name="Normal 2 3 3 3 4 3" xfId="2014"/>
    <cellStyle name="Normal 2 3 3 3 4 3 2" xfId="4734"/>
    <cellStyle name="Normal 2 3 3 3 4 3 2 2" xfId="19859"/>
    <cellStyle name="Normal 2 3 3 3 4 3 2 2 2" xfId="19860"/>
    <cellStyle name="Normal 2 3 3 3 4 3 2 2 2 2" xfId="19861"/>
    <cellStyle name="Normal 2 3 3 3 4 3 2 2 3" xfId="19862"/>
    <cellStyle name="Normal 2 3 3 3 4 3 2 3" xfId="19863"/>
    <cellStyle name="Normal 2 3 3 3 4 3 2 3 2" xfId="19864"/>
    <cellStyle name="Normal 2 3 3 3 4 3 2 4" xfId="19865"/>
    <cellStyle name="Normal 2 3 3 3 4 3 3" xfId="19866"/>
    <cellStyle name="Normal 2 3 3 3 4 3 3 2" xfId="19867"/>
    <cellStyle name="Normal 2 3 3 3 4 3 3 2 2" xfId="19868"/>
    <cellStyle name="Normal 2 3 3 3 4 3 3 3" xfId="19869"/>
    <cellStyle name="Normal 2 3 3 3 4 3 4" xfId="19870"/>
    <cellStyle name="Normal 2 3 3 3 4 3 4 2" xfId="19871"/>
    <cellStyle name="Normal 2 3 3 3 4 3 5" xfId="19872"/>
    <cellStyle name="Normal 2 3 3 3 4 4" xfId="3374"/>
    <cellStyle name="Normal 2 3 3 3 4 4 2" xfId="19873"/>
    <cellStyle name="Normal 2 3 3 3 4 4 2 2" xfId="19874"/>
    <cellStyle name="Normal 2 3 3 3 4 4 2 2 2" xfId="19875"/>
    <cellStyle name="Normal 2 3 3 3 4 4 2 3" xfId="19876"/>
    <cellStyle name="Normal 2 3 3 3 4 4 3" xfId="19877"/>
    <cellStyle name="Normal 2 3 3 3 4 4 3 2" xfId="19878"/>
    <cellStyle name="Normal 2 3 3 3 4 4 4" xfId="19879"/>
    <cellStyle name="Normal 2 3 3 3 4 5" xfId="19880"/>
    <cellStyle name="Normal 2 3 3 3 4 5 2" xfId="19881"/>
    <cellStyle name="Normal 2 3 3 3 4 5 2 2" xfId="19882"/>
    <cellStyle name="Normal 2 3 3 3 4 5 3" xfId="19883"/>
    <cellStyle name="Normal 2 3 3 3 4 6" xfId="19884"/>
    <cellStyle name="Normal 2 3 3 3 4 6 2" xfId="19885"/>
    <cellStyle name="Normal 2 3 3 3 4 7" xfId="19886"/>
    <cellStyle name="Normal 2 3 3 3 5" xfId="790"/>
    <cellStyle name="Normal 2 3 3 3 5 2" xfId="2150"/>
    <cellStyle name="Normal 2 3 3 3 5 2 2" xfId="4870"/>
    <cellStyle name="Normal 2 3 3 3 5 2 2 2" xfId="19887"/>
    <cellStyle name="Normal 2 3 3 3 5 2 2 2 2" xfId="19888"/>
    <cellStyle name="Normal 2 3 3 3 5 2 2 2 2 2" xfId="19889"/>
    <cellStyle name="Normal 2 3 3 3 5 2 2 2 3" xfId="19890"/>
    <cellStyle name="Normal 2 3 3 3 5 2 2 3" xfId="19891"/>
    <cellStyle name="Normal 2 3 3 3 5 2 2 3 2" xfId="19892"/>
    <cellStyle name="Normal 2 3 3 3 5 2 2 4" xfId="19893"/>
    <cellStyle name="Normal 2 3 3 3 5 2 3" xfId="19894"/>
    <cellStyle name="Normal 2 3 3 3 5 2 3 2" xfId="19895"/>
    <cellStyle name="Normal 2 3 3 3 5 2 3 2 2" xfId="19896"/>
    <cellStyle name="Normal 2 3 3 3 5 2 3 3" xfId="19897"/>
    <cellStyle name="Normal 2 3 3 3 5 2 4" xfId="19898"/>
    <cellStyle name="Normal 2 3 3 3 5 2 4 2" xfId="19899"/>
    <cellStyle name="Normal 2 3 3 3 5 2 5" xfId="19900"/>
    <cellStyle name="Normal 2 3 3 3 5 3" xfId="3510"/>
    <cellStyle name="Normal 2 3 3 3 5 3 2" xfId="19901"/>
    <cellStyle name="Normal 2 3 3 3 5 3 2 2" xfId="19902"/>
    <cellStyle name="Normal 2 3 3 3 5 3 2 2 2" xfId="19903"/>
    <cellStyle name="Normal 2 3 3 3 5 3 2 3" xfId="19904"/>
    <cellStyle name="Normal 2 3 3 3 5 3 3" xfId="19905"/>
    <cellStyle name="Normal 2 3 3 3 5 3 3 2" xfId="19906"/>
    <cellStyle name="Normal 2 3 3 3 5 3 4" xfId="19907"/>
    <cellStyle name="Normal 2 3 3 3 5 4" xfId="19908"/>
    <cellStyle name="Normal 2 3 3 3 5 4 2" xfId="19909"/>
    <cellStyle name="Normal 2 3 3 3 5 4 2 2" xfId="19910"/>
    <cellStyle name="Normal 2 3 3 3 5 4 3" xfId="19911"/>
    <cellStyle name="Normal 2 3 3 3 5 5" xfId="19912"/>
    <cellStyle name="Normal 2 3 3 3 5 5 2" xfId="19913"/>
    <cellStyle name="Normal 2 3 3 3 5 6" xfId="19914"/>
    <cellStyle name="Normal 2 3 3 3 6" xfId="1470"/>
    <cellStyle name="Normal 2 3 3 3 6 2" xfId="4190"/>
    <cellStyle name="Normal 2 3 3 3 6 2 2" xfId="19915"/>
    <cellStyle name="Normal 2 3 3 3 6 2 2 2" xfId="19916"/>
    <cellStyle name="Normal 2 3 3 3 6 2 2 2 2" xfId="19917"/>
    <cellStyle name="Normal 2 3 3 3 6 2 2 3" xfId="19918"/>
    <cellStyle name="Normal 2 3 3 3 6 2 3" xfId="19919"/>
    <cellStyle name="Normal 2 3 3 3 6 2 3 2" xfId="19920"/>
    <cellStyle name="Normal 2 3 3 3 6 2 4" xfId="19921"/>
    <cellStyle name="Normal 2 3 3 3 6 3" xfId="19922"/>
    <cellStyle name="Normal 2 3 3 3 6 3 2" xfId="19923"/>
    <cellStyle name="Normal 2 3 3 3 6 3 2 2" xfId="19924"/>
    <cellStyle name="Normal 2 3 3 3 6 3 3" xfId="19925"/>
    <cellStyle name="Normal 2 3 3 3 6 4" xfId="19926"/>
    <cellStyle name="Normal 2 3 3 3 6 4 2" xfId="19927"/>
    <cellStyle name="Normal 2 3 3 3 6 5" xfId="19928"/>
    <cellStyle name="Normal 2 3 3 3 7" xfId="2830"/>
    <cellStyle name="Normal 2 3 3 3 7 2" xfId="19929"/>
    <cellStyle name="Normal 2 3 3 3 7 2 2" xfId="19930"/>
    <cellStyle name="Normal 2 3 3 3 7 2 2 2" xfId="19931"/>
    <cellStyle name="Normal 2 3 3 3 7 2 3" xfId="19932"/>
    <cellStyle name="Normal 2 3 3 3 7 3" xfId="19933"/>
    <cellStyle name="Normal 2 3 3 3 7 3 2" xfId="19934"/>
    <cellStyle name="Normal 2 3 3 3 7 4" xfId="19935"/>
    <cellStyle name="Normal 2 3 3 3 8" xfId="19936"/>
    <cellStyle name="Normal 2 3 3 3 8 2" xfId="19937"/>
    <cellStyle name="Normal 2 3 3 3 8 2 2" xfId="19938"/>
    <cellStyle name="Normal 2 3 3 3 8 3" xfId="19939"/>
    <cellStyle name="Normal 2 3 3 3 9" xfId="19940"/>
    <cellStyle name="Normal 2 3 3 3 9 2" xfId="19941"/>
    <cellStyle name="Normal 2 3 3 4" xfId="178"/>
    <cellStyle name="Normal 2 3 3 4 2" xfId="450"/>
    <cellStyle name="Normal 2 3 3 4 2 2" xfId="1130"/>
    <cellStyle name="Normal 2 3 3 4 2 2 2" xfId="2490"/>
    <cellStyle name="Normal 2 3 3 4 2 2 2 2" xfId="5210"/>
    <cellStyle name="Normal 2 3 3 4 2 2 2 2 2" xfId="19942"/>
    <cellStyle name="Normal 2 3 3 4 2 2 2 2 2 2" xfId="19943"/>
    <cellStyle name="Normal 2 3 3 4 2 2 2 2 2 2 2" xfId="19944"/>
    <cellStyle name="Normal 2 3 3 4 2 2 2 2 2 3" xfId="19945"/>
    <cellStyle name="Normal 2 3 3 4 2 2 2 2 3" xfId="19946"/>
    <cellStyle name="Normal 2 3 3 4 2 2 2 2 3 2" xfId="19947"/>
    <cellStyle name="Normal 2 3 3 4 2 2 2 2 4" xfId="19948"/>
    <cellStyle name="Normal 2 3 3 4 2 2 2 3" xfId="19949"/>
    <cellStyle name="Normal 2 3 3 4 2 2 2 3 2" xfId="19950"/>
    <cellStyle name="Normal 2 3 3 4 2 2 2 3 2 2" xfId="19951"/>
    <cellStyle name="Normal 2 3 3 4 2 2 2 3 3" xfId="19952"/>
    <cellStyle name="Normal 2 3 3 4 2 2 2 4" xfId="19953"/>
    <cellStyle name="Normal 2 3 3 4 2 2 2 4 2" xfId="19954"/>
    <cellStyle name="Normal 2 3 3 4 2 2 2 5" xfId="19955"/>
    <cellStyle name="Normal 2 3 3 4 2 2 3" xfId="3850"/>
    <cellStyle name="Normal 2 3 3 4 2 2 3 2" xfId="19956"/>
    <cellStyle name="Normal 2 3 3 4 2 2 3 2 2" xfId="19957"/>
    <cellStyle name="Normal 2 3 3 4 2 2 3 2 2 2" xfId="19958"/>
    <cellStyle name="Normal 2 3 3 4 2 2 3 2 3" xfId="19959"/>
    <cellStyle name="Normal 2 3 3 4 2 2 3 3" xfId="19960"/>
    <cellStyle name="Normal 2 3 3 4 2 2 3 3 2" xfId="19961"/>
    <cellStyle name="Normal 2 3 3 4 2 2 3 4" xfId="19962"/>
    <cellStyle name="Normal 2 3 3 4 2 2 4" xfId="19963"/>
    <cellStyle name="Normal 2 3 3 4 2 2 4 2" xfId="19964"/>
    <cellStyle name="Normal 2 3 3 4 2 2 4 2 2" xfId="19965"/>
    <cellStyle name="Normal 2 3 3 4 2 2 4 3" xfId="19966"/>
    <cellStyle name="Normal 2 3 3 4 2 2 5" xfId="19967"/>
    <cellStyle name="Normal 2 3 3 4 2 2 5 2" xfId="19968"/>
    <cellStyle name="Normal 2 3 3 4 2 2 6" xfId="19969"/>
    <cellStyle name="Normal 2 3 3 4 2 3" xfId="1810"/>
    <cellStyle name="Normal 2 3 3 4 2 3 2" xfId="4530"/>
    <cellStyle name="Normal 2 3 3 4 2 3 2 2" xfId="19970"/>
    <cellStyle name="Normal 2 3 3 4 2 3 2 2 2" xfId="19971"/>
    <cellStyle name="Normal 2 3 3 4 2 3 2 2 2 2" xfId="19972"/>
    <cellStyle name="Normal 2 3 3 4 2 3 2 2 3" xfId="19973"/>
    <cellStyle name="Normal 2 3 3 4 2 3 2 3" xfId="19974"/>
    <cellStyle name="Normal 2 3 3 4 2 3 2 3 2" xfId="19975"/>
    <cellStyle name="Normal 2 3 3 4 2 3 2 4" xfId="19976"/>
    <cellStyle name="Normal 2 3 3 4 2 3 3" xfId="19977"/>
    <cellStyle name="Normal 2 3 3 4 2 3 3 2" xfId="19978"/>
    <cellStyle name="Normal 2 3 3 4 2 3 3 2 2" xfId="19979"/>
    <cellStyle name="Normal 2 3 3 4 2 3 3 3" xfId="19980"/>
    <cellStyle name="Normal 2 3 3 4 2 3 4" xfId="19981"/>
    <cellStyle name="Normal 2 3 3 4 2 3 4 2" xfId="19982"/>
    <cellStyle name="Normal 2 3 3 4 2 3 5" xfId="19983"/>
    <cellStyle name="Normal 2 3 3 4 2 4" xfId="3170"/>
    <cellStyle name="Normal 2 3 3 4 2 4 2" xfId="19984"/>
    <cellStyle name="Normal 2 3 3 4 2 4 2 2" xfId="19985"/>
    <cellStyle name="Normal 2 3 3 4 2 4 2 2 2" xfId="19986"/>
    <cellStyle name="Normal 2 3 3 4 2 4 2 3" xfId="19987"/>
    <cellStyle name="Normal 2 3 3 4 2 4 3" xfId="19988"/>
    <cellStyle name="Normal 2 3 3 4 2 4 3 2" xfId="19989"/>
    <cellStyle name="Normal 2 3 3 4 2 4 4" xfId="19990"/>
    <cellStyle name="Normal 2 3 3 4 2 5" xfId="19991"/>
    <cellStyle name="Normal 2 3 3 4 2 5 2" xfId="19992"/>
    <cellStyle name="Normal 2 3 3 4 2 5 2 2" xfId="19993"/>
    <cellStyle name="Normal 2 3 3 4 2 5 3" xfId="19994"/>
    <cellStyle name="Normal 2 3 3 4 2 6" xfId="19995"/>
    <cellStyle name="Normal 2 3 3 4 2 6 2" xfId="19996"/>
    <cellStyle name="Normal 2 3 3 4 2 7" xfId="19997"/>
    <cellStyle name="Normal 2 3 3 4 3" xfId="858"/>
    <cellStyle name="Normal 2 3 3 4 3 2" xfId="2218"/>
    <cellStyle name="Normal 2 3 3 4 3 2 2" xfId="4938"/>
    <cellStyle name="Normal 2 3 3 4 3 2 2 2" xfId="19998"/>
    <cellStyle name="Normal 2 3 3 4 3 2 2 2 2" xfId="19999"/>
    <cellStyle name="Normal 2 3 3 4 3 2 2 2 2 2" xfId="20000"/>
    <cellStyle name="Normal 2 3 3 4 3 2 2 2 3" xfId="20001"/>
    <cellStyle name="Normal 2 3 3 4 3 2 2 3" xfId="20002"/>
    <cellStyle name="Normal 2 3 3 4 3 2 2 3 2" xfId="20003"/>
    <cellStyle name="Normal 2 3 3 4 3 2 2 4" xfId="20004"/>
    <cellStyle name="Normal 2 3 3 4 3 2 3" xfId="20005"/>
    <cellStyle name="Normal 2 3 3 4 3 2 3 2" xfId="20006"/>
    <cellStyle name="Normal 2 3 3 4 3 2 3 2 2" xfId="20007"/>
    <cellStyle name="Normal 2 3 3 4 3 2 3 3" xfId="20008"/>
    <cellStyle name="Normal 2 3 3 4 3 2 4" xfId="20009"/>
    <cellStyle name="Normal 2 3 3 4 3 2 4 2" xfId="20010"/>
    <cellStyle name="Normal 2 3 3 4 3 2 5" xfId="20011"/>
    <cellStyle name="Normal 2 3 3 4 3 3" xfId="3578"/>
    <cellStyle name="Normal 2 3 3 4 3 3 2" xfId="20012"/>
    <cellStyle name="Normal 2 3 3 4 3 3 2 2" xfId="20013"/>
    <cellStyle name="Normal 2 3 3 4 3 3 2 2 2" xfId="20014"/>
    <cellStyle name="Normal 2 3 3 4 3 3 2 3" xfId="20015"/>
    <cellStyle name="Normal 2 3 3 4 3 3 3" xfId="20016"/>
    <cellStyle name="Normal 2 3 3 4 3 3 3 2" xfId="20017"/>
    <cellStyle name="Normal 2 3 3 4 3 3 4" xfId="20018"/>
    <cellStyle name="Normal 2 3 3 4 3 4" xfId="20019"/>
    <cellStyle name="Normal 2 3 3 4 3 4 2" xfId="20020"/>
    <cellStyle name="Normal 2 3 3 4 3 4 2 2" xfId="20021"/>
    <cellStyle name="Normal 2 3 3 4 3 4 3" xfId="20022"/>
    <cellStyle name="Normal 2 3 3 4 3 5" xfId="20023"/>
    <cellStyle name="Normal 2 3 3 4 3 5 2" xfId="20024"/>
    <cellStyle name="Normal 2 3 3 4 3 6" xfId="20025"/>
    <cellStyle name="Normal 2 3 3 4 4" xfId="1538"/>
    <cellStyle name="Normal 2 3 3 4 4 2" xfId="4258"/>
    <cellStyle name="Normal 2 3 3 4 4 2 2" xfId="20026"/>
    <cellStyle name="Normal 2 3 3 4 4 2 2 2" xfId="20027"/>
    <cellStyle name="Normal 2 3 3 4 4 2 2 2 2" xfId="20028"/>
    <cellStyle name="Normal 2 3 3 4 4 2 2 3" xfId="20029"/>
    <cellStyle name="Normal 2 3 3 4 4 2 3" xfId="20030"/>
    <cellStyle name="Normal 2 3 3 4 4 2 3 2" xfId="20031"/>
    <cellStyle name="Normal 2 3 3 4 4 2 4" xfId="20032"/>
    <cellStyle name="Normal 2 3 3 4 4 3" xfId="20033"/>
    <cellStyle name="Normal 2 3 3 4 4 3 2" xfId="20034"/>
    <cellStyle name="Normal 2 3 3 4 4 3 2 2" xfId="20035"/>
    <cellStyle name="Normal 2 3 3 4 4 3 3" xfId="20036"/>
    <cellStyle name="Normal 2 3 3 4 4 4" xfId="20037"/>
    <cellStyle name="Normal 2 3 3 4 4 4 2" xfId="20038"/>
    <cellStyle name="Normal 2 3 3 4 4 5" xfId="20039"/>
    <cellStyle name="Normal 2 3 3 4 5" xfId="2898"/>
    <cellStyle name="Normal 2 3 3 4 5 2" xfId="20040"/>
    <cellStyle name="Normal 2 3 3 4 5 2 2" xfId="20041"/>
    <cellStyle name="Normal 2 3 3 4 5 2 2 2" xfId="20042"/>
    <cellStyle name="Normal 2 3 3 4 5 2 3" xfId="20043"/>
    <cellStyle name="Normal 2 3 3 4 5 3" xfId="20044"/>
    <cellStyle name="Normal 2 3 3 4 5 3 2" xfId="20045"/>
    <cellStyle name="Normal 2 3 3 4 5 4" xfId="20046"/>
    <cellStyle name="Normal 2 3 3 4 6" xfId="20047"/>
    <cellStyle name="Normal 2 3 3 4 6 2" xfId="20048"/>
    <cellStyle name="Normal 2 3 3 4 6 2 2" xfId="20049"/>
    <cellStyle name="Normal 2 3 3 4 6 3" xfId="20050"/>
    <cellStyle name="Normal 2 3 3 4 7" xfId="20051"/>
    <cellStyle name="Normal 2 3 3 4 7 2" xfId="20052"/>
    <cellStyle name="Normal 2 3 3 4 8" xfId="20053"/>
    <cellStyle name="Normal 2 3 3 5" xfId="314"/>
    <cellStyle name="Normal 2 3 3 5 2" xfId="994"/>
    <cellStyle name="Normal 2 3 3 5 2 2" xfId="2354"/>
    <cellStyle name="Normal 2 3 3 5 2 2 2" xfId="5074"/>
    <cellStyle name="Normal 2 3 3 5 2 2 2 2" xfId="20054"/>
    <cellStyle name="Normal 2 3 3 5 2 2 2 2 2" xfId="20055"/>
    <cellStyle name="Normal 2 3 3 5 2 2 2 2 2 2" xfId="20056"/>
    <cellStyle name="Normal 2 3 3 5 2 2 2 2 3" xfId="20057"/>
    <cellStyle name="Normal 2 3 3 5 2 2 2 3" xfId="20058"/>
    <cellStyle name="Normal 2 3 3 5 2 2 2 3 2" xfId="20059"/>
    <cellStyle name="Normal 2 3 3 5 2 2 2 4" xfId="20060"/>
    <cellStyle name="Normal 2 3 3 5 2 2 3" xfId="20061"/>
    <cellStyle name="Normal 2 3 3 5 2 2 3 2" xfId="20062"/>
    <cellStyle name="Normal 2 3 3 5 2 2 3 2 2" xfId="20063"/>
    <cellStyle name="Normal 2 3 3 5 2 2 3 3" xfId="20064"/>
    <cellStyle name="Normal 2 3 3 5 2 2 4" xfId="20065"/>
    <cellStyle name="Normal 2 3 3 5 2 2 4 2" xfId="20066"/>
    <cellStyle name="Normal 2 3 3 5 2 2 5" xfId="20067"/>
    <cellStyle name="Normal 2 3 3 5 2 3" xfId="3714"/>
    <cellStyle name="Normal 2 3 3 5 2 3 2" xfId="20068"/>
    <cellStyle name="Normal 2 3 3 5 2 3 2 2" xfId="20069"/>
    <cellStyle name="Normal 2 3 3 5 2 3 2 2 2" xfId="20070"/>
    <cellStyle name="Normal 2 3 3 5 2 3 2 3" xfId="20071"/>
    <cellStyle name="Normal 2 3 3 5 2 3 3" xfId="20072"/>
    <cellStyle name="Normal 2 3 3 5 2 3 3 2" xfId="20073"/>
    <cellStyle name="Normal 2 3 3 5 2 3 4" xfId="20074"/>
    <cellStyle name="Normal 2 3 3 5 2 4" xfId="20075"/>
    <cellStyle name="Normal 2 3 3 5 2 4 2" xfId="20076"/>
    <cellStyle name="Normal 2 3 3 5 2 4 2 2" xfId="20077"/>
    <cellStyle name="Normal 2 3 3 5 2 4 3" xfId="20078"/>
    <cellStyle name="Normal 2 3 3 5 2 5" xfId="20079"/>
    <cellStyle name="Normal 2 3 3 5 2 5 2" xfId="20080"/>
    <cellStyle name="Normal 2 3 3 5 2 6" xfId="20081"/>
    <cellStyle name="Normal 2 3 3 5 3" xfId="1674"/>
    <cellStyle name="Normal 2 3 3 5 3 2" xfId="4394"/>
    <cellStyle name="Normal 2 3 3 5 3 2 2" xfId="20082"/>
    <cellStyle name="Normal 2 3 3 5 3 2 2 2" xfId="20083"/>
    <cellStyle name="Normal 2 3 3 5 3 2 2 2 2" xfId="20084"/>
    <cellStyle name="Normal 2 3 3 5 3 2 2 3" xfId="20085"/>
    <cellStyle name="Normal 2 3 3 5 3 2 3" xfId="20086"/>
    <cellStyle name="Normal 2 3 3 5 3 2 3 2" xfId="20087"/>
    <cellStyle name="Normal 2 3 3 5 3 2 4" xfId="20088"/>
    <cellStyle name="Normal 2 3 3 5 3 3" xfId="20089"/>
    <cellStyle name="Normal 2 3 3 5 3 3 2" xfId="20090"/>
    <cellStyle name="Normal 2 3 3 5 3 3 2 2" xfId="20091"/>
    <cellStyle name="Normal 2 3 3 5 3 3 3" xfId="20092"/>
    <cellStyle name="Normal 2 3 3 5 3 4" xfId="20093"/>
    <cellStyle name="Normal 2 3 3 5 3 4 2" xfId="20094"/>
    <cellStyle name="Normal 2 3 3 5 3 5" xfId="20095"/>
    <cellStyle name="Normal 2 3 3 5 4" xfId="3034"/>
    <cellStyle name="Normal 2 3 3 5 4 2" xfId="20096"/>
    <cellStyle name="Normal 2 3 3 5 4 2 2" xfId="20097"/>
    <cellStyle name="Normal 2 3 3 5 4 2 2 2" xfId="20098"/>
    <cellStyle name="Normal 2 3 3 5 4 2 3" xfId="20099"/>
    <cellStyle name="Normal 2 3 3 5 4 3" xfId="20100"/>
    <cellStyle name="Normal 2 3 3 5 4 3 2" xfId="20101"/>
    <cellStyle name="Normal 2 3 3 5 4 4" xfId="20102"/>
    <cellStyle name="Normal 2 3 3 5 5" xfId="20103"/>
    <cellStyle name="Normal 2 3 3 5 5 2" xfId="20104"/>
    <cellStyle name="Normal 2 3 3 5 5 2 2" xfId="20105"/>
    <cellStyle name="Normal 2 3 3 5 5 3" xfId="20106"/>
    <cellStyle name="Normal 2 3 3 5 6" xfId="20107"/>
    <cellStyle name="Normal 2 3 3 5 6 2" xfId="20108"/>
    <cellStyle name="Normal 2 3 3 5 7" xfId="20109"/>
    <cellStyle name="Normal 2 3 3 6" xfId="586"/>
    <cellStyle name="Normal 2 3 3 6 2" xfId="1266"/>
    <cellStyle name="Normal 2 3 3 6 2 2" xfId="2626"/>
    <cellStyle name="Normal 2 3 3 6 2 2 2" xfId="5346"/>
    <cellStyle name="Normal 2 3 3 6 2 2 2 2" xfId="20110"/>
    <cellStyle name="Normal 2 3 3 6 2 2 2 2 2" xfId="20111"/>
    <cellStyle name="Normal 2 3 3 6 2 2 2 2 2 2" xfId="20112"/>
    <cellStyle name="Normal 2 3 3 6 2 2 2 2 3" xfId="20113"/>
    <cellStyle name="Normal 2 3 3 6 2 2 2 3" xfId="20114"/>
    <cellStyle name="Normal 2 3 3 6 2 2 2 3 2" xfId="20115"/>
    <cellStyle name="Normal 2 3 3 6 2 2 2 4" xfId="20116"/>
    <cellStyle name="Normal 2 3 3 6 2 2 3" xfId="20117"/>
    <cellStyle name="Normal 2 3 3 6 2 2 3 2" xfId="20118"/>
    <cellStyle name="Normal 2 3 3 6 2 2 3 2 2" xfId="20119"/>
    <cellStyle name="Normal 2 3 3 6 2 2 3 3" xfId="20120"/>
    <cellStyle name="Normal 2 3 3 6 2 2 4" xfId="20121"/>
    <cellStyle name="Normal 2 3 3 6 2 2 4 2" xfId="20122"/>
    <cellStyle name="Normal 2 3 3 6 2 2 5" xfId="20123"/>
    <cellStyle name="Normal 2 3 3 6 2 3" xfId="3986"/>
    <cellStyle name="Normal 2 3 3 6 2 3 2" xfId="20124"/>
    <cellStyle name="Normal 2 3 3 6 2 3 2 2" xfId="20125"/>
    <cellStyle name="Normal 2 3 3 6 2 3 2 2 2" xfId="20126"/>
    <cellStyle name="Normal 2 3 3 6 2 3 2 3" xfId="20127"/>
    <cellStyle name="Normal 2 3 3 6 2 3 3" xfId="20128"/>
    <cellStyle name="Normal 2 3 3 6 2 3 3 2" xfId="20129"/>
    <cellStyle name="Normal 2 3 3 6 2 3 4" xfId="20130"/>
    <cellStyle name="Normal 2 3 3 6 2 4" xfId="20131"/>
    <cellStyle name="Normal 2 3 3 6 2 4 2" xfId="20132"/>
    <cellStyle name="Normal 2 3 3 6 2 4 2 2" xfId="20133"/>
    <cellStyle name="Normal 2 3 3 6 2 4 3" xfId="20134"/>
    <cellStyle name="Normal 2 3 3 6 2 5" xfId="20135"/>
    <cellStyle name="Normal 2 3 3 6 2 5 2" xfId="20136"/>
    <cellStyle name="Normal 2 3 3 6 2 6" xfId="20137"/>
    <cellStyle name="Normal 2 3 3 6 3" xfId="1946"/>
    <cellStyle name="Normal 2 3 3 6 3 2" xfId="4666"/>
    <cellStyle name="Normal 2 3 3 6 3 2 2" xfId="20138"/>
    <cellStyle name="Normal 2 3 3 6 3 2 2 2" xfId="20139"/>
    <cellStyle name="Normal 2 3 3 6 3 2 2 2 2" xfId="20140"/>
    <cellStyle name="Normal 2 3 3 6 3 2 2 3" xfId="20141"/>
    <cellStyle name="Normal 2 3 3 6 3 2 3" xfId="20142"/>
    <cellStyle name="Normal 2 3 3 6 3 2 3 2" xfId="20143"/>
    <cellStyle name="Normal 2 3 3 6 3 2 4" xfId="20144"/>
    <cellStyle name="Normal 2 3 3 6 3 3" xfId="20145"/>
    <cellStyle name="Normal 2 3 3 6 3 3 2" xfId="20146"/>
    <cellStyle name="Normal 2 3 3 6 3 3 2 2" xfId="20147"/>
    <cellStyle name="Normal 2 3 3 6 3 3 3" xfId="20148"/>
    <cellStyle name="Normal 2 3 3 6 3 4" xfId="20149"/>
    <cellStyle name="Normal 2 3 3 6 3 4 2" xfId="20150"/>
    <cellStyle name="Normal 2 3 3 6 3 5" xfId="20151"/>
    <cellStyle name="Normal 2 3 3 6 4" xfId="3306"/>
    <cellStyle name="Normal 2 3 3 6 4 2" xfId="20152"/>
    <cellStyle name="Normal 2 3 3 6 4 2 2" xfId="20153"/>
    <cellStyle name="Normal 2 3 3 6 4 2 2 2" xfId="20154"/>
    <cellStyle name="Normal 2 3 3 6 4 2 3" xfId="20155"/>
    <cellStyle name="Normal 2 3 3 6 4 3" xfId="20156"/>
    <cellStyle name="Normal 2 3 3 6 4 3 2" xfId="20157"/>
    <cellStyle name="Normal 2 3 3 6 4 4" xfId="20158"/>
    <cellStyle name="Normal 2 3 3 6 5" xfId="20159"/>
    <cellStyle name="Normal 2 3 3 6 5 2" xfId="20160"/>
    <cellStyle name="Normal 2 3 3 6 5 2 2" xfId="20161"/>
    <cellStyle name="Normal 2 3 3 6 5 3" xfId="20162"/>
    <cellStyle name="Normal 2 3 3 6 6" xfId="20163"/>
    <cellStyle name="Normal 2 3 3 6 6 2" xfId="20164"/>
    <cellStyle name="Normal 2 3 3 6 7" xfId="20165"/>
    <cellStyle name="Normal 2 3 3 7" xfId="722"/>
    <cellStyle name="Normal 2 3 3 7 2" xfId="2082"/>
    <cellStyle name="Normal 2 3 3 7 2 2" xfId="4802"/>
    <cellStyle name="Normal 2 3 3 7 2 2 2" xfId="20166"/>
    <cellStyle name="Normal 2 3 3 7 2 2 2 2" xfId="20167"/>
    <cellStyle name="Normal 2 3 3 7 2 2 2 2 2" xfId="20168"/>
    <cellStyle name="Normal 2 3 3 7 2 2 2 3" xfId="20169"/>
    <cellStyle name="Normal 2 3 3 7 2 2 3" xfId="20170"/>
    <cellStyle name="Normal 2 3 3 7 2 2 3 2" xfId="20171"/>
    <cellStyle name="Normal 2 3 3 7 2 2 4" xfId="20172"/>
    <cellStyle name="Normal 2 3 3 7 2 3" xfId="20173"/>
    <cellStyle name="Normal 2 3 3 7 2 3 2" xfId="20174"/>
    <cellStyle name="Normal 2 3 3 7 2 3 2 2" xfId="20175"/>
    <cellStyle name="Normal 2 3 3 7 2 3 3" xfId="20176"/>
    <cellStyle name="Normal 2 3 3 7 2 4" xfId="20177"/>
    <cellStyle name="Normal 2 3 3 7 2 4 2" xfId="20178"/>
    <cellStyle name="Normal 2 3 3 7 2 5" xfId="20179"/>
    <cellStyle name="Normal 2 3 3 7 3" xfId="3442"/>
    <cellStyle name="Normal 2 3 3 7 3 2" xfId="20180"/>
    <cellStyle name="Normal 2 3 3 7 3 2 2" xfId="20181"/>
    <cellStyle name="Normal 2 3 3 7 3 2 2 2" xfId="20182"/>
    <cellStyle name="Normal 2 3 3 7 3 2 3" xfId="20183"/>
    <cellStyle name="Normal 2 3 3 7 3 3" xfId="20184"/>
    <cellStyle name="Normal 2 3 3 7 3 3 2" xfId="20185"/>
    <cellStyle name="Normal 2 3 3 7 3 4" xfId="20186"/>
    <cellStyle name="Normal 2 3 3 7 4" xfId="20187"/>
    <cellStyle name="Normal 2 3 3 7 4 2" xfId="20188"/>
    <cellStyle name="Normal 2 3 3 7 4 2 2" xfId="20189"/>
    <cellStyle name="Normal 2 3 3 7 4 3" xfId="20190"/>
    <cellStyle name="Normal 2 3 3 7 5" xfId="20191"/>
    <cellStyle name="Normal 2 3 3 7 5 2" xfId="20192"/>
    <cellStyle name="Normal 2 3 3 7 6" xfId="20193"/>
    <cellStyle name="Normal 2 3 3 8" xfId="1402"/>
    <cellStyle name="Normal 2 3 3 8 2" xfId="4122"/>
    <cellStyle name="Normal 2 3 3 8 2 2" xfId="20194"/>
    <cellStyle name="Normal 2 3 3 8 2 2 2" xfId="20195"/>
    <cellStyle name="Normal 2 3 3 8 2 2 2 2" xfId="20196"/>
    <cellStyle name="Normal 2 3 3 8 2 2 3" xfId="20197"/>
    <cellStyle name="Normal 2 3 3 8 2 3" xfId="20198"/>
    <cellStyle name="Normal 2 3 3 8 2 3 2" xfId="20199"/>
    <cellStyle name="Normal 2 3 3 8 2 4" xfId="20200"/>
    <cellStyle name="Normal 2 3 3 8 3" xfId="20201"/>
    <cellStyle name="Normal 2 3 3 8 3 2" xfId="20202"/>
    <cellStyle name="Normal 2 3 3 8 3 2 2" xfId="20203"/>
    <cellStyle name="Normal 2 3 3 8 3 3" xfId="20204"/>
    <cellStyle name="Normal 2 3 3 8 4" xfId="20205"/>
    <cellStyle name="Normal 2 3 3 8 4 2" xfId="20206"/>
    <cellStyle name="Normal 2 3 3 8 5" xfId="20207"/>
    <cellStyle name="Normal 2 3 3 9" xfId="2762"/>
    <cellStyle name="Normal 2 3 3 9 2" xfId="20208"/>
    <cellStyle name="Normal 2 3 3 9 2 2" xfId="20209"/>
    <cellStyle name="Normal 2 3 3 9 2 2 2" xfId="20210"/>
    <cellStyle name="Normal 2 3 3 9 2 3" xfId="20211"/>
    <cellStyle name="Normal 2 3 3 9 3" xfId="20212"/>
    <cellStyle name="Normal 2 3 3 9 3 2" xfId="20213"/>
    <cellStyle name="Normal 2 3 3 9 4" xfId="20214"/>
    <cellStyle name="Normal 2 3 4" xfId="58"/>
    <cellStyle name="Normal 2 3 4 10" xfId="20215"/>
    <cellStyle name="Normal 2 3 4 10 2" xfId="20216"/>
    <cellStyle name="Normal 2 3 4 11" xfId="20217"/>
    <cellStyle name="Normal 2 3 4 2" xfId="126"/>
    <cellStyle name="Normal 2 3 4 2 10" xfId="20218"/>
    <cellStyle name="Normal 2 3 4 2 2" xfId="263"/>
    <cellStyle name="Normal 2 3 4 2 2 2" xfId="535"/>
    <cellStyle name="Normal 2 3 4 2 2 2 2" xfId="1215"/>
    <cellStyle name="Normal 2 3 4 2 2 2 2 2" xfId="2575"/>
    <cellStyle name="Normal 2 3 4 2 2 2 2 2 2" xfId="5295"/>
    <cellStyle name="Normal 2 3 4 2 2 2 2 2 2 2" xfId="20219"/>
    <cellStyle name="Normal 2 3 4 2 2 2 2 2 2 2 2" xfId="20220"/>
    <cellStyle name="Normal 2 3 4 2 2 2 2 2 2 2 2 2" xfId="20221"/>
    <cellStyle name="Normal 2 3 4 2 2 2 2 2 2 2 3" xfId="20222"/>
    <cellStyle name="Normal 2 3 4 2 2 2 2 2 2 3" xfId="20223"/>
    <cellStyle name="Normal 2 3 4 2 2 2 2 2 2 3 2" xfId="20224"/>
    <cellStyle name="Normal 2 3 4 2 2 2 2 2 2 4" xfId="20225"/>
    <cellStyle name="Normal 2 3 4 2 2 2 2 2 3" xfId="20226"/>
    <cellStyle name="Normal 2 3 4 2 2 2 2 2 3 2" xfId="20227"/>
    <cellStyle name="Normal 2 3 4 2 2 2 2 2 3 2 2" xfId="20228"/>
    <cellStyle name="Normal 2 3 4 2 2 2 2 2 3 3" xfId="20229"/>
    <cellStyle name="Normal 2 3 4 2 2 2 2 2 4" xfId="20230"/>
    <cellStyle name="Normal 2 3 4 2 2 2 2 2 4 2" xfId="20231"/>
    <cellStyle name="Normal 2 3 4 2 2 2 2 2 5" xfId="20232"/>
    <cellStyle name="Normal 2 3 4 2 2 2 2 3" xfId="3935"/>
    <cellStyle name="Normal 2 3 4 2 2 2 2 3 2" xfId="20233"/>
    <cellStyle name="Normal 2 3 4 2 2 2 2 3 2 2" xfId="20234"/>
    <cellStyle name="Normal 2 3 4 2 2 2 2 3 2 2 2" xfId="20235"/>
    <cellStyle name="Normal 2 3 4 2 2 2 2 3 2 3" xfId="20236"/>
    <cellStyle name="Normal 2 3 4 2 2 2 2 3 3" xfId="20237"/>
    <cellStyle name="Normal 2 3 4 2 2 2 2 3 3 2" xfId="20238"/>
    <cellStyle name="Normal 2 3 4 2 2 2 2 3 4" xfId="20239"/>
    <cellStyle name="Normal 2 3 4 2 2 2 2 4" xfId="20240"/>
    <cellStyle name="Normal 2 3 4 2 2 2 2 4 2" xfId="20241"/>
    <cellStyle name="Normal 2 3 4 2 2 2 2 4 2 2" xfId="20242"/>
    <cellStyle name="Normal 2 3 4 2 2 2 2 4 3" xfId="20243"/>
    <cellStyle name="Normal 2 3 4 2 2 2 2 5" xfId="20244"/>
    <cellStyle name="Normal 2 3 4 2 2 2 2 5 2" xfId="20245"/>
    <cellStyle name="Normal 2 3 4 2 2 2 2 6" xfId="20246"/>
    <cellStyle name="Normal 2 3 4 2 2 2 3" xfId="1895"/>
    <cellStyle name="Normal 2 3 4 2 2 2 3 2" xfId="4615"/>
    <cellStyle name="Normal 2 3 4 2 2 2 3 2 2" xfId="20247"/>
    <cellStyle name="Normal 2 3 4 2 2 2 3 2 2 2" xfId="20248"/>
    <cellStyle name="Normal 2 3 4 2 2 2 3 2 2 2 2" xfId="20249"/>
    <cellStyle name="Normal 2 3 4 2 2 2 3 2 2 3" xfId="20250"/>
    <cellStyle name="Normal 2 3 4 2 2 2 3 2 3" xfId="20251"/>
    <cellStyle name="Normal 2 3 4 2 2 2 3 2 3 2" xfId="20252"/>
    <cellStyle name="Normal 2 3 4 2 2 2 3 2 4" xfId="20253"/>
    <cellStyle name="Normal 2 3 4 2 2 2 3 3" xfId="20254"/>
    <cellStyle name="Normal 2 3 4 2 2 2 3 3 2" xfId="20255"/>
    <cellStyle name="Normal 2 3 4 2 2 2 3 3 2 2" xfId="20256"/>
    <cellStyle name="Normal 2 3 4 2 2 2 3 3 3" xfId="20257"/>
    <cellStyle name="Normal 2 3 4 2 2 2 3 4" xfId="20258"/>
    <cellStyle name="Normal 2 3 4 2 2 2 3 4 2" xfId="20259"/>
    <cellStyle name="Normal 2 3 4 2 2 2 3 5" xfId="20260"/>
    <cellStyle name="Normal 2 3 4 2 2 2 4" xfId="3255"/>
    <cellStyle name="Normal 2 3 4 2 2 2 4 2" xfId="20261"/>
    <cellStyle name="Normal 2 3 4 2 2 2 4 2 2" xfId="20262"/>
    <cellStyle name="Normal 2 3 4 2 2 2 4 2 2 2" xfId="20263"/>
    <cellStyle name="Normal 2 3 4 2 2 2 4 2 3" xfId="20264"/>
    <cellStyle name="Normal 2 3 4 2 2 2 4 3" xfId="20265"/>
    <cellStyle name="Normal 2 3 4 2 2 2 4 3 2" xfId="20266"/>
    <cellStyle name="Normal 2 3 4 2 2 2 4 4" xfId="20267"/>
    <cellStyle name="Normal 2 3 4 2 2 2 5" xfId="20268"/>
    <cellStyle name="Normal 2 3 4 2 2 2 5 2" xfId="20269"/>
    <cellStyle name="Normal 2 3 4 2 2 2 5 2 2" xfId="20270"/>
    <cellStyle name="Normal 2 3 4 2 2 2 5 3" xfId="20271"/>
    <cellStyle name="Normal 2 3 4 2 2 2 6" xfId="20272"/>
    <cellStyle name="Normal 2 3 4 2 2 2 6 2" xfId="20273"/>
    <cellStyle name="Normal 2 3 4 2 2 2 7" xfId="20274"/>
    <cellStyle name="Normal 2 3 4 2 2 3" xfId="943"/>
    <cellStyle name="Normal 2 3 4 2 2 3 2" xfId="2303"/>
    <cellStyle name="Normal 2 3 4 2 2 3 2 2" xfId="5023"/>
    <cellStyle name="Normal 2 3 4 2 2 3 2 2 2" xfId="20275"/>
    <cellStyle name="Normal 2 3 4 2 2 3 2 2 2 2" xfId="20276"/>
    <cellStyle name="Normal 2 3 4 2 2 3 2 2 2 2 2" xfId="20277"/>
    <cellStyle name="Normal 2 3 4 2 2 3 2 2 2 3" xfId="20278"/>
    <cellStyle name="Normal 2 3 4 2 2 3 2 2 3" xfId="20279"/>
    <cellStyle name="Normal 2 3 4 2 2 3 2 2 3 2" xfId="20280"/>
    <cellStyle name="Normal 2 3 4 2 2 3 2 2 4" xfId="20281"/>
    <cellStyle name="Normal 2 3 4 2 2 3 2 3" xfId="20282"/>
    <cellStyle name="Normal 2 3 4 2 2 3 2 3 2" xfId="20283"/>
    <cellStyle name="Normal 2 3 4 2 2 3 2 3 2 2" xfId="20284"/>
    <cellStyle name="Normal 2 3 4 2 2 3 2 3 3" xfId="20285"/>
    <cellStyle name="Normal 2 3 4 2 2 3 2 4" xfId="20286"/>
    <cellStyle name="Normal 2 3 4 2 2 3 2 4 2" xfId="20287"/>
    <cellStyle name="Normal 2 3 4 2 2 3 2 5" xfId="20288"/>
    <cellStyle name="Normal 2 3 4 2 2 3 3" xfId="3663"/>
    <cellStyle name="Normal 2 3 4 2 2 3 3 2" xfId="20289"/>
    <cellStyle name="Normal 2 3 4 2 2 3 3 2 2" xfId="20290"/>
    <cellStyle name="Normal 2 3 4 2 2 3 3 2 2 2" xfId="20291"/>
    <cellStyle name="Normal 2 3 4 2 2 3 3 2 3" xfId="20292"/>
    <cellStyle name="Normal 2 3 4 2 2 3 3 3" xfId="20293"/>
    <cellStyle name="Normal 2 3 4 2 2 3 3 3 2" xfId="20294"/>
    <cellStyle name="Normal 2 3 4 2 2 3 3 4" xfId="20295"/>
    <cellStyle name="Normal 2 3 4 2 2 3 4" xfId="20296"/>
    <cellStyle name="Normal 2 3 4 2 2 3 4 2" xfId="20297"/>
    <cellStyle name="Normal 2 3 4 2 2 3 4 2 2" xfId="20298"/>
    <cellStyle name="Normal 2 3 4 2 2 3 4 3" xfId="20299"/>
    <cellStyle name="Normal 2 3 4 2 2 3 5" xfId="20300"/>
    <cellStyle name="Normal 2 3 4 2 2 3 5 2" xfId="20301"/>
    <cellStyle name="Normal 2 3 4 2 2 3 6" xfId="20302"/>
    <cellStyle name="Normal 2 3 4 2 2 4" xfId="1623"/>
    <cellStyle name="Normal 2 3 4 2 2 4 2" xfId="4343"/>
    <cellStyle name="Normal 2 3 4 2 2 4 2 2" xfId="20303"/>
    <cellStyle name="Normal 2 3 4 2 2 4 2 2 2" xfId="20304"/>
    <cellStyle name="Normal 2 3 4 2 2 4 2 2 2 2" xfId="20305"/>
    <cellStyle name="Normal 2 3 4 2 2 4 2 2 3" xfId="20306"/>
    <cellStyle name="Normal 2 3 4 2 2 4 2 3" xfId="20307"/>
    <cellStyle name="Normal 2 3 4 2 2 4 2 3 2" xfId="20308"/>
    <cellStyle name="Normal 2 3 4 2 2 4 2 4" xfId="20309"/>
    <cellStyle name="Normal 2 3 4 2 2 4 3" xfId="20310"/>
    <cellStyle name="Normal 2 3 4 2 2 4 3 2" xfId="20311"/>
    <cellStyle name="Normal 2 3 4 2 2 4 3 2 2" xfId="20312"/>
    <cellStyle name="Normal 2 3 4 2 2 4 3 3" xfId="20313"/>
    <cellStyle name="Normal 2 3 4 2 2 4 4" xfId="20314"/>
    <cellStyle name="Normal 2 3 4 2 2 4 4 2" xfId="20315"/>
    <cellStyle name="Normal 2 3 4 2 2 4 5" xfId="20316"/>
    <cellStyle name="Normal 2 3 4 2 2 5" xfId="2983"/>
    <cellStyle name="Normal 2 3 4 2 2 5 2" xfId="20317"/>
    <cellStyle name="Normal 2 3 4 2 2 5 2 2" xfId="20318"/>
    <cellStyle name="Normal 2 3 4 2 2 5 2 2 2" xfId="20319"/>
    <cellStyle name="Normal 2 3 4 2 2 5 2 3" xfId="20320"/>
    <cellStyle name="Normal 2 3 4 2 2 5 3" xfId="20321"/>
    <cellStyle name="Normal 2 3 4 2 2 5 3 2" xfId="20322"/>
    <cellStyle name="Normal 2 3 4 2 2 5 4" xfId="20323"/>
    <cellStyle name="Normal 2 3 4 2 2 6" xfId="20324"/>
    <cellStyle name="Normal 2 3 4 2 2 6 2" xfId="20325"/>
    <cellStyle name="Normal 2 3 4 2 2 6 2 2" xfId="20326"/>
    <cellStyle name="Normal 2 3 4 2 2 6 3" xfId="20327"/>
    <cellStyle name="Normal 2 3 4 2 2 7" xfId="20328"/>
    <cellStyle name="Normal 2 3 4 2 2 7 2" xfId="20329"/>
    <cellStyle name="Normal 2 3 4 2 2 8" xfId="20330"/>
    <cellStyle name="Normal 2 3 4 2 3" xfId="399"/>
    <cellStyle name="Normal 2 3 4 2 3 2" xfId="1079"/>
    <cellStyle name="Normal 2 3 4 2 3 2 2" xfId="2439"/>
    <cellStyle name="Normal 2 3 4 2 3 2 2 2" xfId="5159"/>
    <cellStyle name="Normal 2 3 4 2 3 2 2 2 2" xfId="20331"/>
    <cellStyle name="Normal 2 3 4 2 3 2 2 2 2 2" xfId="20332"/>
    <cellStyle name="Normal 2 3 4 2 3 2 2 2 2 2 2" xfId="20333"/>
    <cellStyle name="Normal 2 3 4 2 3 2 2 2 2 3" xfId="20334"/>
    <cellStyle name="Normal 2 3 4 2 3 2 2 2 3" xfId="20335"/>
    <cellStyle name="Normal 2 3 4 2 3 2 2 2 3 2" xfId="20336"/>
    <cellStyle name="Normal 2 3 4 2 3 2 2 2 4" xfId="20337"/>
    <cellStyle name="Normal 2 3 4 2 3 2 2 3" xfId="20338"/>
    <cellStyle name="Normal 2 3 4 2 3 2 2 3 2" xfId="20339"/>
    <cellStyle name="Normal 2 3 4 2 3 2 2 3 2 2" xfId="20340"/>
    <cellStyle name="Normal 2 3 4 2 3 2 2 3 3" xfId="20341"/>
    <cellStyle name="Normal 2 3 4 2 3 2 2 4" xfId="20342"/>
    <cellStyle name="Normal 2 3 4 2 3 2 2 4 2" xfId="20343"/>
    <cellStyle name="Normal 2 3 4 2 3 2 2 5" xfId="20344"/>
    <cellStyle name="Normal 2 3 4 2 3 2 3" xfId="3799"/>
    <cellStyle name="Normal 2 3 4 2 3 2 3 2" xfId="20345"/>
    <cellStyle name="Normal 2 3 4 2 3 2 3 2 2" xfId="20346"/>
    <cellStyle name="Normal 2 3 4 2 3 2 3 2 2 2" xfId="20347"/>
    <cellStyle name="Normal 2 3 4 2 3 2 3 2 3" xfId="20348"/>
    <cellStyle name="Normal 2 3 4 2 3 2 3 3" xfId="20349"/>
    <cellStyle name="Normal 2 3 4 2 3 2 3 3 2" xfId="20350"/>
    <cellStyle name="Normal 2 3 4 2 3 2 3 4" xfId="20351"/>
    <cellStyle name="Normal 2 3 4 2 3 2 4" xfId="20352"/>
    <cellStyle name="Normal 2 3 4 2 3 2 4 2" xfId="20353"/>
    <cellStyle name="Normal 2 3 4 2 3 2 4 2 2" xfId="20354"/>
    <cellStyle name="Normal 2 3 4 2 3 2 4 3" xfId="20355"/>
    <cellStyle name="Normal 2 3 4 2 3 2 5" xfId="20356"/>
    <cellStyle name="Normal 2 3 4 2 3 2 5 2" xfId="20357"/>
    <cellStyle name="Normal 2 3 4 2 3 2 6" xfId="20358"/>
    <cellStyle name="Normal 2 3 4 2 3 3" xfId="1759"/>
    <cellStyle name="Normal 2 3 4 2 3 3 2" xfId="4479"/>
    <cellStyle name="Normal 2 3 4 2 3 3 2 2" xfId="20359"/>
    <cellStyle name="Normal 2 3 4 2 3 3 2 2 2" xfId="20360"/>
    <cellStyle name="Normal 2 3 4 2 3 3 2 2 2 2" xfId="20361"/>
    <cellStyle name="Normal 2 3 4 2 3 3 2 2 3" xfId="20362"/>
    <cellStyle name="Normal 2 3 4 2 3 3 2 3" xfId="20363"/>
    <cellStyle name="Normal 2 3 4 2 3 3 2 3 2" xfId="20364"/>
    <cellStyle name="Normal 2 3 4 2 3 3 2 4" xfId="20365"/>
    <cellStyle name="Normal 2 3 4 2 3 3 3" xfId="20366"/>
    <cellStyle name="Normal 2 3 4 2 3 3 3 2" xfId="20367"/>
    <cellStyle name="Normal 2 3 4 2 3 3 3 2 2" xfId="20368"/>
    <cellStyle name="Normal 2 3 4 2 3 3 3 3" xfId="20369"/>
    <cellStyle name="Normal 2 3 4 2 3 3 4" xfId="20370"/>
    <cellStyle name="Normal 2 3 4 2 3 3 4 2" xfId="20371"/>
    <cellStyle name="Normal 2 3 4 2 3 3 5" xfId="20372"/>
    <cellStyle name="Normal 2 3 4 2 3 4" xfId="3119"/>
    <cellStyle name="Normal 2 3 4 2 3 4 2" xfId="20373"/>
    <cellStyle name="Normal 2 3 4 2 3 4 2 2" xfId="20374"/>
    <cellStyle name="Normal 2 3 4 2 3 4 2 2 2" xfId="20375"/>
    <cellStyle name="Normal 2 3 4 2 3 4 2 3" xfId="20376"/>
    <cellStyle name="Normal 2 3 4 2 3 4 3" xfId="20377"/>
    <cellStyle name="Normal 2 3 4 2 3 4 3 2" xfId="20378"/>
    <cellStyle name="Normal 2 3 4 2 3 4 4" xfId="20379"/>
    <cellStyle name="Normal 2 3 4 2 3 5" xfId="20380"/>
    <cellStyle name="Normal 2 3 4 2 3 5 2" xfId="20381"/>
    <cellStyle name="Normal 2 3 4 2 3 5 2 2" xfId="20382"/>
    <cellStyle name="Normal 2 3 4 2 3 5 3" xfId="20383"/>
    <cellStyle name="Normal 2 3 4 2 3 6" xfId="20384"/>
    <cellStyle name="Normal 2 3 4 2 3 6 2" xfId="20385"/>
    <cellStyle name="Normal 2 3 4 2 3 7" xfId="20386"/>
    <cellStyle name="Normal 2 3 4 2 4" xfId="671"/>
    <cellStyle name="Normal 2 3 4 2 4 2" xfId="1351"/>
    <cellStyle name="Normal 2 3 4 2 4 2 2" xfId="2711"/>
    <cellStyle name="Normal 2 3 4 2 4 2 2 2" xfId="5431"/>
    <cellStyle name="Normal 2 3 4 2 4 2 2 2 2" xfId="20387"/>
    <cellStyle name="Normal 2 3 4 2 4 2 2 2 2 2" xfId="20388"/>
    <cellStyle name="Normal 2 3 4 2 4 2 2 2 2 2 2" xfId="20389"/>
    <cellStyle name="Normal 2 3 4 2 4 2 2 2 2 3" xfId="20390"/>
    <cellStyle name="Normal 2 3 4 2 4 2 2 2 3" xfId="20391"/>
    <cellStyle name="Normal 2 3 4 2 4 2 2 2 3 2" xfId="20392"/>
    <cellStyle name="Normal 2 3 4 2 4 2 2 2 4" xfId="20393"/>
    <cellStyle name="Normal 2 3 4 2 4 2 2 3" xfId="20394"/>
    <cellStyle name="Normal 2 3 4 2 4 2 2 3 2" xfId="20395"/>
    <cellStyle name="Normal 2 3 4 2 4 2 2 3 2 2" xfId="20396"/>
    <cellStyle name="Normal 2 3 4 2 4 2 2 3 3" xfId="20397"/>
    <cellStyle name="Normal 2 3 4 2 4 2 2 4" xfId="20398"/>
    <cellStyle name="Normal 2 3 4 2 4 2 2 4 2" xfId="20399"/>
    <cellStyle name="Normal 2 3 4 2 4 2 2 5" xfId="20400"/>
    <cellStyle name="Normal 2 3 4 2 4 2 3" xfId="4071"/>
    <cellStyle name="Normal 2 3 4 2 4 2 3 2" xfId="20401"/>
    <cellStyle name="Normal 2 3 4 2 4 2 3 2 2" xfId="20402"/>
    <cellStyle name="Normal 2 3 4 2 4 2 3 2 2 2" xfId="20403"/>
    <cellStyle name="Normal 2 3 4 2 4 2 3 2 3" xfId="20404"/>
    <cellStyle name="Normal 2 3 4 2 4 2 3 3" xfId="20405"/>
    <cellStyle name="Normal 2 3 4 2 4 2 3 3 2" xfId="20406"/>
    <cellStyle name="Normal 2 3 4 2 4 2 3 4" xfId="20407"/>
    <cellStyle name="Normal 2 3 4 2 4 2 4" xfId="20408"/>
    <cellStyle name="Normal 2 3 4 2 4 2 4 2" xfId="20409"/>
    <cellStyle name="Normal 2 3 4 2 4 2 4 2 2" xfId="20410"/>
    <cellStyle name="Normal 2 3 4 2 4 2 4 3" xfId="20411"/>
    <cellStyle name="Normal 2 3 4 2 4 2 5" xfId="20412"/>
    <cellStyle name="Normal 2 3 4 2 4 2 5 2" xfId="20413"/>
    <cellStyle name="Normal 2 3 4 2 4 2 6" xfId="20414"/>
    <cellStyle name="Normal 2 3 4 2 4 3" xfId="2031"/>
    <cellStyle name="Normal 2 3 4 2 4 3 2" xfId="4751"/>
    <cellStyle name="Normal 2 3 4 2 4 3 2 2" xfId="20415"/>
    <cellStyle name="Normal 2 3 4 2 4 3 2 2 2" xfId="20416"/>
    <cellStyle name="Normal 2 3 4 2 4 3 2 2 2 2" xfId="20417"/>
    <cellStyle name="Normal 2 3 4 2 4 3 2 2 3" xfId="20418"/>
    <cellStyle name="Normal 2 3 4 2 4 3 2 3" xfId="20419"/>
    <cellStyle name="Normal 2 3 4 2 4 3 2 3 2" xfId="20420"/>
    <cellStyle name="Normal 2 3 4 2 4 3 2 4" xfId="20421"/>
    <cellStyle name="Normal 2 3 4 2 4 3 3" xfId="20422"/>
    <cellStyle name="Normal 2 3 4 2 4 3 3 2" xfId="20423"/>
    <cellStyle name="Normal 2 3 4 2 4 3 3 2 2" xfId="20424"/>
    <cellStyle name="Normal 2 3 4 2 4 3 3 3" xfId="20425"/>
    <cellStyle name="Normal 2 3 4 2 4 3 4" xfId="20426"/>
    <cellStyle name="Normal 2 3 4 2 4 3 4 2" xfId="20427"/>
    <cellStyle name="Normal 2 3 4 2 4 3 5" xfId="20428"/>
    <cellStyle name="Normal 2 3 4 2 4 4" xfId="3391"/>
    <cellStyle name="Normal 2 3 4 2 4 4 2" xfId="20429"/>
    <cellStyle name="Normal 2 3 4 2 4 4 2 2" xfId="20430"/>
    <cellStyle name="Normal 2 3 4 2 4 4 2 2 2" xfId="20431"/>
    <cellStyle name="Normal 2 3 4 2 4 4 2 3" xfId="20432"/>
    <cellStyle name="Normal 2 3 4 2 4 4 3" xfId="20433"/>
    <cellStyle name="Normal 2 3 4 2 4 4 3 2" xfId="20434"/>
    <cellStyle name="Normal 2 3 4 2 4 4 4" xfId="20435"/>
    <cellStyle name="Normal 2 3 4 2 4 5" xfId="20436"/>
    <cellStyle name="Normal 2 3 4 2 4 5 2" xfId="20437"/>
    <cellStyle name="Normal 2 3 4 2 4 5 2 2" xfId="20438"/>
    <cellStyle name="Normal 2 3 4 2 4 5 3" xfId="20439"/>
    <cellStyle name="Normal 2 3 4 2 4 6" xfId="20440"/>
    <cellStyle name="Normal 2 3 4 2 4 6 2" xfId="20441"/>
    <cellStyle name="Normal 2 3 4 2 4 7" xfId="20442"/>
    <cellStyle name="Normal 2 3 4 2 5" xfId="807"/>
    <cellStyle name="Normal 2 3 4 2 5 2" xfId="2167"/>
    <cellStyle name="Normal 2 3 4 2 5 2 2" xfId="4887"/>
    <cellStyle name="Normal 2 3 4 2 5 2 2 2" xfId="20443"/>
    <cellStyle name="Normal 2 3 4 2 5 2 2 2 2" xfId="20444"/>
    <cellStyle name="Normal 2 3 4 2 5 2 2 2 2 2" xfId="20445"/>
    <cellStyle name="Normal 2 3 4 2 5 2 2 2 3" xfId="20446"/>
    <cellStyle name="Normal 2 3 4 2 5 2 2 3" xfId="20447"/>
    <cellStyle name="Normal 2 3 4 2 5 2 2 3 2" xfId="20448"/>
    <cellStyle name="Normal 2 3 4 2 5 2 2 4" xfId="20449"/>
    <cellStyle name="Normal 2 3 4 2 5 2 3" xfId="20450"/>
    <cellStyle name="Normal 2 3 4 2 5 2 3 2" xfId="20451"/>
    <cellStyle name="Normal 2 3 4 2 5 2 3 2 2" xfId="20452"/>
    <cellStyle name="Normal 2 3 4 2 5 2 3 3" xfId="20453"/>
    <cellStyle name="Normal 2 3 4 2 5 2 4" xfId="20454"/>
    <cellStyle name="Normal 2 3 4 2 5 2 4 2" xfId="20455"/>
    <cellStyle name="Normal 2 3 4 2 5 2 5" xfId="20456"/>
    <cellStyle name="Normal 2 3 4 2 5 3" xfId="3527"/>
    <cellStyle name="Normal 2 3 4 2 5 3 2" xfId="20457"/>
    <cellStyle name="Normal 2 3 4 2 5 3 2 2" xfId="20458"/>
    <cellStyle name="Normal 2 3 4 2 5 3 2 2 2" xfId="20459"/>
    <cellStyle name="Normal 2 3 4 2 5 3 2 3" xfId="20460"/>
    <cellStyle name="Normal 2 3 4 2 5 3 3" xfId="20461"/>
    <cellStyle name="Normal 2 3 4 2 5 3 3 2" xfId="20462"/>
    <cellStyle name="Normal 2 3 4 2 5 3 4" xfId="20463"/>
    <cellStyle name="Normal 2 3 4 2 5 4" xfId="20464"/>
    <cellStyle name="Normal 2 3 4 2 5 4 2" xfId="20465"/>
    <cellStyle name="Normal 2 3 4 2 5 4 2 2" xfId="20466"/>
    <cellStyle name="Normal 2 3 4 2 5 4 3" xfId="20467"/>
    <cellStyle name="Normal 2 3 4 2 5 5" xfId="20468"/>
    <cellStyle name="Normal 2 3 4 2 5 5 2" xfId="20469"/>
    <cellStyle name="Normal 2 3 4 2 5 6" xfId="20470"/>
    <cellStyle name="Normal 2 3 4 2 6" xfId="1487"/>
    <cellStyle name="Normal 2 3 4 2 6 2" xfId="4207"/>
    <cellStyle name="Normal 2 3 4 2 6 2 2" xfId="20471"/>
    <cellStyle name="Normal 2 3 4 2 6 2 2 2" xfId="20472"/>
    <cellStyle name="Normal 2 3 4 2 6 2 2 2 2" xfId="20473"/>
    <cellStyle name="Normal 2 3 4 2 6 2 2 3" xfId="20474"/>
    <cellStyle name="Normal 2 3 4 2 6 2 3" xfId="20475"/>
    <cellStyle name="Normal 2 3 4 2 6 2 3 2" xfId="20476"/>
    <cellStyle name="Normal 2 3 4 2 6 2 4" xfId="20477"/>
    <cellStyle name="Normal 2 3 4 2 6 3" xfId="20478"/>
    <cellStyle name="Normal 2 3 4 2 6 3 2" xfId="20479"/>
    <cellStyle name="Normal 2 3 4 2 6 3 2 2" xfId="20480"/>
    <cellStyle name="Normal 2 3 4 2 6 3 3" xfId="20481"/>
    <cellStyle name="Normal 2 3 4 2 6 4" xfId="20482"/>
    <cellStyle name="Normal 2 3 4 2 6 4 2" xfId="20483"/>
    <cellStyle name="Normal 2 3 4 2 6 5" xfId="20484"/>
    <cellStyle name="Normal 2 3 4 2 7" xfId="2847"/>
    <cellStyle name="Normal 2 3 4 2 7 2" xfId="20485"/>
    <cellStyle name="Normal 2 3 4 2 7 2 2" xfId="20486"/>
    <cellStyle name="Normal 2 3 4 2 7 2 2 2" xfId="20487"/>
    <cellStyle name="Normal 2 3 4 2 7 2 3" xfId="20488"/>
    <cellStyle name="Normal 2 3 4 2 7 3" xfId="20489"/>
    <cellStyle name="Normal 2 3 4 2 7 3 2" xfId="20490"/>
    <cellStyle name="Normal 2 3 4 2 7 4" xfId="20491"/>
    <cellStyle name="Normal 2 3 4 2 8" xfId="20492"/>
    <cellStyle name="Normal 2 3 4 2 8 2" xfId="20493"/>
    <cellStyle name="Normal 2 3 4 2 8 2 2" xfId="20494"/>
    <cellStyle name="Normal 2 3 4 2 8 3" xfId="20495"/>
    <cellStyle name="Normal 2 3 4 2 9" xfId="20496"/>
    <cellStyle name="Normal 2 3 4 2 9 2" xfId="20497"/>
    <cellStyle name="Normal 2 3 4 3" xfId="195"/>
    <cellStyle name="Normal 2 3 4 3 2" xfId="467"/>
    <cellStyle name="Normal 2 3 4 3 2 2" xfId="1147"/>
    <cellStyle name="Normal 2 3 4 3 2 2 2" xfId="2507"/>
    <cellStyle name="Normal 2 3 4 3 2 2 2 2" xfId="5227"/>
    <cellStyle name="Normal 2 3 4 3 2 2 2 2 2" xfId="20498"/>
    <cellStyle name="Normal 2 3 4 3 2 2 2 2 2 2" xfId="20499"/>
    <cellStyle name="Normal 2 3 4 3 2 2 2 2 2 2 2" xfId="20500"/>
    <cellStyle name="Normal 2 3 4 3 2 2 2 2 2 3" xfId="20501"/>
    <cellStyle name="Normal 2 3 4 3 2 2 2 2 3" xfId="20502"/>
    <cellStyle name="Normal 2 3 4 3 2 2 2 2 3 2" xfId="20503"/>
    <cellStyle name="Normal 2 3 4 3 2 2 2 2 4" xfId="20504"/>
    <cellStyle name="Normal 2 3 4 3 2 2 2 3" xfId="20505"/>
    <cellStyle name="Normal 2 3 4 3 2 2 2 3 2" xfId="20506"/>
    <cellStyle name="Normal 2 3 4 3 2 2 2 3 2 2" xfId="20507"/>
    <cellStyle name="Normal 2 3 4 3 2 2 2 3 3" xfId="20508"/>
    <cellStyle name="Normal 2 3 4 3 2 2 2 4" xfId="20509"/>
    <cellStyle name="Normal 2 3 4 3 2 2 2 4 2" xfId="20510"/>
    <cellStyle name="Normal 2 3 4 3 2 2 2 5" xfId="20511"/>
    <cellStyle name="Normal 2 3 4 3 2 2 3" xfId="3867"/>
    <cellStyle name="Normal 2 3 4 3 2 2 3 2" xfId="20512"/>
    <cellStyle name="Normal 2 3 4 3 2 2 3 2 2" xfId="20513"/>
    <cellStyle name="Normal 2 3 4 3 2 2 3 2 2 2" xfId="20514"/>
    <cellStyle name="Normal 2 3 4 3 2 2 3 2 3" xfId="20515"/>
    <cellStyle name="Normal 2 3 4 3 2 2 3 3" xfId="20516"/>
    <cellStyle name="Normal 2 3 4 3 2 2 3 3 2" xfId="20517"/>
    <cellStyle name="Normal 2 3 4 3 2 2 3 4" xfId="20518"/>
    <cellStyle name="Normal 2 3 4 3 2 2 4" xfId="20519"/>
    <cellStyle name="Normal 2 3 4 3 2 2 4 2" xfId="20520"/>
    <cellStyle name="Normal 2 3 4 3 2 2 4 2 2" xfId="20521"/>
    <cellStyle name="Normal 2 3 4 3 2 2 4 3" xfId="20522"/>
    <cellStyle name="Normal 2 3 4 3 2 2 5" xfId="20523"/>
    <cellStyle name="Normal 2 3 4 3 2 2 5 2" xfId="20524"/>
    <cellStyle name="Normal 2 3 4 3 2 2 6" xfId="20525"/>
    <cellStyle name="Normal 2 3 4 3 2 3" xfId="1827"/>
    <cellStyle name="Normal 2 3 4 3 2 3 2" xfId="4547"/>
    <cellStyle name="Normal 2 3 4 3 2 3 2 2" xfId="20526"/>
    <cellStyle name="Normal 2 3 4 3 2 3 2 2 2" xfId="20527"/>
    <cellStyle name="Normal 2 3 4 3 2 3 2 2 2 2" xfId="20528"/>
    <cellStyle name="Normal 2 3 4 3 2 3 2 2 3" xfId="20529"/>
    <cellStyle name="Normal 2 3 4 3 2 3 2 3" xfId="20530"/>
    <cellStyle name="Normal 2 3 4 3 2 3 2 3 2" xfId="20531"/>
    <cellStyle name="Normal 2 3 4 3 2 3 2 4" xfId="20532"/>
    <cellStyle name="Normal 2 3 4 3 2 3 3" xfId="20533"/>
    <cellStyle name="Normal 2 3 4 3 2 3 3 2" xfId="20534"/>
    <cellStyle name="Normal 2 3 4 3 2 3 3 2 2" xfId="20535"/>
    <cellStyle name="Normal 2 3 4 3 2 3 3 3" xfId="20536"/>
    <cellStyle name="Normal 2 3 4 3 2 3 4" xfId="20537"/>
    <cellStyle name="Normal 2 3 4 3 2 3 4 2" xfId="20538"/>
    <cellStyle name="Normal 2 3 4 3 2 3 5" xfId="20539"/>
    <cellStyle name="Normal 2 3 4 3 2 4" xfId="3187"/>
    <cellStyle name="Normal 2 3 4 3 2 4 2" xfId="20540"/>
    <cellStyle name="Normal 2 3 4 3 2 4 2 2" xfId="20541"/>
    <cellStyle name="Normal 2 3 4 3 2 4 2 2 2" xfId="20542"/>
    <cellStyle name="Normal 2 3 4 3 2 4 2 3" xfId="20543"/>
    <cellStyle name="Normal 2 3 4 3 2 4 3" xfId="20544"/>
    <cellStyle name="Normal 2 3 4 3 2 4 3 2" xfId="20545"/>
    <cellStyle name="Normal 2 3 4 3 2 4 4" xfId="20546"/>
    <cellStyle name="Normal 2 3 4 3 2 5" xfId="20547"/>
    <cellStyle name="Normal 2 3 4 3 2 5 2" xfId="20548"/>
    <cellStyle name="Normal 2 3 4 3 2 5 2 2" xfId="20549"/>
    <cellStyle name="Normal 2 3 4 3 2 5 3" xfId="20550"/>
    <cellStyle name="Normal 2 3 4 3 2 6" xfId="20551"/>
    <cellStyle name="Normal 2 3 4 3 2 6 2" xfId="20552"/>
    <cellStyle name="Normal 2 3 4 3 2 7" xfId="20553"/>
    <cellStyle name="Normal 2 3 4 3 3" xfId="875"/>
    <cellStyle name="Normal 2 3 4 3 3 2" xfId="2235"/>
    <cellStyle name="Normal 2 3 4 3 3 2 2" xfId="4955"/>
    <cellStyle name="Normal 2 3 4 3 3 2 2 2" xfId="20554"/>
    <cellStyle name="Normal 2 3 4 3 3 2 2 2 2" xfId="20555"/>
    <cellStyle name="Normal 2 3 4 3 3 2 2 2 2 2" xfId="20556"/>
    <cellStyle name="Normal 2 3 4 3 3 2 2 2 3" xfId="20557"/>
    <cellStyle name="Normal 2 3 4 3 3 2 2 3" xfId="20558"/>
    <cellStyle name="Normal 2 3 4 3 3 2 2 3 2" xfId="20559"/>
    <cellStyle name="Normal 2 3 4 3 3 2 2 4" xfId="20560"/>
    <cellStyle name="Normal 2 3 4 3 3 2 3" xfId="20561"/>
    <cellStyle name="Normal 2 3 4 3 3 2 3 2" xfId="20562"/>
    <cellStyle name="Normal 2 3 4 3 3 2 3 2 2" xfId="20563"/>
    <cellStyle name="Normal 2 3 4 3 3 2 3 3" xfId="20564"/>
    <cellStyle name="Normal 2 3 4 3 3 2 4" xfId="20565"/>
    <cellStyle name="Normal 2 3 4 3 3 2 4 2" xfId="20566"/>
    <cellStyle name="Normal 2 3 4 3 3 2 5" xfId="20567"/>
    <cellStyle name="Normal 2 3 4 3 3 3" xfId="3595"/>
    <cellStyle name="Normal 2 3 4 3 3 3 2" xfId="20568"/>
    <cellStyle name="Normal 2 3 4 3 3 3 2 2" xfId="20569"/>
    <cellStyle name="Normal 2 3 4 3 3 3 2 2 2" xfId="20570"/>
    <cellStyle name="Normal 2 3 4 3 3 3 2 3" xfId="20571"/>
    <cellStyle name="Normal 2 3 4 3 3 3 3" xfId="20572"/>
    <cellStyle name="Normal 2 3 4 3 3 3 3 2" xfId="20573"/>
    <cellStyle name="Normal 2 3 4 3 3 3 4" xfId="20574"/>
    <cellStyle name="Normal 2 3 4 3 3 4" xfId="20575"/>
    <cellStyle name="Normal 2 3 4 3 3 4 2" xfId="20576"/>
    <cellStyle name="Normal 2 3 4 3 3 4 2 2" xfId="20577"/>
    <cellStyle name="Normal 2 3 4 3 3 4 3" xfId="20578"/>
    <cellStyle name="Normal 2 3 4 3 3 5" xfId="20579"/>
    <cellStyle name="Normal 2 3 4 3 3 5 2" xfId="20580"/>
    <cellStyle name="Normal 2 3 4 3 3 6" xfId="20581"/>
    <cellStyle name="Normal 2 3 4 3 4" xfId="1555"/>
    <cellStyle name="Normal 2 3 4 3 4 2" xfId="4275"/>
    <cellStyle name="Normal 2 3 4 3 4 2 2" xfId="20582"/>
    <cellStyle name="Normal 2 3 4 3 4 2 2 2" xfId="20583"/>
    <cellStyle name="Normal 2 3 4 3 4 2 2 2 2" xfId="20584"/>
    <cellStyle name="Normal 2 3 4 3 4 2 2 3" xfId="20585"/>
    <cellStyle name="Normal 2 3 4 3 4 2 3" xfId="20586"/>
    <cellStyle name="Normal 2 3 4 3 4 2 3 2" xfId="20587"/>
    <cellStyle name="Normal 2 3 4 3 4 2 4" xfId="20588"/>
    <cellStyle name="Normal 2 3 4 3 4 3" xfId="20589"/>
    <cellStyle name="Normal 2 3 4 3 4 3 2" xfId="20590"/>
    <cellStyle name="Normal 2 3 4 3 4 3 2 2" xfId="20591"/>
    <cellStyle name="Normal 2 3 4 3 4 3 3" xfId="20592"/>
    <cellStyle name="Normal 2 3 4 3 4 4" xfId="20593"/>
    <cellStyle name="Normal 2 3 4 3 4 4 2" xfId="20594"/>
    <cellStyle name="Normal 2 3 4 3 4 5" xfId="20595"/>
    <cellStyle name="Normal 2 3 4 3 5" xfId="2915"/>
    <cellStyle name="Normal 2 3 4 3 5 2" xfId="20596"/>
    <cellStyle name="Normal 2 3 4 3 5 2 2" xfId="20597"/>
    <cellStyle name="Normal 2 3 4 3 5 2 2 2" xfId="20598"/>
    <cellStyle name="Normal 2 3 4 3 5 2 3" xfId="20599"/>
    <cellStyle name="Normal 2 3 4 3 5 3" xfId="20600"/>
    <cellStyle name="Normal 2 3 4 3 5 3 2" xfId="20601"/>
    <cellStyle name="Normal 2 3 4 3 5 4" xfId="20602"/>
    <cellStyle name="Normal 2 3 4 3 6" xfId="20603"/>
    <cellStyle name="Normal 2 3 4 3 6 2" xfId="20604"/>
    <cellStyle name="Normal 2 3 4 3 6 2 2" xfId="20605"/>
    <cellStyle name="Normal 2 3 4 3 6 3" xfId="20606"/>
    <cellStyle name="Normal 2 3 4 3 7" xfId="20607"/>
    <cellStyle name="Normal 2 3 4 3 7 2" xfId="20608"/>
    <cellStyle name="Normal 2 3 4 3 8" xfId="20609"/>
    <cellStyle name="Normal 2 3 4 4" xfId="331"/>
    <cellStyle name="Normal 2 3 4 4 2" xfId="1011"/>
    <cellStyle name="Normal 2 3 4 4 2 2" xfId="2371"/>
    <cellStyle name="Normal 2 3 4 4 2 2 2" xfId="5091"/>
    <cellStyle name="Normal 2 3 4 4 2 2 2 2" xfId="20610"/>
    <cellStyle name="Normal 2 3 4 4 2 2 2 2 2" xfId="20611"/>
    <cellStyle name="Normal 2 3 4 4 2 2 2 2 2 2" xfId="20612"/>
    <cellStyle name="Normal 2 3 4 4 2 2 2 2 3" xfId="20613"/>
    <cellStyle name="Normal 2 3 4 4 2 2 2 3" xfId="20614"/>
    <cellStyle name="Normal 2 3 4 4 2 2 2 3 2" xfId="20615"/>
    <cellStyle name="Normal 2 3 4 4 2 2 2 4" xfId="20616"/>
    <cellStyle name="Normal 2 3 4 4 2 2 3" xfId="20617"/>
    <cellStyle name="Normal 2 3 4 4 2 2 3 2" xfId="20618"/>
    <cellStyle name="Normal 2 3 4 4 2 2 3 2 2" xfId="20619"/>
    <cellStyle name="Normal 2 3 4 4 2 2 3 3" xfId="20620"/>
    <cellStyle name="Normal 2 3 4 4 2 2 4" xfId="20621"/>
    <cellStyle name="Normal 2 3 4 4 2 2 4 2" xfId="20622"/>
    <cellStyle name="Normal 2 3 4 4 2 2 5" xfId="20623"/>
    <cellStyle name="Normal 2 3 4 4 2 3" xfId="3731"/>
    <cellStyle name="Normal 2 3 4 4 2 3 2" xfId="20624"/>
    <cellStyle name="Normal 2 3 4 4 2 3 2 2" xfId="20625"/>
    <cellStyle name="Normal 2 3 4 4 2 3 2 2 2" xfId="20626"/>
    <cellStyle name="Normal 2 3 4 4 2 3 2 3" xfId="20627"/>
    <cellStyle name="Normal 2 3 4 4 2 3 3" xfId="20628"/>
    <cellStyle name="Normal 2 3 4 4 2 3 3 2" xfId="20629"/>
    <cellStyle name="Normal 2 3 4 4 2 3 4" xfId="20630"/>
    <cellStyle name="Normal 2 3 4 4 2 4" xfId="20631"/>
    <cellStyle name="Normal 2 3 4 4 2 4 2" xfId="20632"/>
    <cellStyle name="Normal 2 3 4 4 2 4 2 2" xfId="20633"/>
    <cellStyle name="Normal 2 3 4 4 2 4 3" xfId="20634"/>
    <cellStyle name="Normal 2 3 4 4 2 5" xfId="20635"/>
    <cellStyle name="Normal 2 3 4 4 2 5 2" xfId="20636"/>
    <cellStyle name="Normal 2 3 4 4 2 6" xfId="20637"/>
    <cellStyle name="Normal 2 3 4 4 3" xfId="1691"/>
    <cellStyle name="Normal 2 3 4 4 3 2" xfId="4411"/>
    <cellStyle name="Normal 2 3 4 4 3 2 2" xfId="20638"/>
    <cellStyle name="Normal 2 3 4 4 3 2 2 2" xfId="20639"/>
    <cellStyle name="Normal 2 3 4 4 3 2 2 2 2" xfId="20640"/>
    <cellStyle name="Normal 2 3 4 4 3 2 2 3" xfId="20641"/>
    <cellStyle name="Normal 2 3 4 4 3 2 3" xfId="20642"/>
    <cellStyle name="Normal 2 3 4 4 3 2 3 2" xfId="20643"/>
    <cellStyle name="Normal 2 3 4 4 3 2 4" xfId="20644"/>
    <cellStyle name="Normal 2 3 4 4 3 3" xfId="20645"/>
    <cellStyle name="Normal 2 3 4 4 3 3 2" xfId="20646"/>
    <cellStyle name="Normal 2 3 4 4 3 3 2 2" xfId="20647"/>
    <cellStyle name="Normal 2 3 4 4 3 3 3" xfId="20648"/>
    <cellStyle name="Normal 2 3 4 4 3 4" xfId="20649"/>
    <cellStyle name="Normal 2 3 4 4 3 4 2" xfId="20650"/>
    <cellStyle name="Normal 2 3 4 4 3 5" xfId="20651"/>
    <cellStyle name="Normal 2 3 4 4 4" xfId="3051"/>
    <cellStyle name="Normal 2 3 4 4 4 2" xfId="20652"/>
    <cellStyle name="Normal 2 3 4 4 4 2 2" xfId="20653"/>
    <cellStyle name="Normal 2 3 4 4 4 2 2 2" xfId="20654"/>
    <cellStyle name="Normal 2 3 4 4 4 2 3" xfId="20655"/>
    <cellStyle name="Normal 2 3 4 4 4 3" xfId="20656"/>
    <cellStyle name="Normal 2 3 4 4 4 3 2" xfId="20657"/>
    <cellStyle name="Normal 2 3 4 4 4 4" xfId="20658"/>
    <cellStyle name="Normal 2 3 4 4 5" xfId="20659"/>
    <cellStyle name="Normal 2 3 4 4 5 2" xfId="20660"/>
    <cellStyle name="Normal 2 3 4 4 5 2 2" xfId="20661"/>
    <cellStyle name="Normal 2 3 4 4 5 3" xfId="20662"/>
    <cellStyle name="Normal 2 3 4 4 6" xfId="20663"/>
    <cellStyle name="Normal 2 3 4 4 6 2" xfId="20664"/>
    <cellStyle name="Normal 2 3 4 4 7" xfId="20665"/>
    <cellStyle name="Normal 2 3 4 5" xfId="603"/>
    <cellStyle name="Normal 2 3 4 5 2" xfId="1283"/>
    <cellStyle name="Normal 2 3 4 5 2 2" xfId="2643"/>
    <cellStyle name="Normal 2 3 4 5 2 2 2" xfId="5363"/>
    <cellStyle name="Normal 2 3 4 5 2 2 2 2" xfId="20666"/>
    <cellStyle name="Normal 2 3 4 5 2 2 2 2 2" xfId="20667"/>
    <cellStyle name="Normal 2 3 4 5 2 2 2 2 2 2" xfId="20668"/>
    <cellStyle name="Normal 2 3 4 5 2 2 2 2 3" xfId="20669"/>
    <cellStyle name="Normal 2 3 4 5 2 2 2 3" xfId="20670"/>
    <cellStyle name="Normal 2 3 4 5 2 2 2 3 2" xfId="20671"/>
    <cellStyle name="Normal 2 3 4 5 2 2 2 4" xfId="20672"/>
    <cellStyle name="Normal 2 3 4 5 2 2 3" xfId="20673"/>
    <cellStyle name="Normal 2 3 4 5 2 2 3 2" xfId="20674"/>
    <cellStyle name="Normal 2 3 4 5 2 2 3 2 2" xfId="20675"/>
    <cellStyle name="Normal 2 3 4 5 2 2 3 3" xfId="20676"/>
    <cellStyle name="Normal 2 3 4 5 2 2 4" xfId="20677"/>
    <cellStyle name="Normal 2 3 4 5 2 2 4 2" xfId="20678"/>
    <cellStyle name="Normal 2 3 4 5 2 2 5" xfId="20679"/>
    <cellStyle name="Normal 2 3 4 5 2 3" xfId="4003"/>
    <cellStyle name="Normal 2 3 4 5 2 3 2" xfId="20680"/>
    <cellStyle name="Normal 2 3 4 5 2 3 2 2" xfId="20681"/>
    <cellStyle name="Normal 2 3 4 5 2 3 2 2 2" xfId="20682"/>
    <cellStyle name="Normal 2 3 4 5 2 3 2 3" xfId="20683"/>
    <cellStyle name="Normal 2 3 4 5 2 3 3" xfId="20684"/>
    <cellStyle name="Normal 2 3 4 5 2 3 3 2" xfId="20685"/>
    <cellStyle name="Normal 2 3 4 5 2 3 4" xfId="20686"/>
    <cellStyle name="Normal 2 3 4 5 2 4" xfId="20687"/>
    <cellStyle name="Normal 2 3 4 5 2 4 2" xfId="20688"/>
    <cellStyle name="Normal 2 3 4 5 2 4 2 2" xfId="20689"/>
    <cellStyle name="Normal 2 3 4 5 2 4 3" xfId="20690"/>
    <cellStyle name="Normal 2 3 4 5 2 5" xfId="20691"/>
    <cellStyle name="Normal 2 3 4 5 2 5 2" xfId="20692"/>
    <cellStyle name="Normal 2 3 4 5 2 6" xfId="20693"/>
    <cellStyle name="Normal 2 3 4 5 3" xfId="1963"/>
    <cellStyle name="Normal 2 3 4 5 3 2" xfId="4683"/>
    <cellStyle name="Normal 2 3 4 5 3 2 2" xfId="20694"/>
    <cellStyle name="Normal 2 3 4 5 3 2 2 2" xfId="20695"/>
    <cellStyle name="Normal 2 3 4 5 3 2 2 2 2" xfId="20696"/>
    <cellStyle name="Normal 2 3 4 5 3 2 2 3" xfId="20697"/>
    <cellStyle name="Normal 2 3 4 5 3 2 3" xfId="20698"/>
    <cellStyle name="Normal 2 3 4 5 3 2 3 2" xfId="20699"/>
    <cellStyle name="Normal 2 3 4 5 3 2 4" xfId="20700"/>
    <cellStyle name="Normal 2 3 4 5 3 3" xfId="20701"/>
    <cellStyle name="Normal 2 3 4 5 3 3 2" xfId="20702"/>
    <cellStyle name="Normal 2 3 4 5 3 3 2 2" xfId="20703"/>
    <cellStyle name="Normal 2 3 4 5 3 3 3" xfId="20704"/>
    <cellStyle name="Normal 2 3 4 5 3 4" xfId="20705"/>
    <cellStyle name="Normal 2 3 4 5 3 4 2" xfId="20706"/>
    <cellStyle name="Normal 2 3 4 5 3 5" xfId="20707"/>
    <cellStyle name="Normal 2 3 4 5 4" xfId="3323"/>
    <cellStyle name="Normal 2 3 4 5 4 2" xfId="20708"/>
    <cellStyle name="Normal 2 3 4 5 4 2 2" xfId="20709"/>
    <cellStyle name="Normal 2 3 4 5 4 2 2 2" xfId="20710"/>
    <cellStyle name="Normal 2 3 4 5 4 2 3" xfId="20711"/>
    <cellStyle name="Normal 2 3 4 5 4 3" xfId="20712"/>
    <cellStyle name="Normal 2 3 4 5 4 3 2" xfId="20713"/>
    <cellStyle name="Normal 2 3 4 5 4 4" xfId="20714"/>
    <cellStyle name="Normal 2 3 4 5 5" xfId="20715"/>
    <cellStyle name="Normal 2 3 4 5 5 2" xfId="20716"/>
    <cellStyle name="Normal 2 3 4 5 5 2 2" xfId="20717"/>
    <cellStyle name="Normal 2 3 4 5 5 3" xfId="20718"/>
    <cellStyle name="Normal 2 3 4 5 6" xfId="20719"/>
    <cellStyle name="Normal 2 3 4 5 6 2" xfId="20720"/>
    <cellStyle name="Normal 2 3 4 5 7" xfId="20721"/>
    <cellStyle name="Normal 2 3 4 6" xfId="739"/>
    <cellStyle name="Normal 2 3 4 6 2" xfId="2099"/>
    <cellStyle name="Normal 2 3 4 6 2 2" xfId="4819"/>
    <cellStyle name="Normal 2 3 4 6 2 2 2" xfId="20722"/>
    <cellStyle name="Normal 2 3 4 6 2 2 2 2" xfId="20723"/>
    <cellStyle name="Normal 2 3 4 6 2 2 2 2 2" xfId="20724"/>
    <cellStyle name="Normal 2 3 4 6 2 2 2 3" xfId="20725"/>
    <cellStyle name="Normal 2 3 4 6 2 2 3" xfId="20726"/>
    <cellStyle name="Normal 2 3 4 6 2 2 3 2" xfId="20727"/>
    <cellStyle name="Normal 2 3 4 6 2 2 4" xfId="20728"/>
    <cellStyle name="Normal 2 3 4 6 2 3" xfId="20729"/>
    <cellStyle name="Normal 2 3 4 6 2 3 2" xfId="20730"/>
    <cellStyle name="Normal 2 3 4 6 2 3 2 2" xfId="20731"/>
    <cellStyle name="Normal 2 3 4 6 2 3 3" xfId="20732"/>
    <cellStyle name="Normal 2 3 4 6 2 4" xfId="20733"/>
    <cellStyle name="Normal 2 3 4 6 2 4 2" xfId="20734"/>
    <cellStyle name="Normal 2 3 4 6 2 5" xfId="20735"/>
    <cellStyle name="Normal 2 3 4 6 3" xfId="3459"/>
    <cellStyle name="Normal 2 3 4 6 3 2" xfId="20736"/>
    <cellStyle name="Normal 2 3 4 6 3 2 2" xfId="20737"/>
    <cellStyle name="Normal 2 3 4 6 3 2 2 2" xfId="20738"/>
    <cellStyle name="Normal 2 3 4 6 3 2 3" xfId="20739"/>
    <cellStyle name="Normal 2 3 4 6 3 3" xfId="20740"/>
    <cellStyle name="Normal 2 3 4 6 3 3 2" xfId="20741"/>
    <cellStyle name="Normal 2 3 4 6 3 4" xfId="20742"/>
    <cellStyle name="Normal 2 3 4 6 4" xfId="20743"/>
    <cellStyle name="Normal 2 3 4 6 4 2" xfId="20744"/>
    <cellStyle name="Normal 2 3 4 6 4 2 2" xfId="20745"/>
    <cellStyle name="Normal 2 3 4 6 4 3" xfId="20746"/>
    <cellStyle name="Normal 2 3 4 6 5" xfId="20747"/>
    <cellStyle name="Normal 2 3 4 6 5 2" xfId="20748"/>
    <cellStyle name="Normal 2 3 4 6 6" xfId="20749"/>
    <cellStyle name="Normal 2 3 4 7" xfId="1419"/>
    <cellStyle name="Normal 2 3 4 7 2" xfId="4139"/>
    <cellStyle name="Normal 2 3 4 7 2 2" xfId="20750"/>
    <cellStyle name="Normal 2 3 4 7 2 2 2" xfId="20751"/>
    <cellStyle name="Normal 2 3 4 7 2 2 2 2" xfId="20752"/>
    <cellStyle name="Normal 2 3 4 7 2 2 3" xfId="20753"/>
    <cellStyle name="Normal 2 3 4 7 2 3" xfId="20754"/>
    <cellStyle name="Normal 2 3 4 7 2 3 2" xfId="20755"/>
    <cellStyle name="Normal 2 3 4 7 2 4" xfId="20756"/>
    <cellStyle name="Normal 2 3 4 7 3" xfId="20757"/>
    <cellStyle name="Normal 2 3 4 7 3 2" xfId="20758"/>
    <cellStyle name="Normal 2 3 4 7 3 2 2" xfId="20759"/>
    <cellStyle name="Normal 2 3 4 7 3 3" xfId="20760"/>
    <cellStyle name="Normal 2 3 4 7 4" xfId="20761"/>
    <cellStyle name="Normal 2 3 4 7 4 2" xfId="20762"/>
    <cellStyle name="Normal 2 3 4 7 5" xfId="20763"/>
    <cellStyle name="Normal 2 3 4 8" xfId="2779"/>
    <cellStyle name="Normal 2 3 4 8 2" xfId="20764"/>
    <cellStyle name="Normal 2 3 4 8 2 2" xfId="20765"/>
    <cellStyle name="Normal 2 3 4 8 2 2 2" xfId="20766"/>
    <cellStyle name="Normal 2 3 4 8 2 3" xfId="20767"/>
    <cellStyle name="Normal 2 3 4 8 3" xfId="20768"/>
    <cellStyle name="Normal 2 3 4 8 3 2" xfId="20769"/>
    <cellStyle name="Normal 2 3 4 8 4" xfId="20770"/>
    <cellStyle name="Normal 2 3 4 9" xfId="20771"/>
    <cellStyle name="Normal 2 3 4 9 2" xfId="20772"/>
    <cellStyle name="Normal 2 3 4 9 2 2" xfId="20773"/>
    <cellStyle name="Normal 2 3 4 9 3" xfId="20774"/>
    <cellStyle name="Normal 2 3 5" xfId="92"/>
    <cellStyle name="Normal 2 3 5 10" xfId="20775"/>
    <cellStyle name="Normal 2 3 5 2" xfId="229"/>
    <cellStyle name="Normal 2 3 5 2 2" xfId="501"/>
    <cellStyle name="Normal 2 3 5 2 2 2" xfId="1181"/>
    <cellStyle name="Normal 2 3 5 2 2 2 2" xfId="2541"/>
    <cellStyle name="Normal 2 3 5 2 2 2 2 2" xfId="5261"/>
    <cellStyle name="Normal 2 3 5 2 2 2 2 2 2" xfId="20776"/>
    <cellStyle name="Normal 2 3 5 2 2 2 2 2 2 2" xfId="20777"/>
    <cellStyle name="Normal 2 3 5 2 2 2 2 2 2 2 2" xfId="20778"/>
    <cellStyle name="Normal 2 3 5 2 2 2 2 2 2 3" xfId="20779"/>
    <cellStyle name="Normal 2 3 5 2 2 2 2 2 3" xfId="20780"/>
    <cellStyle name="Normal 2 3 5 2 2 2 2 2 3 2" xfId="20781"/>
    <cellStyle name="Normal 2 3 5 2 2 2 2 2 4" xfId="20782"/>
    <cellStyle name="Normal 2 3 5 2 2 2 2 3" xfId="20783"/>
    <cellStyle name="Normal 2 3 5 2 2 2 2 3 2" xfId="20784"/>
    <cellStyle name="Normal 2 3 5 2 2 2 2 3 2 2" xfId="20785"/>
    <cellStyle name="Normal 2 3 5 2 2 2 2 3 3" xfId="20786"/>
    <cellStyle name="Normal 2 3 5 2 2 2 2 4" xfId="20787"/>
    <cellStyle name="Normal 2 3 5 2 2 2 2 4 2" xfId="20788"/>
    <cellStyle name="Normal 2 3 5 2 2 2 2 5" xfId="20789"/>
    <cellStyle name="Normal 2 3 5 2 2 2 3" xfId="3901"/>
    <cellStyle name="Normal 2 3 5 2 2 2 3 2" xfId="20790"/>
    <cellStyle name="Normal 2 3 5 2 2 2 3 2 2" xfId="20791"/>
    <cellStyle name="Normal 2 3 5 2 2 2 3 2 2 2" xfId="20792"/>
    <cellStyle name="Normal 2 3 5 2 2 2 3 2 3" xfId="20793"/>
    <cellStyle name="Normal 2 3 5 2 2 2 3 3" xfId="20794"/>
    <cellStyle name="Normal 2 3 5 2 2 2 3 3 2" xfId="20795"/>
    <cellStyle name="Normal 2 3 5 2 2 2 3 4" xfId="20796"/>
    <cellStyle name="Normal 2 3 5 2 2 2 4" xfId="20797"/>
    <cellStyle name="Normal 2 3 5 2 2 2 4 2" xfId="20798"/>
    <cellStyle name="Normal 2 3 5 2 2 2 4 2 2" xfId="20799"/>
    <cellStyle name="Normal 2 3 5 2 2 2 4 3" xfId="20800"/>
    <cellStyle name="Normal 2 3 5 2 2 2 5" xfId="20801"/>
    <cellStyle name="Normal 2 3 5 2 2 2 5 2" xfId="20802"/>
    <cellStyle name="Normal 2 3 5 2 2 2 6" xfId="20803"/>
    <cellStyle name="Normal 2 3 5 2 2 3" xfId="1861"/>
    <cellStyle name="Normal 2 3 5 2 2 3 2" xfId="4581"/>
    <cellStyle name="Normal 2 3 5 2 2 3 2 2" xfId="20804"/>
    <cellStyle name="Normal 2 3 5 2 2 3 2 2 2" xfId="20805"/>
    <cellStyle name="Normal 2 3 5 2 2 3 2 2 2 2" xfId="20806"/>
    <cellStyle name="Normal 2 3 5 2 2 3 2 2 3" xfId="20807"/>
    <cellStyle name="Normal 2 3 5 2 2 3 2 3" xfId="20808"/>
    <cellStyle name="Normal 2 3 5 2 2 3 2 3 2" xfId="20809"/>
    <cellStyle name="Normal 2 3 5 2 2 3 2 4" xfId="20810"/>
    <cellStyle name="Normal 2 3 5 2 2 3 3" xfId="20811"/>
    <cellStyle name="Normal 2 3 5 2 2 3 3 2" xfId="20812"/>
    <cellStyle name="Normal 2 3 5 2 2 3 3 2 2" xfId="20813"/>
    <cellStyle name="Normal 2 3 5 2 2 3 3 3" xfId="20814"/>
    <cellStyle name="Normal 2 3 5 2 2 3 4" xfId="20815"/>
    <cellStyle name="Normal 2 3 5 2 2 3 4 2" xfId="20816"/>
    <cellStyle name="Normal 2 3 5 2 2 3 5" xfId="20817"/>
    <cellStyle name="Normal 2 3 5 2 2 4" xfId="3221"/>
    <cellStyle name="Normal 2 3 5 2 2 4 2" xfId="20818"/>
    <cellStyle name="Normal 2 3 5 2 2 4 2 2" xfId="20819"/>
    <cellStyle name="Normal 2 3 5 2 2 4 2 2 2" xfId="20820"/>
    <cellStyle name="Normal 2 3 5 2 2 4 2 3" xfId="20821"/>
    <cellStyle name="Normal 2 3 5 2 2 4 3" xfId="20822"/>
    <cellStyle name="Normal 2 3 5 2 2 4 3 2" xfId="20823"/>
    <cellStyle name="Normal 2 3 5 2 2 4 4" xfId="20824"/>
    <cellStyle name="Normal 2 3 5 2 2 5" xfId="20825"/>
    <cellStyle name="Normal 2 3 5 2 2 5 2" xfId="20826"/>
    <cellStyle name="Normal 2 3 5 2 2 5 2 2" xfId="20827"/>
    <cellStyle name="Normal 2 3 5 2 2 5 3" xfId="20828"/>
    <cellStyle name="Normal 2 3 5 2 2 6" xfId="20829"/>
    <cellStyle name="Normal 2 3 5 2 2 6 2" xfId="20830"/>
    <cellStyle name="Normal 2 3 5 2 2 7" xfId="20831"/>
    <cellStyle name="Normal 2 3 5 2 3" xfId="909"/>
    <cellStyle name="Normal 2 3 5 2 3 2" xfId="2269"/>
    <cellStyle name="Normal 2 3 5 2 3 2 2" xfId="4989"/>
    <cellStyle name="Normal 2 3 5 2 3 2 2 2" xfId="20832"/>
    <cellStyle name="Normal 2 3 5 2 3 2 2 2 2" xfId="20833"/>
    <cellStyle name="Normal 2 3 5 2 3 2 2 2 2 2" xfId="20834"/>
    <cellStyle name="Normal 2 3 5 2 3 2 2 2 3" xfId="20835"/>
    <cellStyle name="Normal 2 3 5 2 3 2 2 3" xfId="20836"/>
    <cellStyle name="Normal 2 3 5 2 3 2 2 3 2" xfId="20837"/>
    <cellStyle name="Normal 2 3 5 2 3 2 2 4" xfId="20838"/>
    <cellStyle name="Normal 2 3 5 2 3 2 3" xfId="20839"/>
    <cellStyle name="Normal 2 3 5 2 3 2 3 2" xfId="20840"/>
    <cellStyle name="Normal 2 3 5 2 3 2 3 2 2" xfId="20841"/>
    <cellStyle name="Normal 2 3 5 2 3 2 3 3" xfId="20842"/>
    <cellStyle name="Normal 2 3 5 2 3 2 4" xfId="20843"/>
    <cellStyle name="Normal 2 3 5 2 3 2 4 2" xfId="20844"/>
    <cellStyle name="Normal 2 3 5 2 3 2 5" xfId="20845"/>
    <cellStyle name="Normal 2 3 5 2 3 3" xfId="3629"/>
    <cellStyle name="Normal 2 3 5 2 3 3 2" xfId="20846"/>
    <cellStyle name="Normal 2 3 5 2 3 3 2 2" xfId="20847"/>
    <cellStyle name="Normal 2 3 5 2 3 3 2 2 2" xfId="20848"/>
    <cellStyle name="Normal 2 3 5 2 3 3 2 3" xfId="20849"/>
    <cellStyle name="Normal 2 3 5 2 3 3 3" xfId="20850"/>
    <cellStyle name="Normal 2 3 5 2 3 3 3 2" xfId="20851"/>
    <cellStyle name="Normal 2 3 5 2 3 3 4" xfId="20852"/>
    <cellStyle name="Normal 2 3 5 2 3 4" xfId="20853"/>
    <cellStyle name="Normal 2 3 5 2 3 4 2" xfId="20854"/>
    <cellStyle name="Normal 2 3 5 2 3 4 2 2" xfId="20855"/>
    <cellStyle name="Normal 2 3 5 2 3 4 3" xfId="20856"/>
    <cellStyle name="Normal 2 3 5 2 3 5" xfId="20857"/>
    <cellStyle name="Normal 2 3 5 2 3 5 2" xfId="20858"/>
    <cellStyle name="Normal 2 3 5 2 3 6" xfId="20859"/>
    <cellStyle name="Normal 2 3 5 2 4" xfId="1589"/>
    <cellStyle name="Normal 2 3 5 2 4 2" xfId="4309"/>
    <cellStyle name="Normal 2 3 5 2 4 2 2" xfId="20860"/>
    <cellStyle name="Normal 2 3 5 2 4 2 2 2" xfId="20861"/>
    <cellStyle name="Normal 2 3 5 2 4 2 2 2 2" xfId="20862"/>
    <cellStyle name="Normal 2 3 5 2 4 2 2 3" xfId="20863"/>
    <cellStyle name="Normal 2 3 5 2 4 2 3" xfId="20864"/>
    <cellStyle name="Normal 2 3 5 2 4 2 3 2" xfId="20865"/>
    <cellStyle name="Normal 2 3 5 2 4 2 4" xfId="20866"/>
    <cellStyle name="Normal 2 3 5 2 4 3" xfId="20867"/>
    <cellStyle name="Normal 2 3 5 2 4 3 2" xfId="20868"/>
    <cellStyle name="Normal 2 3 5 2 4 3 2 2" xfId="20869"/>
    <cellStyle name="Normal 2 3 5 2 4 3 3" xfId="20870"/>
    <cellStyle name="Normal 2 3 5 2 4 4" xfId="20871"/>
    <cellStyle name="Normal 2 3 5 2 4 4 2" xfId="20872"/>
    <cellStyle name="Normal 2 3 5 2 4 5" xfId="20873"/>
    <cellStyle name="Normal 2 3 5 2 5" xfId="2949"/>
    <cellStyle name="Normal 2 3 5 2 5 2" xfId="20874"/>
    <cellStyle name="Normal 2 3 5 2 5 2 2" xfId="20875"/>
    <cellStyle name="Normal 2 3 5 2 5 2 2 2" xfId="20876"/>
    <cellStyle name="Normal 2 3 5 2 5 2 3" xfId="20877"/>
    <cellStyle name="Normal 2 3 5 2 5 3" xfId="20878"/>
    <cellStyle name="Normal 2 3 5 2 5 3 2" xfId="20879"/>
    <cellStyle name="Normal 2 3 5 2 5 4" xfId="20880"/>
    <cellStyle name="Normal 2 3 5 2 6" xfId="20881"/>
    <cellStyle name="Normal 2 3 5 2 6 2" xfId="20882"/>
    <cellStyle name="Normal 2 3 5 2 6 2 2" xfId="20883"/>
    <cellStyle name="Normal 2 3 5 2 6 3" xfId="20884"/>
    <cellStyle name="Normal 2 3 5 2 7" xfId="20885"/>
    <cellStyle name="Normal 2 3 5 2 7 2" xfId="20886"/>
    <cellStyle name="Normal 2 3 5 2 8" xfId="20887"/>
    <cellStyle name="Normal 2 3 5 3" xfId="365"/>
    <cellStyle name="Normal 2 3 5 3 2" xfId="1045"/>
    <cellStyle name="Normal 2 3 5 3 2 2" xfId="2405"/>
    <cellStyle name="Normal 2 3 5 3 2 2 2" xfId="5125"/>
    <cellStyle name="Normal 2 3 5 3 2 2 2 2" xfId="20888"/>
    <cellStyle name="Normal 2 3 5 3 2 2 2 2 2" xfId="20889"/>
    <cellStyle name="Normal 2 3 5 3 2 2 2 2 2 2" xfId="20890"/>
    <cellStyle name="Normal 2 3 5 3 2 2 2 2 3" xfId="20891"/>
    <cellStyle name="Normal 2 3 5 3 2 2 2 3" xfId="20892"/>
    <cellStyle name="Normal 2 3 5 3 2 2 2 3 2" xfId="20893"/>
    <cellStyle name="Normal 2 3 5 3 2 2 2 4" xfId="20894"/>
    <cellStyle name="Normal 2 3 5 3 2 2 3" xfId="20895"/>
    <cellStyle name="Normal 2 3 5 3 2 2 3 2" xfId="20896"/>
    <cellStyle name="Normal 2 3 5 3 2 2 3 2 2" xfId="20897"/>
    <cellStyle name="Normal 2 3 5 3 2 2 3 3" xfId="20898"/>
    <cellStyle name="Normal 2 3 5 3 2 2 4" xfId="20899"/>
    <cellStyle name="Normal 2 3 5 3 2 2 4 2" xfId="20900"/>
    <cellStyle name="Normal 2 3 5 3 2 2 5" xfId="20901"/>
    <cellStyle name="Normal 2 3 5 3 2 3" xfId="3765"/>
    <cellStyle name="Normal 2 3 5 3 2 3 2" xfId="20902"/>
    <cellStyle name="Normal 2 3 5 3 2 3 2 2" xfId="20903"/>
    <cellStyle name="Normal 2 3 5 3 2 3 2 2 2" xfId="20904"/>
    <cellStyle name="Normal 2 3 5 3 2 3 2 3" xfId="20905"/>
    <cellStyle name="Normal 2 3 5 3 2 3 3" xfId="20906"/>
    <cellStyle name="Normal 2 3 5 3 2 3 3 2" xfId="20907"/>
    <cellStyle name="Normal 2 3 5 3 2 3 4" xfId="20908"/>
    <cellStyle name="Normal 2 3 5 3 2 4" xfId="20909"/>
    <cellStyle name="Normal 2 3 5 3 2 4 2" xfId="20910"/>
    <cellStyle name="Normal 2 3 5 3 2 4 2 2" xfId="20911"/>
    <cellStyle name="Normal 2 3 5 3 2 4 3" xfId="20912"/>
    <cellStyle name="Normal 2 3 5 3 2 5" xfId="20913"/>
    <cellStyle name="Normal 2 3 5 3 2 5 2" xfId="20914"/>
    <cellStyle name="Normal 2 3 5 3 2 6" xfId="20915"/>
    <cellStyle name="Normal 2 3 5 3 3" xfId="1725"/>
    <cellStyle name="Normal 2 3 5 3 3 2" xfId="4445"/>
    <cellStyle name="Normal 2 3 5 3 3 2 2" xfId="20916"/>
    <cellStyle name="Normal 2 3 5 3 3 2 2 2" xfId="20917"/>
    <cellStyle name="Normal 2 3 5 3 3 2 2 2 2" xfId="20918"/>
    <cellStyle name="Normal 2 3 5 3 3 2 2 3" xfId="20919"/>
    <cellStyle name="Normal 2 3 5 3 3 2 3" xfId="20920"/>
    <cellStyle name="Normal 2 3 5 3 3 2 3 2" xfId="20921"/>
    <cellStyle name="Normal 2 3 5 3 3 2 4" xfId="20922"/>
    <cellStyle name="Normal 2 3 5 3 3 3" xfId="20923"/>
    <cellStyle name="Normal 2 3 5 3 3 3 2" xfId="20924"/>
    <cellStyle name="Normal 2 3 5 3 3 3 2 2" xfId="20925"/>
    <cellStyle name="Normal 2 3 5 3 3 3 3" xfId="20926"/>
    <cellStyle name="Normal 2 3 5 3 3 4" xfId="20927"/>
    <cellStyle name="Normal 2 3 5 3 3 4 2" xfId="20928"/>
    <cellStyle name="Normal 2 3 5 3 3 5" xfId="20929"/>
    <cellStyle name="Normal 2 3 5 3 4" xfId="3085"/>
    <cellStyle name="Normal 2 3 5 3 4 2" xfId="20930"/>
    <cellStyle name="Normal 2 3 5 3 4 2 2" xfId="20931"/>
    <cellStyle name="Normal 2 3 5 3 4 2 2 2" xfId="20932"/>
    <cellStyle name="Normal 2 3 5 3 4 2 3" xfId="20933"/>
    <cellStyle name="Normal 2 3 5 3 4 3" xfId="20934"/>
    <cellStyle name="Normal 2 3 5 3 4 3 2" xfId="20935"/>
    <cellStyle name="Normal 2 3 5 3 4 4" xfId="20936"/>
    <cellStyle name="Normal 2 3 5 3 5" xfId="20937"/>
    <cellStyle name="Normal 2 3 5 3 5 2" xfId="20938"/>
    <cellStyle name="Normal 2 3 5 3 5 2 2" xfId="20939"/>
    <cellStyle name="Normal 2 3 5 3 5 3" xfId="20940"/>
    <cellStyle name="Normal 2 3 5 3 6" xfId="20941"/>
    <cellStyle name="Normal 2 3 5 3 6 2" xfId="20942"/>
    <cellStyle name="Normal 2 3 5 3 7" xfId="20943"/>
    <cellStyle name="Normal 2 3 5 4" xfId="637"/>
    <cellStyle name="Normal 2 3 5 4 2" xfId="1317"/>
    <cellStyle name="Normal 2 3 5 4 2 2" xfId="2677"/>
    <cellStyle name="Normal 2 3 5 4 2 2 2" xfId="5397"/>
    <cellStyle name="Normal 2 3 5 4 2 2 2 2" xfId="20944"/>
    <cellStyle name="Normal 2 3 5 4 2 2 2 2 2" xfId="20945"/>
    <cellStyle name="Normal 2 3 5 4 2 2 2 2 2 2" xfId="20946"/>
    <cellStyle name="Normal 2 3 5 4 2 2 2 2 3" xfId="20947"/>
    <cellStyle name="Normal 2 3 5 4 2 2 2 3" xfId="20948"/>
    <cellStyle name="Normal 2 3 5 4 2 2 2 3 2" xfId="20949"/>
    <cellStyle name="Normal 2 3 5 4 2 2 2 4" xfId="20950"/>
    <cellStyle name="Normal 2 3 5 4 2 2 3" xfId="20951"/>
    <cellStyle name="Normal 2 3 5 4 2 2 3 2" xfId="20952"/>
    <cellStyle name="Normal 2 3 5 4 2 2 3 2 2" xfId="20953"/>
    <cellStyle name="Normal 2 3 5 4 2 2 3 3" xfId="20954"/>
    <cellStyle name="Normal 2 3 5 4 2 2 4" xfId="20955"/>
    <cellStyle name="Normal 2 3 5 4 2 2 4 2" xfId="20956"/>
    <cellStyle name="Normal 2 3 5 4 2 2 5" xfId="20957"/>
    <cellStyle name="Normal 2 3 5 4 2 3" xfId="4037"/>
    <cellStyle name="Normal 2 3 5 4 2 3 2" xfId="20958"/>
    <cellStyle name="Normal 2 3 5 4 2 3 2 2" xfId="20959"/>
    <cellStyle name="Normal 2 3 5 4 2 3 2 2 2" xfId="20960"/>
    <cellStyle name="Normal 2 3 5 4 2 3 2 3" xfId="20961"/>
    <cellStyle name="Normal 2 3 5 4 2 3 3" xfId="20962"/>
    <cellStyle name="Normal 2 3 5 4 2 3 3 2" xfId="20963"/>
    <cellStyle name="Normal 2 3 5 4 2 3 4" xfId="20964"/>
    <cellStyle name="Normal 2 3 5 4 2 4" xfId="20965"/>
    <cellStyle name="Normal 2 3 5 4 2 4 2" xfId="20966"/>
    <cellStyle name="Normal 2 3 5 4 2 4 2 2" xfId="20967"/>
    <cellStyle name="Normal 2 3 5 4 2 4 3" xfId="20968"/>
    <cellStyle name="Normal 2 3 5 4 2 5" xfId="20969"/>
    <cellStyle name="Normal 2 3 5 4 2 5 2" xfId="20970"/>
    <cellStyle name="Normal 2 3 5 4 2 6" xfId="20971"/>
    <cellStyle name="Normal 2 3 5 4 3" xfId="1997"/>
    <cellStyle name="Normal 2 3 5 4 3 2" xfId="4717"/>
    <cellStyle name="Normal 2 3 5 4 3 2 2" xfId="20972"/>
    <cellStyle name="Normal 2 3 5 4 3 2 2 2" xfId="20973"/>
    <cellStyle name="Normal 2 3 5 4 3 2 2 2 2" xfId="20974"/>
    <cellStyle name="Normal 2 3 5 4 3 2 2 3" xfId="20975"/>
    <cellStyle name="Normal 2 3 5 4 3 2 3" xfId="20976"/>
    <cellStyle name="Normal 2 3 5 4 3 2 3 2" xfId="20977"/>
    <cellStyle name="Normal 2 3 5 4 3 2 4" xfId="20978"/>
    <cellStyle name="Normal 2 3 5 4 3 3" xfId="20979"/>
    <cellStyle name="Normal 2 3 5 4 3 3 2" xfId="20980"/>
    <cellStyle name="Normal 2 3 5 4 3 3 2 2" xfId="20981"/>
    <cellStyle name="Normal 2 3 5 4 3 3 3" xfId="20982"/>
    <cellStyle name="Normal 2 3 5 4 3 4" xfId="20983"/>
    <cellStyle name="Normal 2 3 5 4 3 4 2" xfId="20984"/>
    <cellStyle name="Normal 2 3 5 4 3 5" xfId="20985"/>
    <cellStyle name="Normal 2 3 5 4 4" xfId="3357"/>
    <cellStyle name="Normal 2 3 5 4 4 2" xfId="20986"/>
    <cellStyle name="Normal 2 3 5 4 4 2 2" xfId="20987"/>
    <cellStyle name="Normal 2 3 5 4 4 2 2 2" xfId="20988"/>
    <cellStyle name="Normal 2 3 5 4 4 2 3" xfId="20989"/>
    <cellStyle name="Normal 2 3 5 4 4 3" xfId="20990"/>
    <cellStyle name="Normal 2 3 5 4 4 3 2" xfId="20991"/>
    <cellStyle name="Normal 2 3 5 4 4 4" xfId="20992"/>
    <cellStyle name="Normal 2 3 5 4 5" xfId="20993"/>
    <cellStyle name="Normal 2 3 5 4 5 2" xfId="20994"/>
    <cellStyle name="Normal 2 3 5 4 5 2 2" xfId="20995"/>
    <cellStyle name="Normal 2 3 5 4 5 3" xfId="20996"/>
    <cellStyle name="Normal 2 3 5 4 6" xfId="20997"/>
    <cellStyle name="Normal 2 3 5 4 6 2" xfId="20998"/>
    <cellStyle name="Normal 2 3 5 4 7" xfId="20999"/>
    <cellStyle name="Normal 2 3 5 5" xfId="773"/>
    <cellStyle name="Normal 2 3 5 5 2" xfId="2133"/>
    <cellStyle name="Normal 2 3 5 5 2 2" xfId="4853"/>
    <cellStyle name="Normal 2 3 5 5 2 2 2" xfId="21000"/>
    <cellStyle name="Normal 2 3 5 5 2 2 2 2" xfId="21001"/>
    <cellStyle name="Normal 2 3 5 5 2 2 2 2 2" xfId="21002"/>
    <cellStyle name="Normal 2 3 5 5 2 2 2 3" xfId="21003"/>
    <cellStyle name="Normal 2 3 5 5 2 2 3" xfId="21004"/>
    <cellStyle name="Normal 2 3 5 5 2 2 3 2" xfId="21005"/>
    <cellStyle name="Normal 2 3 5 5 2 2 4" xfId="21006"/>
    <cellStyle name="Normal 2 3 5 5 2 3" xfId="21007"/>
    <cellStyle name="Normal 2 3 5 5 2 3 2" xfId="21008"/>
    <cellStyle name="Normal 2 3 5 5 2 3 2 2" xfId="21009"/>
    <cellStyle name="Normal 2 3 5 5 2 3 3" xfId="21010"/>
    <cellStyle name="Normal 2 3 5 5 2 4" xfId="21011"/>
    <cellStyle name="Normal 2 3 5 5 2 4 2" xfId="21012"/>
    <cellStyle name="Normal 2 3 5 5 2 5" xfId="21013"/>
    <cellStyle name="Normal 2 3 5 5 3" xfId="3493"/>
    <cellStyle name="Normal 2 3 5 5 3 2" xfId="21014"/>
    <cellStyle name="Normal 2 3 5 5 3 2 2" xfId="21015"/>
    <cellStyle name="Normal 2 3 5 5 3 2 2 2" xfId="21016"/>
    <cellStyle name="Normal 2 3 5 5 3 2 3" xfId="21017"/>
    <cellStyle name="Normal 2 3 5 5 3 3" xfId="21018"/>
    <cellStyle name="Normal 2 3 5 5 3 3 2" xfId="21019"/>
    <cellStyle name="Normal 2 3 5 5 3 4" xfId="21020"/>
    <cellStyle name="Normal 2 3 5 5 4" xfId="21021"/>
    <cellStyle name="Normal 2 3 5 5 4 2" xfId="21022"/>
    <cellStyle name="Normal 2 3 5 5 4 2 2" xfId="21023"/>
    <cellStyle name="Normal 2 3 5 5 4 3" xfId="21024"/>
    <cellStyle name="Normal 2 3 5 5 5" xfId="21025"/>
    <cellStyle name="Normal 2 3 5 5 5 2" xfId="21026"/>
    <cellStyle name="Normal 2 3 5 5 6" xfId="21027"/>
    <cellStyle name="Normal 2 3 5 6" xfId="1453"/>
    <cellStyle name="Normal 2 3 5 6 2" xfId="4173"/>
    <cellStyle name="Normal 2 3 5 6 2 2" xfId="21028"/>
    <cellStyle name="Normal 2 3 5 6 2 2 2" xfId="21029"/>
    <cellStyle name="Normal 2 3 5 6 2 2 2 2" xfId="21030"/>
    <cellStyle name="Normal 2 3 5 6 2 2 3" xfId="21031"/>
    <cellStyle name="Normal 2 3 5 6 2 3" xfId="21032"/>
    <cellStyle name="Normal 2 3 5 6 2 3 2" xfId="21033"/>
    <cellStyle name="Normal 2 3 5 6 2 4" xfId="21034"/>
    <cellStyle name="Normal 2 3 5 6 3" xfId="21035"/>
    <cellStyle name="Normal 2 3 5 6 3 2" xfId="21036"/>
    <cellStyle name="Normal 2 3 5 6 3 2 2" xfId="21037"/>
    <cellStyle name="Normal 2 3 5 6 3 3" xfId="21038"/>
    <cellStyle name="Normal 2 3 5 6 4" xfId="21039"/>
    <cellStyle name="Normal 2 3 5 6 4 2" xfId="21040"/>
    <cellStyle name="Normal 2 3 5 6 5" xfId="21041"/>
    <cellStyle name="Normal 2 3 5 7" xfId="2813"/>
    <cellStyle name="Normal 2 3 5 7 2" xfId="21042"/>
    <cellStyle name="Normal 2 3 5 7 2 2" xfId="21043"/>
    <cellStyle name="Normal 2 3 5 7 2 2 2" xfId="21044"/>
    <cellStyle name="Normal 2 3 5 7 2 3" xfId="21045"/>
    <cellStyle name="Normal 2 3 5 7 3" xfId="21046"/>
    <cellStyle name="Normal 2 3 5 7 3 2" xfId="21047"/>
    <cellStyle name="Normal 2 3 5 7 4" xfId="21048"/>
    <cellStyle name="Normal 2 3 5 8" xfId="21049"/>
    <cellStyle name="Normal 2 3 5 8 2" xfId="21050"/>
    <cellStyle name="Normal 2 3 5 8 2 2" xfId="21051"/>
    <cellStyle name="Normal 2 3 5 8 3" xfId="21052"/>
    <cellStyle name="Normal 2 3 5 9" xfId="21053"/>
    <cellStyle name="Normal 2 3 5 9 2" xfId="21054"/>
    <cellStyle name="Normal 2 3 6" xfId="161"/>
    <cellStyle name="Normal 2 3 6 2" xfId="433"/>
    <cellStyle name="Normal 2 3 6 2 2" xfId="1113"/>
    <cellStyle name="Normal 2 3 6 2 2 2" xfId="2473"/>
    <cellStyle name="Normal 2 3 6 2 2 2 2" xfId="5193"/>
    <cellStyle name="Normal 2 3 6 2 2 2 2 2" xfId="21055"/>
    <cellStyle name="Normal 2 3 6 2 2 2 2 2 2" xfId="21056"/>
    <cellStyle name="Normal 2 3 6 2 2 2 2 2 2 2" xfId="21057"/>
    <cellStyle name="Normal 2 3 6 2 2 2 2 2 3" xfId="21058"/>
    <cellStyle name="Normal 2 3 6 2 2 2 2 3" xfId="21059"/>
    <cellStyle name="Normal 2 3 6 2 2 2 2 3 2" xfId="21060"/>
    <cellStyle name="Normal 2 3 6 2 2 2 2 4" xfId="21061"/>
    <cellStyle name="Normal 2 3 6 2 2 2 3" xfId="21062"/>
    <cellStyle name="Normal 2 3 6 2 2 2 3 2" xfId="21063"/>
    <cellStyle name="Normal 2 3 6 2 2 2 3 2 2" xfId="21064"/>
    <cellStyle name="Normal 2 3 6 2 2 2 3 3" xfId="21065"/>
    <cellStyle name="Normal 2 3 6 2 2 2 4" xfId="21066"/>
    <cellStyle name="Normal 2 3 6 2 2 2 4 2" xfId="21067"/>
    <cellStyle name="Normal 2 3 6 2 2 2 5" xfId="21068"/>
    <cellStyle name="Normal 2 3 6 2 2 3" xfId="3833"/>
    <cellStyle name="Normal 2 3 6 2 2 3 2" xfId="21069"/>
    <cellStyle name="Normal 2 3 6 2 2 3 2 2" xfId="21070"/>
    <cellStyle name="Normal 2 3 6 2 2 3 2 2 2" xfId="21071"/>
    <cellStyle name="Normal 2 3 6 2 2 3 2 3" xfId="21072"/>
    <cellStyle name="Normal 2 3 6 2 2 3 3" xfId="21073"/>
    <cellStyle name="Normal 2 3 6 2 2 3 3 2" xfId="21074"/>
    <cellStyle name="Normal 2 3 6 2 2 3 4" xfId="21075"/>
    <cellStyle name="Normal 2 3 6 2 2 4" xfId="21076"/>
    <cellStyle name="Normal 2 3 6 2 2 4 2" xfId="21077"/>
    <cellStyle name="Normal 2 3 6 2 2 4 2 2" xfId="21078"/>
    <cellStyle name="Normal 2 3 6 2 2 4 3" xfId="21079"/>
    <cellStyle name="Normal 2 3 6 2 2 5" xfId="21080"/>
    <cellStyle name="Normal 2 3 6 2 2 5 2" xfId="21081"/>
    <cellStyle name="Normal 2 3 6 2 2 6" xfId="21082"/>
    <cellStyle name="Normal 2 3 6 2 3" xfId="1793"/>
    <cellStyle name="Normal 2 3 6 2 3 2" xfId="4513"/>
    <cellStyle name="Normal 2 3 6 2 3 2 2" xfId="21083"/>
    <cellStyle name="Normal 2 3 6 2 3 2 2 2" xfId="21084"/>
    <cellStyle name="Normal 2 3 6 2 3 2 2 2 2" xfId="21085"/>
    <cellStyle name="Normal 2 3 6 2 3 2 2 3" xfId="21086"/>
    <cellStyle name="Normal 2 3 6 2 3 2 3" xfId="21087"/>
    <cellStyle name="Normal 2 3 6 2 3 2 3 2" xfId="21088"/>
    <cellStyle name="Normal 2 3 6 2 3 2 4" xfId="21089"/>
    <cellStyle name="Normal 2 3 6 2 3 3" xfId="21090"/>
    <cellStyle name="Normal 2 3 6 2 3 3 2" xfId="21091"/>
    <cellStyle name="Normal 2 3 6 2 3 3 2 2" xfId="21092"/>
    <cellStyle name="Normal 2 3 6 2 3 3 3" xfId="21093"/>
    <cellStyle name="Normal 2 3 6 2 3 4" xfId="21094"/>
    <cellStyle name="Normal 2 3 6 2 3 4 2" xfId="21095"/>
    <cellStyle name="Normal 2 3 6 2 3 5" xfId="21096"/>
    <cellStyle name="Normal 2 3 6 2 4" xfId="3153"/>
    <cellStyle name="Normal 2 3 6 2 4 2" xfId="21097"/>
    <cellStyle name="Normal 2 3 6 2 4 2 2" xfId="21098"/>
    <cellStyle name="Normal 2 3 6 2 4 2 2 2" xfId="21099"/>
    <cellStyle name="Normal 2 3 6 2 4 2 3" xfId="21100"/>
    <cellStyle name="Normal 2 3 6 2 4 3" xfId="21101"/>
    <cellStyle name="Normal 2 3 6 2 4 3 2" xfId="21102"/>
    <cellStyle name="Normal 2 3 6 2 4 4" xfId="21103"/>
    <cellStyle name="Normal 2 3 6 2 5" xfId="21104"/>
    <cellStyle name="Normal 2 3 6 2 5 2" xfId="21105"/>
    <cellStyle name="Normal 2 3 6 2 5 2 2" xfId="21106"/>
    <cellStyle name="Normal 2 3 6 2 5 3" xfId="21107"/>
    <cellStyle name="Normal 2 3 6 2 6" xfId="21108"/>
    <cellStyle name="Normal 2 3 6 2 6 2" xfId="21109"/>
    <cellStyle name="Normal 2 3 6 2 7" xfId="21110"/>
    <cellStyle name="Normal 2 3 6 3" xfId="841"/>
    <cellStyle name="Normal 2 3 6 3 2" xfId="2201"/>
    <cellStyle name="Normal 2 3 6 3 2 2" xfId="4921"/>
    <cellStyle name="Normal 2 3 6 3 2 2 2" xfId="21111"/>
    <cellStyle name="Normal 2 3 6 3 2 2 2 2" xfId="21112"/>
    <cellStyle name="Normal 2 3 6 3 2 2 2 2 2" xfId="21113"/>
    <cellStyle name="Normal 2 3 6 3 2 2 2 3" xfId="21114"/>
    <cellStyle name="Normal 2 3 6 3 2 2 3" xfId="21115"/>
    <cellStyle name="Normal 2 3 6 3 2 2 3 2" xfId="21116"/>
    <cellStyle name="Normal 2 3 6 3 2 2 4" xfId="21117"/>
    <cellStyle name="Normal 2 3 6 3 2 3" xfId="21118"/>
    <cellStyle name="Normal 2 3 6 3 2 3 2" xfId="21119"/>
    <cellStyle name="Normal 2 3 6 3 2 3 2 2" xfId="21120"/>
    <cellStyle name="Normal 2 3 6 3 2 3 3" xfId="21121"/>
    <cellStyle name="Normal 2 3 6 3 2 4" xfId="21122"/>
    <cellStyle name="Normal 2 3 6 3 2 4 2" xfId="21123"/>
    <cellStyle name="Normal 2 3 6 3 2 5" xfId="21124"/>
    <cellStyle name="Normal 2 3 6 3 3" xfId="3561"/>
    <cellStyle name="Normal 2 3 6 3 3 2" xfId="21125"/>
    <cellStyle name="Normal 2 3 6 3 3 2 2" xfId="21126"/>
    <cellStyle name="Normal 2 3 6 3 3 2 2 2" xfId="21127"/>
    <cellStyle name="Normal 2 3 6 3 3 2 3" xfId="21128"/>
    <cellStyle name="Normal 2 3 6 3 3 3" xfId="21129"/>
    <cellStyle name="Normal 2 3 6 3 3 3 2" xfId="21130"/>
    <cellStyle name="Normal 2 3 6 3 3 4" xfId="21131"/>
    <cellStyle name="Normal 2 3 6 3 4" xfId="21132"/>
    <cellStyle name="Normal 2 3 6 3 4 2" xfId="21133"/>
    <cellStyle name="Normal 2 3 6 3 4 2 2" xfId="21134"/>
    <cellStyle name="Normal 2 3 6 3 4 3" xfId="21135"/>
    <cellStyle name="Normal 2 3 6 3 5" xfId="21136"/>
    <cellStyle name="Normal 2 3 6 3 5 2" xfId="21137"/>
    <cellStyle name="Normal 2 3 6 3 6" xfId="21138"/>
    <cellStyle name="Normal 2 3 6 4" xfId="1521"/>
    <cellStyle name="Normal 2 3 6 4 2" xfId="4241"/>
    <cellStyle name="Normal 2 3 6 4 2 2" xfId="21139"/>
    <cellStyle name="Normal 2 3 6 4 2 2 2" xfId="21140"/>
    <cellStyle name="Normal 2 3 6 4 2 2 2 2" xfId="21141"/>
    <cellStyle name="Normal 2 3 6 4 2 2 3" xfId="21142"/>
    <cellStyle name="Normal 2 3 6 4 2 3" xfId="21143"/>
    <cellStyle name="Normal 2 3 6 4 2 3 2" xfId="21144"/>
    <cellStyle name="Normal 2 3 6 4 2 4" xfId="21145"/>
    <cellStyle name="Normal 2 3 6 4 3" xfId="21146"/>
    <cellStyle name="Normal 2 3 6 4 3 2" xfId="21147"/>
    <cellStyle name="Normal 2 3 6 4 3 2 2" xfId="21148"/>
    <cellStyle name="Normal 2 3 6 4 3 3" xfId="21149"/>
    <cellStyle name="Normal 2 3 6 4 4" xfId="21150"/>
    <cellStyle name="Normal 2 3 6 4 4 2" xfId="21151"/>
    <cellStyle name="Normal 2 3 6 4 5" xfId="21152"/>
    <cellStyle name="Normal 2 3 6 5" xfId="2881"/>
    <cellStyle name="Normal 2 3 6 5 2" xfId="21153"/>
    <cellStyle name="Normal 2 3 6 5 2 2" xfId="21154"/>
    <cellStyle name="Normal 2 3 6 5 2 2 2" xfId="21155"/>
    <cellStyle name="Normal 2 3 6 5 2 3" xfId="21156"/>
    <cellStyle name="Normal 2 3 6 5 3" xfId="21157"/>
    <cellStyle name="Normal 2 3 6 5 3 2" xfId="21158"/>
    <cellStyle name="Normal 2 3 6 5 4" xfId="21159"/>
    <cellStyle name="Normal 2 3 6 6" xfId="21160"/>
    <cellStyle name="Normal 2 3 6 6 2" xfId="21161"/>
    <cellStyle name="Normal 2 3 6 6 2 2" xfId="21162"/>
    <cellStyle name="Normal 2 3 6 6 3" xfId="21163"/>
    <cellStyle name="Normal 2 3 6 7" xfId="21164"/>
    <cellStyle name="Normal 2 3 6 7 2" xfId="21165"/>
    <cellStyle name="Normal 2 3 6 8" xfId="21166"/>
    <cellStyle name="Normal 2 3 7" xfId="297"/>
    <cellStyle name="Normal 2 3 7 2" xfId="977"/>
    <cellStyle name="Normal 2 3 7 2 2" xfId="2337"/>
    <cellStyle name="Normal 2 3 7 2 2 2" xfId="5057"/>
    <cellStyle name="Normal 2 3 7 2 2 2 2" xfId="21167"/>
    <cellStyle name="Normal 2 3 7 2 2 2 2 2" xfId="21168"/>
    <cellStyle name="Normal 2 3 7 2 2 2 2 2 2" xfId="21169"/>
    <cellStyle name="Normal 2 3 7 2 2 2 2 3" xfId="21170"/>
    <cellStyle name="Normal 2 3 7 2 2 2 3" xfId="21171"/>
    <cellStyle name="Normal 2 3 7 2 2 2 3 2" xfId="21172"/>
    <cellStyle name="Normal 2 3 7 2 2 2 4" xfId="21173"/>
    <cellStyle name="Normal 2 3 7 2 2 3" xfId="21174"/>
    <cellStyle name="Normal 2 3 7 2 2 3 2" xfId="21175"/>
    <cellStyle name="Normal 2 3 7 2 2 3 2 2" xfId="21176"/>
    <cellStyle name="Normal 2 3 7 2 2 3 3" xfId="21177"/>
    <cellStyle name="Normal 2 3 7 2 2 4" xfId="21178"/>
    <cellStyle name="Normal 2 3 7 2 2 4 2" xfId="21179"/>
    <cellStyle name="Normal 2 3 7 2 2 5" xfId="21180"/>
    <cellStyle name="Normal 2 3 7 2 3" xfId="3697"/>
    <cellStyle name="Normal 2 3 7 2 3 2" xfId="21181"/>
    <cellStyle name="Normal 2 3 7 2 3 2 2" xfId="21182"/>
    <cellStyle name="Normal 2 3 7 2 3 2 2 2" xfId="21183"/>
    <cellStyle name="Normal 2 3 7 2 3 2 3" xfId="21184"/>
    <cellStyle name="Normal 2 3 7 2 3 3" xfId="21185"/>
    <cellStyle name="Normal 2 3 7 2 3 3 2" xfId="21186"/>
    <cellStyle name="Normal 2 3 7 2 3 4" xfId="21187"/>
    <cellStyle name="Normal 2 3 7 2 4" xfId="21188"/>
    <cellStyle name="Normal 2 3 7 2 4 2" xfId="21189"/>
    <cellStyle name="Normal 2 3 7 2 4 2 2" xfId="21190"/>
    <cellStyle name="Normal 2 3 7 2 4 3" xfId="21191"/>
    <cellStyle name="Normal 2 3 7 2 5" xfId="21192"/>
    <cellStyle name="Normal 2 3 7 2 5 2" xfId="21193"/>
    <cellStyle name="Normal 2 3 7 2 6" xfId="21194"/>
    <cellStyle name="Normal 2 3 7 3" xfId="1657"/>
    <cellStyle name="Normal 2 3 7 3 2" xfId="4377"/>
    <cellStyle name="Normal 2 3 7 3 2 2" xfId="21195"/>
    <cellStyle name="Normal 2 3 7 3 2 2 2" xfId="21196"/>
    <cellStyle name="Normal 2 3 7 3 2 2 2 2" xfId="21197"/>
    <cellStyle name="Normal 2 3 7 3 2 2 3" xfId="21198"/>
    <cellStyle name="Normal 2 3 7 3 2 3" xfId="21199"/>
    <cellStyle name="Normal 2 3 7 3 2 3 2" xfId="21200"/>
    <cellStyle name="Normal 2 3 7 3 2 4" xfId="21201"/>
    <cellStyle name="Normal 2 3 7 3 3" xfId="21202"/>
    <cellStyle name="Normal 2 3 7 3 3 2" xfId="21203"/>
    <cellStyle name="Normal 2 3 7 3 3 2 2" xfId="21204"/>
    <cellStyle name="Normal 2 3 7 3 3 3" xfId="21205"/>
    <cellStyle name="Normal 2 3 7 3 4" xfId="21206"/>
    <cellStyle name="Normal 2 3 7 3 4 2" xfId="21207"/>
    <cellStyle name="Normal 2 3 7 3 5" xfId="21208"/>
    <cellStyle name="Normal 2 3 7 4" xfId="3017"/>
    <cellStyle name="Normal 2 3 7 4 2" xfId="21209"/>
    <cellStyle name="Normal 2 3 7 4 2 2" xfId="21210"/>
    <cellStyle name="Normal 2 3 7 4 2 2 2" xfId="21211"/>
    <cellStyle name="Normal 2 3 7 4 2 3" xfId="21212"/>
    <cellStyle name="Normal 2 3 7 4 3" xfId="21213"/>
    <cellStyle name="Normal 2 3 7 4 3 2" xfId="21214"/>
    <cellStyle name="Normal 2 3 7 4 4" xfId="21215"/>
    <cellStyle name="Normal 2 3 7 5" xfId="21216"/>
    <cellStyle name="Normal 2 3 7 5 2" xfId="21217"/>
    <cellStyle name="Normal 2 3 7 5 2 2" xfId="21218"/>
    <cellStyle name="Normal 2 3 7 5 3" xfId="21219"/>
    <cellStyle name="Normal 2 3 7 6" xfId="21220"/>
    <cellStyle name="Normal 2 3 7 6 2" xfId="21221"/>
    <cellStyle name="Normal 2 3 7 7" xfId="21222"/>
    <cellStyle name="Normal 2 3 8" xfId="569"/>
    <cellStyle name="Normal 2 3 8 2" xfId="1249"/>
    <cellStyle name="Normal 2 3 8 2 2" xfId="2609"/>
    <cellStyle name="Normal 2 3 8 2 2 2" xfId="5329"/>
    <cellStyle name="Normal 2 3 8 2 2 2 2" xfId="21223"/>
    <cellStyle name="Normal 2 3 8 2 2 2 2 2" xfId="21224"/>
    <cellStyle name="Normal 2 3 8 2 2 2 2 2 2" xfId="21225"/>
    <cellStyle name="Normal 2 3 8 2 2 2 2 3" xfId="21226"/>
    <cellStyle name="Normal 2 3 8 2 2 2 3" xfId="21227"/>
    <cellStyle name="Normal 2 3 8 2 2 2 3 2" xfId="21228"/>
    <cellStyle name="Normal 2 3 8 2 2 2 4" xfId="21229"/>
    <cellStyle name="Normal 2 3 8 2 2 3" xfId="21230"/>
    <cellStyle name="Normal 2 3 8 2 2 3 2" xfId="21231"/>
    <cellStyle name="Normal 2 3 8 2 2 3 2 2" xfId="21232"/>
    <cellStyle name="Normal 2 3 8 2 2 3 3" xfId="21233"/>
    <cellStyle name="Normal 2 3 8 2 2 4" xfId="21234"/>
    <cellStyle name="Normal 2 3 8 2 2 4 2" xfId="21235"/>
    <cellStyle name="Normal 2 3 8 2 2 5" xfId="21236"/>
    <cellStyle name="Normal 2 3 8 2 3" xfId="3969"/>
    <cellStyle name="Normal 2 3 8 2 3 2" xfId="21237"/>
    <cellStyle name="Normal 2 3 8 2 3 2 2" xfId="21238"/>
    <cellStyle name="Normal 2 3 8 2 3 2 2 2" xfId="21239"/>
    <cellStyle name="Normal 2 3 8 2 3 2 3" xfId="21240"/>
    <cellStyle name="Normal 2 3 8 2 3 3" xfId="21241"/>
    <cellStyle name="Normal 2 3 8 2 3 3 2" xfId="21242"/>
    <cellStyle name="Normal 2 3 8 2 3 4" xfId="21243"/>
    <cellStyle name="Normal 2 3 8 2 4" xfId="21244"/>
    <cellStyle name="Normal 2 3 8 2 4 2" xfId="21245"/>
    <cellStyle name="Normal 2 3 8 2 4 2 2" xfId="21246"/>
    <cellStyle name="Normal 2 3 8 2 4 3" xfId="21247"/>
    <cellStyle name="Normal 2 3 8 2 5" xfId="21248"/>
    <cellStyle name="Normal 2 3 8 2 5 2" xfId="21249"/>
    <cellStyle name="Normal 2 3 8 2 6" xfId="21250"/>
    <cellStyle name="Normal 2 3 8 3" xfId="1929"/>
    <cellStyle name="Normal 2 3 8 3 2" xfId="4649"/>
    <cellStyle name="Normal 2 3 8 3 2 2" xfId="21251"/>
    <cellStyle name="Normal 2 3 8 3 2 2 2" xfId="21252"/>
    <cellStyle name="Normal 2 3 8 3 2 2 2 2" xfId="21253"/>
    <cellStyle name="Normal 2 3 8 3 2 2 3" xfId="21254"/>
    <cellStyle name="Normal 2 3 8 3 2 3" xfId="21255"/>
    <cellStyle name="Normal 2 3 8 3 2 3 2" xfId="21256"/>
    <cellStyle name="Normal 2 3 8 3 2 4" xfId="21257"/>
    <cellStyle name="Normal 2 3 8 3 3" xfId="21258"/>
    <cellStyle name="Normal 2 3 8 3 3 2" xfId="21259"/>
    <cellStyle name="Normal 2 3 8 3 3 2 2" xfId="21260"/>
    <cellStyle name="Normal 2 3 8 3 3 3" xfId="21261"/>
    <cellStyle name="Normal 2 3 8 3 4" xfId="21262"/>
    <cellStyle name="Normal 2 3 8 3 4 2" xfId="21263"/>
    <cellStyle name="Normal 2 3 8 3 5" xfId="21264"/>
    <cellStyle name="Normal 2 3 8 4" xfId="3289"/>
    <cellStyle name="Normal 2 3 8 4 2" xfId="21265"/>
    <cellStyle name="Normal 2 3 8 4 2 2" xfId="21266"/>
    <cellStyle name="Normal 2 3 8 4 2 2 2" xfId="21267"/>
    <cellStyle name="Normal 2 3 8 4 2 3" xfId="21268"/>
    <cellStyle name="Normal 2 3 8 4 3" xfId="21269"/>
    <cellStyle name="Normal 2 3 8 4 3 2" xfId="21270"/>
    <cellStyle name="Normal 2 3 8 4 4" xfId="21271"/>
    <cellStyle name="Normal 2 3 8 5" xfId="21272"/>
    <cellStyle name="Normal 2 3 8 5 2" xfId="21273"/>
    <cellStyle name="Normal 2 3 8 5 2 2" xfId="21274"/>
    <cellStyle name="Normal 2 3 8 5 3" xfId="21275"/>
    <cellStyle name="Normal 2 3 8 6" xfId="21276"/>
    <cellStyle name="Normal 2 3 8 6 2" xfId="21277"/>
    <cellStyle name="Normal 2 3 8 7" xfId="21278"/>
    <cellStyle name="Normal 2 3 9" xfId="705"/>
    <cellStyle name="Normal 2 3 9 2" xfId="2065"/>
    <cellStyle name="Normal 2 3 9 2 2" xfId="4785"/>
    <cellStyle name="Normal 2 3 9 2 2 2" xfId="21279"/>
    <cellStyle name="Normal 2 3 9 2 2 2 2" xfId="21280"/>
    <cellStyle name="Normal 2 3 9 2 2 2 2 2" xfId="21281"/>
    <cellStyle name="Normal 2 3 9 2 2 2 3" xfId="21282"/>
    <cellStyle name="Normal 2 3 9 2 2 3" xfId="21283"/>
    <cellStyle name="Normal 2 3 9 2 2 3 2" xfId="21284"/>
    <cellStyle name="Normal 2 3 9 2 2 4" xfId="21285"/>
    <cellStyle name="Normal 2 3 9 2 3" xfId="21286"/>
    <cellStyle name="Normal 2 3 9 2 3 2" xfId="21287"/>
    <cellStyle name="Normal 2 3 9 2 3 2 2" xfId="21288"/>
    <cellStyle name="Normal 2 3 9 2 3 3" xfId="21289"/>
    <cellStyle name="Normal 2 3 9 2 4" xfId="21290"/>
    <cellStyle name="Normal 2 3 9 2 4 2" xfId="21291"/>
    <cellStyle name="Normal 2 3 9 2 5" xfId="21292"/>
    <cellStyle name="Normal 2 3 9 3" xfId="3425"/>
    <cellStyle name="Normal 2 3 9 3 2" xfId="21293"/>
    <cellStyle name="Normal 2 3 9 3 2 2" xfId="21294"/>
    <cellStyle name="Normal 2 3 9 3 2 2 2" xfId="21295"/>
    <cellStyle name="Normal 2 3 9 3 2 3" xfId="21296"/>
    <cellStyle name="Normal 2 3 9 3 3" xfId="21297"/>
    <cellStyle name="Normal 2 3 9 3 3 2" xfId="21298"/>
    <cellStyle name="Normal 2 3 9 3 4" xfId="21299"/>
    <cellStyle name="Normal 2 3 9 4" xfId="21300"/>
    <cellStyle name="Normal 2 3 9 4 2" xfId="21301"/>
    <cellStyle name="Normal 2 3 9 4 2 2" xfId="21302"/>
    <cellStyle name="Normal 2 3 9 4 3" xfId="21303"/>
    <cellStyle name="Normal 2 3 9 5" xfId="21304"/>
    <cellStyle name="Normal 2 3 9 5 2" xfId="21305"/>
    <cellStyle name="Normal 2 3 9 6" xfId="21306"/>
    <cellStyle name="Normal 2 4" xfId="16"/>
    <cellStyle name="Normal 2 4 10" xfId="2742"/>
    <cellStyle name="Normal 2 4 10 2" xfId="21307"/>
    <cellStyle name="Normal 2 4 10 2 2" xfId="21308"/>
    <cellStyle name="Normal 2 4 10 2 2 2" xfId="21309"/>
    <cellStyle name="Normal 2 4 10 2 3" xfId="21310"/>
    <cellStyle name="Normal 2 4 10 3" xfId="21311"/>
    <cellStyle name="Normal 2 4 10 3 2" xfId="21312"/>
    <cellStyle name="Normal 2 4 10 4" xfId="21313"/>
    <cellStyle name="Normal 2 4 11" xfId="21314"/>
    <cellStyle name="Normal 2 4 11 2" xfId="21315"/>
    <cellStyle name="Normal 2 4 11 2 2" xfId="21316"/>
    <cellStyle name="Normal 2 4 11 3" xfId="21317"/>
    <cellStyle name="Normal 2 4 12" xfId="21318"/>
    <cellStyle name="Normal 2 4 12 2" xfId="21319"/>
    <cellStyle name="Normal 2 4 13" xfId="21320"/>
    <cellStyle name="Normal 2 4 2" xfId="37"/>
    <cellStyle name="Normal 2 4 2 10" xfId="21321"/>
    <cellStyle name="Normal 2 4 2 10 2" xfId="21322"/>
    <cellStyle name="Normal 2 4 2 10 2 2" xfId="21323"/>
    <cellStyle name="Normal 2 4 2 10 3" xfId="21324"/>
    <cellStyle name="Normal 2 4 2 11" xfId="21325"/>
    <cellStyle name="Normal 2 4 2 11 2" xfId="21326"/>
    <cellStyle name="Normal 2 4 2 12" xfId="21327"/>
    <cellStyle name="Normal 2 4 2 2" xfId="72"/>
    <cellStyle name="Normal 2 4 2 2 10" xfId="21328"/>
    <cellStyle name="Normal 2 4 2 2 10 2" xfId="21329"/>
    <cellStyle name="Normal 2 4 2 2 11" xfId="21330"/>
    <cellStyle name="Normal 2 4 2 2 2" xfId="140"/>
    <cellStyle name="Normal 2 4 2 2 2 10" xfId="21331"/>
    <cellStyle name="Normal 2 4 2 2 2 2" xfId="277"/>
    <cellStyle name="Normal 2 4 2 2 2 2 2" xfId="549"/>
    <cellStyle name="Normal 2 4 2 2 2 2 2 2" xfId="1229"/>
    <cellStyle name="Normal 2 4 2 2 2 2 2 2 2" xfId="2589"/>
    <cellStyle name="Normal 2 4 2 2 2 2 2 2 2 2" xfId="5309"/>
    <cellStyle name="Normal 2 4 2 2 2 2 2 2 2 2 2" xfId="21332"/>
    <cellStyle name="Normal 2 4 2 2 2 2 2 2 2 2 2 2" xfId="21333"/>
    <cellStyle name="Normal 2 4 2 2 2 2 2 2 2 2 2 2 2" xfId="21334"/>
    <cellStyle name="Normal 2 4 2 2 2 2 2 2 2 2 2 3" xfId="21335"/>
    <cellStyle name="Normal 2 4 2 2 2 2 2 2 2 2 3" xfId="21336"/>
    <cellStyle name="Normal 2 4 2 2 2 2 2 2 2 2 3 2" xfId="21337"/>
    <cellStyle name="Normal 2 4 2 2 2 2 2 2 2 2 4" xfId="21338"/>
    <cellStyle name="Normal 2 4 2 2 2 2 2 2 2 3" xfId="21339"/>
    <cellStyle name="Normal 2 4 2 2 2 2 2 2 2 3 2" xfId="21340"/>
    <cellStyle name="Normal 2 4 2 2 2 2 2 2 2 3 2 2" xfId="21341"/>
    <cellStyle name="Normal 2 4 2 2 2 2 2 2 2 3 3" xfId="21342"/>
    <cellStyle name="Normal 2 4 2 2 2 2 2 2 2 4" xfId="21343"/>
    <cellStyle name="Normal 2 4 2 2 2 2 2 2 2 4 2" xfId="21344"/>
    <cellStyle name="Normal 2 4 2 2 2 2 2 2 2 5" xfId="21345"/>
    <cellStyle name="Normal 2 4 2 2 2 2 2 2 3" xfId="3949"/>
    <cellStyle name="Normal 2 4 2 2 2 2 2 2 3 2" xfId="21346"/>
    <cellStyle name="Normal 2 4 2 2 2 2 2 2 3 2 2" xfId="21347"/>
    <cellStyle name="Normal 2 4 2 2 2 2 2 2 3 2 2 2" xfId="21348"/>
    <cellStyle name="Normal 2 4 2 2 2 2 2 2 3 2 3" xfId="21349"/>
    <cellStyle name="Normal 2 4 2 2 2 2 2 2 3 3" xfId="21350"/>
    <cellStyle name="Normal 2 4 2 2 2 2 2 2 3 3 2" xfId="21351"/>
    <cellStyle name="Normal 2 4 2 2 2 2 2 2 3 4" xfId="21352"/>
    <cellStyle name="Normal 2 4 2 2 2 2 2 2 4" xfId="21353"/>
    <cellStyle name="Normal 2 4 2 2 2 2 2 2 4 2" xfId="21354"/>
    <cellStyle name="Normal 2 4 2 2 2 2 2 2 4 2 2" xfId="21355"/>
    <cellStyle name="Normal 2 4 2 2 2 2 2 2 4 3" xfId="21356"/>
    <cellStyle name="Normal 2 4 2 2 2 2 2 2 5" xfId="21357"/>
    <cellStyle name="Normal 2 4 2 2 2 2 2 2 5 2" xfId="21358"/>
    <cellStyle name="Normal 2 4 2 2 2 2 2 2 6" xfId="21359"/>
    <cellStyle name="Normal 2 4 2 2 2 2 2 3" xfId="1909"/>
    <cellStyle name="Normal 2 4 2 2 2 2 2 3 2" xfId="4629"/>
    <cellStyle name="Normal 2 4 2 2 2 2 2 3 2 2" xfId="21360"/>
    <cellStyle name="Normal 2 4 2 2 2 2 2 3 2 2 2" xfId="21361"/>
    <cellStyle name="Normal 2 4 2 2 2 2 2 3 2 2 2 2" xfId="21362"/>
    <cellStyle name="Normal 2 4 2 2 2 2 2 3 2 2 3" xfId="21363"/>
    <cellStyle name="Normal 2 4 2 2 2 2 2 3 2 3" xfId="21364"/>
    <cellStyle name="Normal 2 4 2 2 2 2 2 3 2 3 2" xfId="21365"/>
    <cellStyle name="Normal 2 4 2 2 2 2 2 3 2 4" xfId="21366"/>
    <cellStyle name="Normal 2 4 2 2 2 2 2 3 3" xfId="21367"/>
    <cellStyle name="Normal 2 4 2 2 2 2 2 3 3 2" xfId="21368"/>
    <cellStyle name="Normal 2 4 2 2 2 2 2 3 3 2 2" xfId="21369"/>
    <cellStyle name="Normal 2 4 2 2 2 2 2 3 3 3" xfId="21370"/>
    <cellStyle name="Normal 2 4 2 2 2 2 2 3 4" xfId="21371"/>
    <cellStyle name="Normal 2 4 2 2 2 2 2 3 4 2" xfId="21372"/>
    <cellStyle name="Normal 2 4 2 2 2 2 2 3 5" xfId="21373"/>
    <cellStyle name="Normal 2 4 2 2 2 2 2 4" xfId="3269"/>
    <cellStyle name="Normal 2 4 2 2 2 2 2 4 2" xfId="21374"/>
    <cellStyle name="Normal 2 4 2 2 2 2 2 4 2 2" xfId="21375"/>
    <cellStyle name="Normal 2 4 2 2 2 2 2 4 2 2 2" xfId="21376"/>
    <cellStyle name="Normal 2 4 2 2 2 2 2 4 2 3" xfId="21377"/>
    <cellStyle name="Normal 2 4 2 2 2 2 2 4 3" xfId="21378"/>
    <cellStyle name="Normal 2 4 2 2 2 2 2 4 3 2" xfId="21379"/>
    <cellStyle name="Normal 2 4 2 2 2 2 2 4 4" xfId="21380"/>
    <cellStyle name="Normal 2 4 2 2 2 2 2 5" xfId="21381"/>
    <cellStyle name="Normal 2 4 2 2 2 2 2 5 2" xfId="21382"/>
    <cellStyle name="Normal 2 4 2 2 2 2 2 5 2 2" xfId="21383"/>
    <cellStyle name="Normal 2 4 2 2 2 2 2 5 3" xfId="21384"/>
    <cellStyle name="Normal 2 4 2 2 2 2 2 6" xfId="21385"/>
    <cellStyle name="Normal 2 4 2 2 2 2 2 6 2" xfId="21386"/>
    <cellStyle name="Normal 2 4 2 2 2 2 2 7" xfId="21387"/>
    <cellStyle name="Normal 2 4 2 2 2 2 3" xfId="957"/>
    <cellStyle name="Normal 2 4 2 2 2 2 3 2" xfId="2317"/>
    <cellStyle name="Normal 2 4 2 2 2 2 3 2 2" xfId="5037"/>
    <cellStyle name="Normal 2 4 2 2 2 2 3 2 2 2" xfId="21388"/>
    <cellStyle name="Normal 2 4 2 2 2 2 3 2 2 2 2" xfId="21389"/>
    <cellStyle name="Normal 2 4 2 2 2 2 3 2 2 2 2 2" xfId="21390"/>
    <cellStyle name="Normal 2 4 2 2 2 2 3 2 2 2 3" xfId="21391"/>
    <cellStyle name="Normal 2 4 2 2 2 2 3 2 2 3" xfId="21392"/>
    <cellStyle name="Normal 2 4 2 2 2 2 3 2 2 3 2" xfId="21393"/>
    <cellStyle name="Normal 2 4 2 2 2 2 3 2 2 4" xfId="21394"/>
    <cellStyle name="Normal 2 4 2 2 2 2 3 2 3" xfId="21395"/>
    <cellStyle name="Normal 2 4 2 2 2 2 3 2 3 2" xfId="21396"/>
    <cellStyle name="Normal 2 4 2 2 2 2 3 2 3 2 2" xfId="21397"/>
    <cellStyle name="Normal 2 4 2 2 2 2 3 2 3 3" xfId="21398"/>
    <cellStyle name="Normal 2 4 2 2 2 2 3 2 4" xfId="21399"/>
    <cellStyle name="Normal 2 4 2 2 2 2 3 2 4 2" xfId="21400"/>
    <cellStyle name="Normal 2 4 2 2 2 2 3 2 5" xfId="21401"/>
    <cellStyle name="Normal 2 4 2 2 2 2 3 3" xfId="3677"/>
    <cellStyle name="Normal 2 4 2 2 2 2 3 3 2" xfId="21402"/>
    <cellStyle name="Normal 2 4 2 2 2 2 3 3 2 2" xfId="21403"/>
    <cellStyle name="Normal 2 4 2 2 2 2 3 3 2 2 2" xfId="21404"/>
    <cellStyle name="Normal 2 4 2 2 2 2 3 3 2 3" xfId="21405"/>
    <cellStyle name="Normal 2 4 2 2 2 2 3 3 3" xfId="21406"/>
    <cellStyle name="Normal 2 4 2 2 2 2 3 3 3 2" xfId="21407"/>
    <cellStyle name="Normal 2 4 2 2 2 2 3 3 4" xfId="21408"/>
    <cellStyle name="Normal 2 4 2 2 2 2 3 4" xfId="21409"/>
    <cellStyle name="Normal 2 4 2 2 2 2 3 4 2" xfId="21410"/>
    <cellStyle name="Normal 2 4 2 2 2 2 3 4 2 2" xfId="21411"/>
    <cellStyle name="Normal 2 4 2 2 2 2 3 4 3" xfId="21412"/>
    <cellStyle name="Normal 2 4 2 2 2 2 3 5" xfId="21413"/>
    <cellStyle name="Normal 2 4 2 2 2 2 3 5 2" xfId="21414"/>
    <cellStyle name="Normal 2 4 2 2 2 2 3 6" xfId="21415"/>
    <cellStyle name="Normal 2 4 2 2 2 2 4" xfId="1637"/>
    <cellStyle name="Normal 2 4 2 2 2 2 4 2" xfId="4357"/>
    <cellStyle name="Normal 2 4 2 2 2 2 4 2 2" xfId="21416"/>
    <cellStyle name="Normal 2 4 2 2 2 2 4 2 2 2" xfId="21417"/>
    <cellStyle name="Normal 2 4 2 2 2 2 4 2 2 2 2" xfId="21418"/>
    <cellStyle name="Normal 2 4 2 2 2 2 4 2 2 3" xfId="21419"/>
    <cellStyle name="Normal 2 4 2 2 2 2 4 2 3" xfId="21420"/>
    <cellStyle name="Normal 2 4 2 2 2 2 4 2 3 2" xfId="21421"/>
    <cellStyle name="Normal 2 4 2 2 2 2 4 2 4" xfId="21422"/>
    <cellStyle name="Normal 2 4 2 2 2 2 4 3" xfId="21423"/>
    <cellStyle name="Normal 2 4 2 2 2 2 4 3 2" xfId="21424"/>
    <cellStyle name="Normal 2 4 2 2 2 2 4 3 2 2" xfId="21425"/>
    <cellStyle name="Normal 2 4 2 2 2 2 4 3 3" xfId="21426"/>
    <cellStyle name="Normal 2 4 2 2 2 2 4 4" xfId="21427"/>
    <cellStyle name="Normal 2 4 2 2 2 2 4 4 2" xfId="21428"/>
    <cellStyle name="Normal 2 4 2 2 2 2 4 5" xfId="21429"/>
    <cellStyle name="Normal 2 4 2 2 2 2 5" xfId="2997"/>
    <cellStyle name="Normal 2 4 2 2 2 2 5 2" xfId="21430"/>
    <cellStyle name="Normal 2 4 2 2 2 2 5 2 2" xfId="21431"/>
    <cellStyle name="Normal 2 4 2 2 2 2 5 2 2 2" xfId="21432"/>
    <cellStyle name="Normal 2 4 2 2 2 2 5 2 3" xfId="21433"/>
    <cellStyle name="Normal 2 4 2 2 2 2 5 3" xfId="21434"/>
    <cellStyle name="Normal 2 4 2 2 2 2 5 3 2" xfId="21435"/>
    <cellStyle name="Normal 2 4 2 2 2 2 5 4" xfId="21436"/>
    <cellStyle name="Normal 2 4 2 2 2 2 6" xfId="21437"/>
    <cellStyle name="Normal 2 4 2 2 2 2 6 2" xfId="21438"/>
    <cellStyle name="Normal 2 4 2 2 2 2 6 2 2" xfId="21439"/>
    <cellStyle name="Normal 2 4 2 2 2 2 6 3" xfId="21440"/>
    <cellStyle name="Normal 2 4 2 2 2 2 7" xfId="21441"/>
    <cellStyle name="Normal 2 4 2 2 2 2 7 2" xfId="21442"/>
    <cellStyle name="Normal 2 4 2 2 2 2 8" xfId="21443"/>
    <cellStyle name="Normal 2 4 2 2 2 3" xfId="413"/>
    <cellStyle name="Normal 2 4 2 2 2 3 2" xfId="1093"/>
    <cellStyle name="Normal 2 4 2 2 2 3 2 2" xfId="2453"/>
    <cellStyle name="Normal 2 4 2 2 2 3 2 2 2" xfId="5173"/>
    <cellStyle name="Normal 2 4 2 2 2 3 2 2 2 2" xfId="21444"/>
    <cellStyle name="Normal 2 4 2 2 2 3 2 2 2 2 2" xfId="21445"/>
    <cellStyle name="Normal 2 4 2 2 2 3 2 2 2 2 2 2" xfId="21446"/>
    <cellStyle name="Normal 2 4 2 2 2 3 2 2 2 2 3" xfId="21447"/>
    <cellStyle name="Normal 2 4 2 2 2 3 2 2 2 3" xfId="21448"/>
    <cellStyle name="Normal 2 4 2 2 2 3 2 2 2 3 2" xfId="21449"/>
    <cellStyle name="Normal 2 4 2 2 2 3 2 2 2 4" xfId="21450"/>
    <cellStyle name="Normal 2 4 2 2 2 3 2 2 3" xfId="21451"/>
    <cellStyle name="Normal 2 4 2 2 2 3 2 2 3 2" xfId="21452"/>
    <cellStyle name="Normal 2 4 2 2 2 3 2 2 3 2 2" xfId="21453"/>
    <cellStyle name="Normal 2 4 2 2 2 3 2 2 3 3" xfId="21454"/>
    <cellStyle name="Normal 2 4 2 2 2 3 2 2 4" xfId="21455"/>
    <cellStyle name="Normal 2 4 2 2 2 3 2 2 4 2" xfId="21456"/>
    <cellStyle name="Normal 2 4 2 2 2 3 2 2 5" xfId="21457"/>
    <cellStyle name="Normal 2 4 2 2 2 3 2 3" xfId="3813"/>
    <cellStyle name="Normal 2 4 2 2 2 3 2 3 2" xfId="21458"/>
    <cellStyle name="Normal 2 4 2 2 2 3 2 3 2 2" xfId="21459"/>
    <cellStyle name="Normal 2 4 2 2 2 3 2 3 2 2 2" xfId="21460"/>
    <cellStyle name="Normal 2 4 2 2 2 3 2 3 2 3" xfId="21461"/>
    <cellStyle name="Normal 2 4 2 2 2 3 2 3 3" xfId="21462"/>
    <cellStyle name="Normal 2 4 2 2 2 3 2 3 3 2" xfId="21463"/>
    <cellStyle name="Normal 2 4 2 2 2 3 2 3 4" xfId="21464"/>
    <cellStyle name="Normal 2 4 2 2 2 3 2 4" xfId="21465"/>
    <cellStyle name="Normal 2 4 2 2 2 3 2 4 2" xfId="21466"/>
    <cellStyle name="Normal 2 4 2 2 2 3 2 4 2 2" xfId="21467"/>
    <cellStyle name="Normal 2 4 2 2 2 3 2 4 3" xfId="21468"/>
    <cellStyle name="Normal 2 4 2 2 2 3 2 5" xfId="21469"/>
    <cellStyle name="Normal 2 4 2 2 2 3 2 5 2" xfId="21470"/>
    <cellStyle name="Normal 2 4 2 2 2 3 2 6" xfId="21471"/>
    <cellStyle name="Normal 2 4 2 2 2 3 3" xfId="1773"/>
    <cellStyle name="Normal 2 4 2 2 2 3 3 2" xfId="4493"/>
    <cellStyle name="Normal 2 4 2 2 2 3 3 2 2" xfId="21472"/>
    <cellStyle name="Normal 2 4 2 2 2 3 3 2 2 2" xfId="21473"/>
    <cellStyle name="Normal 2 4 2 2 2 3 3 2 2 2 2" xfId="21474"/>
    <cellStyle name="Normal 2 4 2 2 2 3 3 2 2 3" xfId="21475"/>
    <cellStyle name="Normal 2 4 2 2 2 3 3 2 3" xfId="21476"/>
    <cellStyle name="Normal 2 4 2 2 2 3 3 2 3 2" xfId="21477"/>
    <cellStyle name="Normal 2 4 2 2 2 3 3 2 4" xfId="21478"/>
    <cellStyle name="Normal 2 4 2 2 2 3 3 3" xfId="21479"/>
    <cellStyle name="Normal 2 4 2 2 2 3 3 3 2" xfId="21480"/>
    <cellStyle name="Normal 2 4 2 2 2 3 3 3 2 2" xfId="21481"/>
    <cellStyle name="Normal 2 4 2 2 2 3 3 3 3" xfId="21482"/>
    <cellStyle name="Normal 2 4 2 2 2 3 3 4" xfId="21483"/>
    <cellStyle name="Normal 2 4 2 2 2 3 3 4 2" xfId="21484"/>
    <cellStyle name="Normal 2 4 2 2 2 3 3 5" xfId="21485"/>
    <cellStyle name="Normal 2 4 2 2 2 3 4" xfId="3133"/>
    <cellStyle name="Normal 2 4 2 2 2 3 4 2" xfId="21486"/>
    <cellStyle name="Normal 2 4 2 2 2 3 4 2 2" xfId="21487"/>
    <cellStyle name="Normal 2 4 2 2 2 3 4 2 2 2" xfId="21488"/>
    <cellStyle name="Normal 2 4 2 2 2 3 4 2 3" xfId="21489"/>
    <cellStyle name="Normal 2 4 2 2 2 3 4 3" xfId="21490"/>
    <cellStyle name="Normal 2 4 2 2 2 3 4 3 2" xfId="21491"/>
    <cellStyle name="Normal 2 4 2 2 2 3 4 4" xfId="21492"/>
    <cellStyle name="Normal 2 4 2 2 2 3 5" xfId="21493"/>
    <cellStyle name="Normal 2 4 2 2 2 3 5 2" xfId="21494"/>
    <cellStyle name="Normal 2 4 2 2 2 3 5 2 2" xfId="21495"/>
    <cellStyle name="Normal 2 4 2 2 2 3 5 3" xfId="21496"/>
    <cellStyle name="Normal 2 4 2 2 2 3 6" xfId="21497"/>
    <cellStyle name="Normal 2 4 2 2 2 3 6 2" xfId="21498"/>
    <cellStyle name="Normal 2 4 2 2 2 3 7" xfId="21499"/>
    <cellStyle name="Normal 2 4 2 2 2 4" xfId="685"/>
    <cellStyle name="Normal 2 4 2 2 2 4 2" xfId="1365"/>
    <cellStyle name="Normal 2 4 2 2 2 4 2 2" xfId="2725"/>
    <cellStyle name="Normal 2 4 2 2 2 4 2 2 2" xfId="5445"/>
    <cellStyle name="Normal 2 4 2 2 2 4 2 2 2 2" xfId="21500"/>
    <cellStyle name="Normal 2 4 2 2 2 4 2 2 2 2 2" xfId="21501"/>
    <cellStyle name="Normal 2 4 2 2 2 4 2 2 2 2 2 2" xfId="21502"/>
    <cellStyle name="Normal 2 4 2 2 2 4 2 2 2 2 3" xfId="21503"/>
    <cellStyle name="Normal 2 4 2 2 2 4 2 2 2 3" xfId="21504"/>
    <cellStyle name="Normal 2 4 2 2 2 4 2 2 2 3 2" xfId="21505"/>
    <cellStyle name="Normal 2 4 2 2 2 4 2 2 2 4" xfId="21506"/>
    <cellStyle name="Normal 2 4 2 2 2 4 2 2 3" xfId="21507"/>
    <cellStyle name="Normal 2 4 2 2 2 4 2 2 3 2" xfId="21508"/>
    <cellStyle name="Normal 2 4 2 2 2 4 2 2 3 2 2" xfId="21509"/>
    <cellStyle name="Normal 2 4 2 2 2 4 2 2 3 3" xfId="21510"/>
    <cellStyle name="Normal 2 4 2 2 2 4 2 2 4" xfId="21511"/>
    <cellStyle name="Normal 2 4 2 2 2 4 2 2 4 2" xfId="21512"/>
    <cellStyle name="Normal 2 4 2 2 2 4 2 2 5" xfId="21513"/>
    <cellStyle name="Normal 2 4 2 2 2 4 2 3" xfId="4085"/>
    <cellStyle name="Normal 2 4 2 2 2 4 2 3 2" xfId="21514"/>
    <cellStyle name="Normal 2 4 2 2 2 4 2 3 2 2" xfId="21515"/>
    <cellStyle name="Normal 2 4 2 2 2 4 2 3 2 2 2" xfId="21516"/>
    <cellStyle name="Normal 2 4 2 2 2 4 2 3 2 3" xfId="21517"/>
    <cellStyle name="Normal 2 4 2 2 2 4 2 3 3" xfId="21518"/>
    <cellStyle name="Normal 2 4 2 2 2 4 2 3 3 2" xfId="21519"/>
    <cellStyle name="Normal 2 4 2 2 2 4 2 3 4" xfId="21520"/>
    <cellStyle name="Normal 2 4 2 2 2 4 2 4" xfId="21521"/>
    <cellStyle name="Normal 2 4 2 2 2 4 2 4 2" xfId="21522"/>
    <cellStyle name="Normal 2 4 2 2 2 4 2 4 2 2" xfId="21523"/>
    <cellStyle name="Normal 2 4 2 2 2 4 2 4 3" xfId="21524"/>
    <cellStyle name="Normal 2 4 2 2 2 4 2 5" xfId="21525"/>
    <cellStyle name="Normal 2 4 2 2 2 4 2 5 2" xfId="21526"/>
    <cellStyle name="Normal 2 4 2 2 2 4 2 6" xfId="21527"/>
    <cellStyle name="Normal 2 4 2 2 2 4 3" xfId="2045"/>
    <cellStyle name="Normal 2 4 2 2 2 4 3 2" xfId="4765"/>
    <cellStyle name="Normal 2 4 2 2 2 4 3 2 2" xfId="21528"/>
    <cellStyle name="Normal 2 4 2 2 2 4 3 2 2 2" xfId="21529"/>
    <cellStyle name="Normal 2 4 2 2 2 4 3 2 2 2 2" xfId="21530"/>
    <cellStyle name="Normal 2 4 2 2 2 4 3 2 2 3" xfId="21531"/>
    <cellStyle name="Normal 2 4 2 2 2 4 3 2 3" xfId="21532"/>
    <cellStyle name="Normal 2 4 2 2 2 4 3 2 3 2" xfId="21533"/>
    <cellStyle name="Normal 2 4 2 2 2 4 3 2 4" xfId="21534"/>
    <cellStyle name="Normal 2 4 2 2 2 4 3 3" xfId="21535"/>
    <cellStyle name="Normal 2 4 2 2 2 4 3 3 2" xfId="21536"/>
    <cellStyle name="Normal 2 4 2 2 2 4 3 3 2 2" xfId="21537"/>
    <cellStyle name="Normal 2 4 2 2 2 4 3 3 3" xfId="21538"/>
    <cellStyle name="Normal 2 4 2 2 2 4 3 4" xfId="21539"/>
    <cellStyle name="Normal 2 4 2 2 2 4 3 4 2" xfId="21540"/>
    <cellStyle name="Normal 2 4 2 2 2 4 3 5" xfId="21541"/>
    <cellStyle name="Normal 2 4 2 2 2 4 4" xfId="3405"/>
    <cellStyle name="Normal 2 4 2 2 2 4 4 2" xfId="21542"/>
    <cellStyle name="Normal 2 4 2 2 2 4 4 2 2" xfId="21543"/>
    <cellStyle name="Normal 2 4 2 2 2 4 4 2 2 2" xfId="21544"/>
    <cellStyle name="Normal 2 4 2 2 2 4 4 2 3" xfId="21545"/>
    <cellStyle name="Normal 2 4 2 2 2 4 4 3" xfId="21546"/>
    <cellStyle name="Normal 2 4 2 2 2 4 4 3 2" xfId="21547"/>
    <cellStyle name="Normal 2 4 2 2 2 4 4 4" xfId="21548"/>
    <cellStyle name="Normal 2 4 2 2 2 4 5" xfId="21549"/>
    <cellStyle name="Normal 2 4 2 2 2 4 5 2" xfId="21550"/>
    <cellStyle name="Normal 2 4 2 2 2 4 5 2 2" xfId="21551"/>
    <cellStyle name="Normal 2 4 2 2 2 4 5 3" xfId="21552"/>
    <cellStyle name="Normal 2 4 2 2 2 4 6" xfId="21553"/>
    <cellStyle name="Normal 2 4 2 2 2 4 6 2" xfId="21554"/>
    <cellStyle name="Normal 2 4 2 2 2 4 7" xfId="21555"/>
    <cellStyle name="Normal 2 4 2 2 2 5" xfId="821"/>
    <cellStyle name="Normal 2 4 2 2 2 5 2" xfId="2181"/>
    <cellStyle name="Normal 2 4 2 2 2 5 2 2" xfId="4901"/>
    <cellStyle name="Normal 2 4 2 2 2 5 2 2 2" xfId="21556"/>
    <cellStyle name="Normal 2 4 2 2 2 5 2 2 2 2" xfId="21557"/>
    <cellStyle name="Normal 2 4 2 2 2 5 2 2 2 2 2" xfId="21558"/>
    <cellStyle name="Normal 2 4 2 2 2 5 2 2 2 3" xfId="21559"/>
    <cellStyle name="Normal 2 4 2 2 2 5 2 2 3" xfId="21560"/>
    <cellStyle name="Normal 2 4 2 2 2 5 2 2 3 2" xfId="21561"/>
    <cellStyle name="Normal 2 4 2 2 2 5 2 2 4" xfId="21562"/>
    <cellStyle name="Normal 2 4 2 2 2 5 2 3" xfId="21563"/>
    <cellStyle name="Normal 2 4 2 2 2 5 2 3 2" xfId="21564"/>
    <cellStyle name="Normal 2 4 2 2 2 5 2 3 2 2" xfId="21565"/>
    <cellStyle name="Normal 2 4 2 2 2 5 2 3 3" xfId="21566"/>
    <cellStyle name="Normal 2 4 2 2 2 5 2 4" xfId="21567"/>
    <cellStyle name="Normal 2 4 2 2 2 5 2 4 2" xfId="21568"/>
    <cellStyle name="Normal 2 4 2 2 2 5 2 5" xfId="21569"/>
    <cellStyle name="Normal 2 4 2 2 2 5 3" xfId="3541"/>
    <cellStyle name="Normal 2 4 2 2 2 5 3 2" xfId="21570"/>
    <cellStyle name="Normal 2 4 2 2 2 5 3 2 2" xfId="21571"/>
    <cellStyle name="Normal 2 4 2 2 2 5 3 2 2 2" xfId="21572"/>
    <cellStyle name="Normal 2 4 2 2 2 5 3 2 3" xfId="21573"/>
    <cellStyle name="Normal 2 4 2 2 2 5 3 3" xfId="21574"/>
    <cellStyle name="Normal 2 4 2 2 2 5 3 3 2" xfId="21575"/>
    <cellStyle name="Normal 2 4 2 2 2 5 3 4" xfId="21576"/>
    <cellStyle name="Normal 2 4 2 2 2 5 4" xfId="21577"/>
    <cellStyle name="Normal 2 4 2 2 2 5 4 2" xfId="21578"/>
    <cellStyle name="Normal 2 4 2 2 2 5 4 2 2" xfId="21579"/>
    <cellStyle name="Normal 2 4 2 2 2 5 4 3" xfId="21580"/>
    <cellStyle name="Normal 2 4 2 2 2 5 5" xfId="21581"/>
    <cellStyle name="Normal 2 4 2 2 2 5 5 2" xfId="21582"/>
    <cellStyle name="Normal 2 4 2 2 2 5 6" xfId="21583"/>
    <cellStyle name="Normal 2 4 2 2 2 6" xfId="1501"/>
    <cellStyle name="Normal 2 4 2 2 2 6 2" xfId="4221"/>
    <cellStyle name="Normal 2 4 2 2 2 6 2 2" xfId="21584"/>
    <cellStyle name="Normal 2 4 2 2 2 6 2 2 2" xfId="21585"/>
    <cellStyle name="Normal 2 4 2 2 2 6 2 2 2 2" xfId="21586"/>
    <cellStyle name="Normal 2 4 2 2 2 6 2 2 3" xfId="21587"/>
    <cellStyle name="Normal 2 4 2 2 2 6 2 3" xfId="21588"/>
    <cellStyle name="Normal 2 4 2 2 2 6 2 3 2" xfId="21589"/>
    <cellStyle name="Normal 2 4 2 2 2 6 2 4" xfId="21590"/>
    <cellStyle name="Normal 2 4 2 2 2 6 3" xfId="21591"/>
    <cellStyle name="Normal 2 4 2 2 2 6 3 2" xfId="21592"/>
    <cellStyle name="Normal 2 4 2 2 2 6 3 2 2" xfId="21593"/>
    <cellStyle name="Normal 2 4 2 2 2 6 3 3" xfId="21594"/>
    <cellStyle name="Normal 2 4 2 2 2 6 4" xfId="21595"/>
    <cellStyle name="Normal 2 4 2 2 2 6 4 2" xfId="21596"/>
    <cellStyle name="Normal 2 4 2 2 2 6 5" xfId="21597"/>
    <cellStyle name="Normal 2 4 2 2 2 7" xfId="2861"/>
    <cellStyle name="Normal 2 4 2 2 2 7 2" xfId="21598"/>
    <cellStyle name="Normal 2 4 2 2 2 7 2 2" xfId="21599"/>
    <cellStyle name="Normal 2 4 2 2 2 7 2 2 2" xfId="21600"/>
    <cellStyle name="Normal 2 4 2 2 2 7 2 3" xfId="21601"/>
    <cellStyle name="Normal 2 4 2 2 2 7 3" xfId="21602"/>
    <cellStyle name="Normal 2 4 2 2 2 7 3 2" xfId="21603"/>
    <cellStyle name="Normal 2 4 2 2 2 7 4" xfId="21604"/>
    <cellStyle name="Normal 2 4 2 2 2 8" xfId="21605"/>
    <cellStyle name="Normal 2 4 2 2 2 8 2" xfId="21606"/>
    <cellStyle name="Normal 2 4 2 2 2 8 2 2" xfId="21607"/>
    <cellStyle name="Normal 2 4 2 2 2 8 3" xfId="21608"/>
    <cellStyle name="Normal 2 4 2 2 2 9" xfId="21609"/>
    <cellStyle name="Normal 2 4 2 2 2 9 2" xfId="21610"/>
    <cellStyle name="Normal 2 4 2 2 3" xfId="209"/>
    <cellStyle name="Normal 2 4 2 2 3 2" xfId="481"/>
    <cellStyle name="Normal 2 4 2 2 3 2 2" xfId="1161"/>
    <cellStyle name="Normal 2 4 2 2 3 2 2 2" xfId="2521"/>
    <cellStyle name="Normal 2 4 2 2 3 2 2 2 2" xfId="5241"/>
    <cellStyle name="Normal 2 4 2 2 3 2 2 2 2 2" xfId="21611"/>
    <cellStyle name="Normal 2 4 2 2 3 2 2 2 2 2 2" xfId="21612"/>
    <cellStyle name="Normal 2 4 2 2 3 2 2 2 2 2 2 2" xfId="21613"/>
    <cellStyle name="Normal 2 4 2 2 3 2 2 2 2 2 3" xfId="21614"/>
    <cellStyle name="Normal 2 4 2 2 3 2 2 2 2 3" xfId="21615"/>
    <cellStyle name="Normal 2 4 2 2 3 2 2 2 2 3 2" xfId="21616"/>
    <cellStyle name="Normal 2 4 2 2 3 2 2 2 2 4" xfId="21617"/>
    <cellStyle name="Normal 2 4 2 2 3 2 2 2 3" xfId="21618"/>
    <cellStyle name="Normal 2 4 2 2 3 2 2 2 3 2" xfId="21619"/>
    <cellStyle name="Normal 2 4 2 2 3 2 2 2 3 2 2" xfId="21620"/>
    <cellStyle name="Normal 2 4 2 2 3 2 2 2 3 3" xfId="21621"/>
    <cellStyle name="Normal 2 4 2 2 3 2 2 2 4" xfId="21622"/>
    <cellStyle name="Normal 2 4 2 2 3 2 2 2 4 2" xfId="21623"/>
    <cellStyle name="Normal 2 4 2 2 3 2 2 2 5" xfId="21624"/>
    <cellStyle name="Normal 2 4 2 2 3 2 2 3" xfId="3881"/>
    <cellStyle name="Normal 2 4 2 2 3 2 2 3 2" xfId="21625"/>
    <cellStyle name="Normal 2 4 2 2 3 2 2 3 2 2" xfId="21626"/>
    <cellStyle name="Normal 2 4 2 2 3 2 2 3 2 2 2" xfId="21627"/>
    <cellStyle name="Normal 2 4 2 2 3 2 2 3 2 3" xfId="21628"/>
    <cellStyle name="Normal 2 4 2 2 3 2 2 3 3" xfId="21629"/>
    <cellStyle name="Normal 2 4 2 2 3 2 2 3 3 2" xfId="21630"/>
    <cellStyle name="Normal 2 4 2 2 3 2 2 3 4" xfId="21631"/>
    <cellStyle name="Normal 2 4 2 2 3 2 2 4" xfId="21632"/>
    <cellStyle name="Normal 2 4 2 2 3 2 2 4 2" xfId="21633"/>
    <cellStyle name="Normal 2 4 2 2 3 2 2 4 2 2" xfId="21634"/>
    <cellStyle name="Normal 2 4 2 2 3 2 2 4 3" xfId="21635"/>
    <cellStyle name="Normal 2 4 2 2 3 2 2 5" xfId="21636"/>
    <cellStyle name="Normal 2 4 2 2 3 2 2 5 2" xfId="21637"/>
    <cellStyle name="Normal 2 4 2 2 3 2 2 6" xfId="21638"/>
    <cellStyle name="Normal 2 4 2 2 3 2 3" xfId="1841"/>
    <cellStyle name="Normal 2 4 2 2 3 2 3 2" xfId="4561"/>
    <cellStyle name="Normal 2 4 2 2 3 2 3 2 2" xfId="21639"/>
    <cellStyle name="Normal 2 4 2 2 3 2 3 2 2 2" xfId="21640"/>
    <cellStyle name="Normal 2 4 2 2 3 2 3 2 2 2 2" xfId="21641"/>
    <cellStyle name="Normal 2 4 2 2 3 2 3 2 2 3" xfId="21642"/>
    <cellStyle name="Normal 2 4 2 2 3 2 3 2 3" xfId="21643"/>
    <cellStyle name="Normal 2 4 2 2 3 2 3 2 3 2" xfId="21644"/>
    <cellStyle name="Normal 2 4 2 2 3 2 3 2 4" xfId="21645"/>
    <cellStyle name="Normal 2 4 2 2 3 2 3 3" xfId="21646"/>
    <cellStyle name="Normal 2 4 2 2 3 2 3 3 2" xfId="21647"/>
    <cellStyle name="Normal 2 4 2 2 3 2 3 3 2 2" xfId="21648"/>
    <cellStyle name="Normal 2 4 2 2 3 2 3 3 3" xfId="21649"/>
    <cellStyle name="Normal 2 4 2 2 3 2 3 4" xfId="21650"/>
    <cellStyle name="Normal 2 4 2 2 3 2 3 4 2" xfId="21651"/>
    <cellStyle name="Normal 2 4 2 2 3 2 3 5" xfId="21652"/>
    <cellStyle name="Normal 2 4 2 2 3 2 4" xfId="3201"/>
    <cellStyle name="Normal 2 4 2 2 3 2 4 2" xfId="21653"/>
    <cellStyle name="Normal 2 4 2 2 3 2 4 2 2" xfId="21654"/>
    <cellStyle name="Normal 2 4 2 2 3 2 4 2 2 2" xfId="21655"/>
    <cellStyle name="Normal 2 4 2 2 3 2 4 2 3" xfId="21656"/>
    <cellStyle name="Normal 2 4 2 2 3 2 4 3" xfId="21657"/>
    <cellStyle name="Normal 2 4 2 2 3 2 4 3 2" xfId="21658"/>
    <cellStyle name="Normal 2 4 2 2 3 2 4 4" xfId="21659"/>
    <cellStyle name="Normal 2 4 2 2 3 2 5" xfId="21660"/>
    <cellStyle name="Normal 2 4 2 2 3 2 5 2" xfId="21661"/>
    <cellStyle name="Normal 2 4 2 2 3 2 5 2 2" xfId="21662"/>
    <cellStyle name="Normal 2 4 2 2 3 2 5 3" xfId="21663"/>
    <cellStyle name="Normal 2 4 2 2 3 2 6" xfId="21664"/>
    <cellStyle name="Normal 2 4 2 2 3 2 6 2" xfId="21665"/>
    <cellStyle name="Normal 2 4 2 2 3 2 7" xfId="21666"/>
    <cellStyle name="Normal 2 4 2 2 3 3" xfId="889"/>
    <cellStyle name="Normal 2 4 2 2 3 3 2" xfId="2249"/>
    <cellStyle name="Normal 2 4 2 2 3 3 2 2" xfId="4969"/>
    <cellStyle name="Normal 2 4 2 2 3 3 2 2 2" xfId="21667"/>
    <cellStyle name="Normal 2 4 2 2 3 3 2 2 2 2" xfId="21668"/>
    <cellStyle name="Normal 2 4 2 2 3 3 2 2 2 2 2" xfId="21669"/>
    <cellStyle name="Normal 2 4 2 2 3 3 2 2 2 3" xfId="21670"/>
    <cellStyle name="Normal 2 4 2 2 3 3 2 2 3" xfId="21671"/>
    <cellStyle name="Normal 2 4 2 2 3 3 2 2 3 2" xfId="21672"/>
    <cellStyle name="Normal 2 4 2 2 3 3 2 2 4" xfId="21673"/>
    <cellStyle name="Normal 2 4 2 2 3 3 2 3" xfId="21674"/>
    <cellStyle name="Normal 2 4 2 2 3 3 2 3 2" xfId="21675"/>
    <cellStyle name="Normal 2 4 2 2 3 3 2 3 2 2" xfId="21676"/>
    <cellStyle name="Normal 2 4 2 2 3 3 2 3 3" xfId="21677"/>
    <cellStyle name="Normal 2 4 2 2 3 3 2 4" xfId="21678"/>
    <cellStyle name="Normal 2 4 2 2 3 3 2 4 2" xfId="21679"/>
    <cellStyle name="Normal 2 4 2 2 3 3 2 5" xfId="21680"/>
    <cellStyle name="Normal 2 4 2 2 3 3 3" xfId="3609"/>
    <cellStyle name="Normal 2 4 2 2 3 3 3 2" xfId="21681"/>
    <cellStyle name="Normal 2 4 2 2 3 3 3 2 2" xfId="21682"/>
    <cellStyle name="Normal 2 4 2 2 3 3 3 2 2 2" xfId="21683"/>
    <cellStyle name="Normal 2 4 2 2 3 3 3 2 3" xfId="21684"/>
    <cellStyle name="Normal 2 4 2 2 3 3 3 3" xfId="21685"/>
    <cellStyle name="Normal 2 4 2 2 3 3 3 3 2" xfId="21686"/>
    <cellStyle name="Normal 2 4 2 2 3 3 3 4" xfId="21687"/>
    <cellStyle name="Normal 2 4 2 2 3 3 4" xfId="21688"/>
    <cellStyle name="Normal 2 4 2 2 3 3 4 2" xfId="21689"/>
    <cellStyle name="Normal 2 4 2 2 3 3 4 2 2" xfId="21690"/>
    <cellStyle name="Normal 2 4 2 2 3 3 4 3" xfId="21691"/>
    <cellStyle name="Normal 2 4 2 2 3 3 5" xfId="21692"/>
    <cellStyle name="Normal 2 4 2 2 3 3 5 2" xfId="21693"/>
    <cellStyle name="Normal 2 4 2 2 3 3 6" xfId="21694"/>
    <cellStyle name="Normal 2 4 2 2 3 4" xfId="1569"/>
    <cellStyle name="Normal 2 4 2 2 3 4 2" xfId="4289"/>
    <cellStyle name="Normal 2 4 2 2 3 4 2 2" xfId="21695"/>
    <cellStyle name="Normal 2 4 2 2 3 4 2 2 2" xfId="21696"/>
    <cellStyle name="Normal 2 4 2 2 3 4 2 2 2 2" xfId="21697"/>
    <cellStyle name="Normal 2 4 2 2 3 4 2 2 3" xfId="21698"/>
    <cellStyle name="Normal 2 4 2 2 3 4 2 3" xfId="21699"/>
    <cellStyle name="Normal 2 4 2 2 3 4 2 3 2" xfId="21700"/>
    <cellStyle name="Normal 2 4 2 2 3 4 2 4" xfId="21701"/>
    <cellStyle name="Normal 2 4 2 2 3 4 3" xfId="21702"/>
    <cellStyle name="Normal 2 4 2 2 3 4 3 2" xfId="21703"/>
    <cellStyle name="Normal 2 4 2 2 3 4 3 2 2" xfId="21704"/>
    <cellStyle name="Normal 2 4 2 2 3 4 3 3" xfId="21705"/>
    <cellStyle name="Normal 2 4 2 2 3 4 4" xfId="21706"/>
    <cellStyle name="Normal 2 4 2 2 3 4 4 2" xfId="21707"/>
    <cellStyle name="Normal 2 4 2 2 3 4 5" xfId="21708"/>
    <cellStyle name="Normal 2 4 2 2 3 5" xfId="2929"/>
    <cellStyle name="Normal 2 4 2 2 3 5 2" xfId="21709"/>
    <cellStyle name="Normal 2 4 2 2 3 5 2 2" xfId="21710"/>
    <cellStyle name="Normal 2 4 2 2 3 5 2 2 2" xfId="21711"/>
    <cellStyle name="Normal 2 4 2 2 3 5 2 3" xfId="21712"/>
    <cellStyle name="Normal 2 4 2 2 3 5 3" xfId="21713"/>
    <cellStyle name="Normal 2 4 2 2 3 5 3 2" xfId="21714"/>
    <cellStyle name="Normal 2 4 2 2 3 5 4" xfId="21715"/>
    <cellStyle name="Normal 2 4 2 2 3 6" xfId="21716"/>
    <cellStyle name="Normal 2 4 2 2 3 6 2" xfId="21717"/>
    <cellStyle name="Normal 2 4 2 2 3 6 2 2" xfId="21718"/>
    <cellStyle name="Normal 2 4 2 2 3 6 3" xfId="21719"/>
    <cellStyle name="Normal 2 4 2 2 3 7" xfId="21720"/>
    <cellStyle name="Normal 2 4 2 2 3 7 2" xfId="21721"/>
    <cellStyle name="Normal 2 4 2 2 3 8" xfId="21722"/>
    <cellStyle name="Normal 2 4 2 2 4" xfId="345"/>
    <cellStyle name="Normal 2 4 2 2 4 2" xfId="1025"/>
    <cellStyle name="Normal 2 4 2 2 4 2 2" xfId="2385"/>
    <cellStyle name="Normal 2 4 2 2 4 2 2 2" xfId="5105"/>
    <cellStyle name="Normal 2 4 2 2 4 2 2 2 2" xfId="21723"/>
    <cellStyle name="Normal 2 4 2 2 4 2 2 2 2 2" xfId="21724"/>
    <cellStyle name="Normal 2 4 2 2 4 2 2 2 2 2 2" xfId="21725"/>
    <cellStyle name="Normal 2 4 2 2 4 2 2 2 2 3" xfId="21726"/>
    <cellStyle name="Normal 2 4 2 2 4 2 2 2 3" xfId="21727"/>
    <cellStyle name="Normal 2 4 2 2 4 2 2 2 3 2" xfId="21728"/>
    <cellStyle name="Normal 2 4 2 2 4 2 2 2 4" xfId="21729"/>
    <cellStyle name="Normal 2 4 2 2 4 2 2 3" xfId="21730"/>
    <cellStyle name="Normal 2 4 2 2 4 2 2 3 2" xfId="21731"/>
    <cellStyle name="Normal 2 4 2 2 4 2 2 3 2 2" xfId="21732"/>
    <cellStyle name="Normal 2 4 2 2 4 2 2 3 3" xfId="21733"/>
    <cellStyle name="Normal 2 4 2 2 4 2 2 4" xfId="21734"/>
    <cellStyle name="Normal 2 4 2 2 4 2 2 4 2" xfId="21735"/>
    <cellStyle name="Normal 2 4 2 2 4 2 2 5" xfId="21736"/>
    <cellStyle name="Normal 2 4 2 2 4 2 3" xfId="3745"/>
    <cellStyle name="Normal 2 4 2 2 4 2 3 2" xfId="21737"/>
    <cellStyle name="Normal 2 4 2 2 4 2 3 2 2" xfId="21738"/>
    <cellStyle name="Normal 2 4 2 2 4 2 3 2 2 2" xfId="21739"/>
    <cellStyle name="Normal 2 4 2 2 4 2 3 2 3" xfId="21740"/>
    <cellStyle name="Normal 2 4 2 2 4 2 3 3" xfId="21741"/>
    <cellStyle name="Normal 2 4 2 2 4 2 3 3 2" xfId="21742"/>
    <cellStyle name="Normal 2 4 2 2 4 2 3 4" xfId="21743"/>
    <cellStyle name="Normal 2 4 2 2 4 2 4" xfId="21744"/>
    <cellStyle name="Normal 2 4 2 2 4 2 4 2" xfId="21745"/>
    <cellStyle name="Normal 2 4 2 2 4 2 4 2 2" xfId="21746"/>
    <cellStyle name="Normal 2 4 2 2 4 2 4 3" xfId="21747"/>
    <cellStyle name="Normal 2 4 2 2 4 2 5" xfId="21748"/>
    <cellStyle name="Normal 2 4 2 2 4 2 5 2" xfId="21749"/>
    <cellStyle name="Normal 2 4 2 2 4 2 6" xfId="21750"/>
    <cellStyle name="Normal 2 4 2 2 4 3" xfId="1705"/>
    <cellStyle name="Normal 2 4 2 2 4 3 2" xfId="4425"/>
    <cellStyle name="Normal 2 4 2 2 4 3 2 2" xfId="21751"/>
    <cellStyle name="Normal 2 4 2 2 4 3 2 2 2" xfId="21752"/>
    <cellStyle name="Normal 2 4 2 2 4 3 2 2 2 2" xfId="21753"/>
    <cellStyle name="Normal 2 4 2 2 4 3 2 2 3" xfId="21754"/>
    <cellStyle name="Normal 2 4 2 2 4 3 2 3" xfId="21755"/>
    <cellStyle name="Normal 2 4 2 2 4 3 2 3 2" xfId="21756"/>
    <cellStyle name="Normal 2 4 2 2 4 3 2 4" xfId="21757"/>
    <cellStyle name="Normal 2 4 2 2 4 3 3" xfId="21758"/>
    <cellStyle name="Normal 2 4 2 2 4 3 3 2" xfId="21759"/>
    <cellStyle name="Normal 2 4 2 2 4 3 3 2 2" xfId="21760"/>
    <cellStyle name="Normal 2 4 2 2 4 3 3 3" xfId="21761"/>
    <cellStyle name="Normal 2 4 2 2 4 3 4" xfId="21762"/>
    <cellStyle name="Normal 2 4 2 2 4 3 4 2" xfId="21763"/>
    <cellStyle name="Normal 2 4 2 2 4 3 5" xfId="21764"/>
    <cellStyle name="Normal 2 4 2 2 4 4" xfId="3065"/>
    <cellStyle name="Normal 2 4 2 2 4 4 2" xfId="21765"/>
    <cellStyle name="Normal 2 4 2 2 4 4 2 2" xfId="21766"/>
    <cellStyle name="Normal 2 4 2 2 4 4 2 2 2" xfId="21767"/>
    <cellStyle name="Normal 2 4 2 2 4 4 2 3" xfId="21768"/>
    <cellStyle name="Normal 2 4 2 2 4 4 3" xfId="21769"/>
    <cellStyle name="Normal 2 4 2 2 4 4 3 2" xfId="21770"/>
    <cellStyle name="Normal 2 4 2 2 4 4 4" xfId="21771"/>
    <cellStyle name="Normal 2 4 2 2 4 5" xfId="21772"/>
    <cellStyle name="Normal 2 4 2 2 4 5 2" xfId="21773"/>
    <cellStyle name="Normal 2 4 2 2 4 5 2 2" xfId="21774"/>
    <cellStyle name="Normal 2 4 2 2 4 5 3" xfId="21775"/>
    <cellStyle name="Normal 2 4 2 2 4 6" xfId="21776"/>
    <cellStyle name="Normal 2 4 2 2 4 6 2" xfId="21777"/>
    <cellStyle name="Normal 2 4 2 2 4 7" xfId="21778"/>
    <cellStyle name="Normal 2 4 2 2 5" xfId="617"/>
    <cellStyle name="Normal 2 4 2 2 5 2" xfId="1297"/>
    <cellStyle name="Normal 2 4 2 2 5 2 2" xfId="2657"/>
    <cellStyle name="Normal 2 4 2 2 5 2 2 2" xfId="5377"/>
    <cellStyle name="Normal 2 4 2 2 5 2 2 2 2" xfId="21779"/>
    <cellStyle name="Normal 2 4 2 2 5 2 2 2 2 2" xfId="21780"/>
    <cellStyle name="Normal 2 4 2 2 5 2 2 2 2 2 2" xfId="21781"/>
    <cellStyle name="Normal 2 4 2 2 5 2 2 2 2 3" xfId="21782"/>
    <cellStyle name="Normal 2 4 2 2 5 2 2 2 3" xfId="21783"/>
    <cellStyle name="Normal 2 4 2 2 5 2 2 2 3 2" xfId="21784"/>
    <cellStyle name="Normal 2 4 2 2 5 2 2 2 4" xfId="21785"/>
    <cellStyle name="Normal 2 4 2 2 5 2 2 3" xfId="21786"/>
    <cellStyle name="Normal 2 4 2 2 5 2 2 3 2" xfId="21787"/>
    <cellStyle name="Normal 2 4 2 2 5 2 2 3 2 2" xfId="21788"/>
    <cellStyle name="Normal 2 4 2 2 5 2 2 3 3" xfId="21789"/>
    <cellStyle name="Normal 2 4 2 2 5 2 2 4" xfId="21790"/>
    <cellStyle name="Normal 2 4 2 2 5 2 2 4 2" xfId="21791"/>
    <cellStyle name="Normal 2 4 2 2 5 2 2 5" xfId="21792"/>
    <cellStyle name="Normal 2 4 2 2 5 2 3" xfId="4017"/>
    <cellStyle name="Normal 2 4 2 2 5 2 3 2" xfId="21793"/>
    <cellStyle name="Normal 2 4 2 2 5 2 3 2 2" xfId="21794"/>
    <cellStyle name="Normal 2 4 2 2 5 2 3 2 2 2" xfId="21795"/>
    <cellStyle name="Normal 2 4 2 2 5 2 3 2 3" xfId="21796"/>
    <cellStyle name="Normal 2 4 2 2 5 2 3 3" xfId="21797"/>
    <cellStyle name="Normal 2 4 2 2 5 2 3 3 2" xfId="21798"/>
    <cellStyle name="Normal 2 4 2 2 5 2 3 4" xfId="21799"/>
    <cellStyle name="Normal 2 4 2 2 5 2 4" xfId="21800"/>
    <cellStyle name="Normal 2 4 2 2 5 2 4 2" xfId="21801"/>
    <cellStyle name="Normal 2 4 2 2 5 2 4 2 2" xfId="21802"/>
    <cellStyle name="Normal 2 4 2 2 5 2 4 3" xfId="21803"/>
    <cellStyle name="Normal 2 4 2 2 5 2 5" xfId="21804"/>
    <cellStyle name="Normal 2 4 2 2 5 2 5 2" xfId="21805"/>
    <cellStyle name="Normal 2 4 2 2 5 2 6" xfId="21806"/>
    <cellStyle name="Normal 2 4 2 2 5 3" xfId="1977"/>
    <cellStyle name="Normal 2 4 2 2 5 3 2" xfId="4697"/>
    <cellStyle name="Normal 2 4 2 2 5 3 2 2" xfId="21807"/>
    <cellStyle name="Normal 2 4 2 2 5 3 2 2 2" xfId="21808"/>
    <cellStyle name="Normal 2 4 2 2 5 3 2 2 2 2" xfId="21809"/>
    <cellStyle name="Normal 2 4 2 2 5 3 2 2 3" xfId="21810"/>
    <cellStyle name="Normal 2 4 2 2 5 3 2 3" xfId="21811"/>
    <cellStyle name="Normal 2 4 2 2 5 3 2 3 2" xfId="21812"/>
    <cellStyle name="Normal 2 4 2 2 5 3 2 4" xfId="21813"/>
    <cellStyle name="Normal 2 4 2 2 5 3 3" xfId="21814"/>
    <cellStyle name="Normal 2 4 2 2 5 3 3 2" xfId="21815"/>
    <cellStyle name="Normal 2 4 2 2 5 3 3 2 2" xfId="21816"/>
    <cellStyle name="Normal 2 4 2 2 5 3 3 3" xfId="21817"/>
    <cellStyle name="Normal 2 4 2 2 5 3 4" xfId="21818"/>
    <cellStyle name="Normal 2 4 2 2 5 3 4 2" xfId="21819"/>
    <cellStyle name="Normal 2 4 2 2 5 3 5" xfId="21820"/>
    <cellStyle name="Normal 2 4 2 2 5 4" xfId="3337"/>
    <cellStyle name="Normal 2 4 2 2 5 4 2" xfId="21821"/>
    <cellStyle name="Normal 2 4 2 2 5 4 2 2" xfId="21822"/>
    <cellStyle name="Normal 2 4 2 2 5 4 2 2 2" xfId="21823"/>
    <cellStyle name="Normal 2 4 2 2 5 4 2 3" xfId="21824"/>
    <cellStyle name="Normal 2 4 2 2 5 4 3" xfId="21825"/>
    <cellStyle name="Normal 2 4 2 2 5 4 3 2" xfId="21826"/>
    <cellStyle name="Normal 2 4 2 2 5 4 4" xfId="21827"/>
    <cellStyle name="Normal 2 4 2 2 5 5" xfId="21828"/>
    <cellStyle name="Normal 2 4 2 2 5 5 2" xfId="21829"/>
    <cellStyle name="Normal 2 4 2 2 5 5 2 2" xfId="21830"/>
    <cellStyle name="Normal 2 4 2 2 5 5 3" xfId="21831"/>
    <cellStyle name="Normal 2 4 2 2 5 6" xfId="21832"/>
    <cellStyle name="Normal 2 4 2 2 5 6 2" xfId="21833"/>
    <cellStyle name="Normal 2 4 2 2 5 7" xfId="21834"/>
    <cellStyle name="Normal 2 4 2 2 6" xfId="753"/>
    <cellStyle name="Normal 2 4 2 2 6 2" xfId="2113"/>
    <cellStyle name="Normal 2 4 2 2 6 2 2" xfId="4833"/>
    <cellStyle name="Normal 2 4 2 2 6 2 2 2" xfId="21835"/>
    <cellStyle name="Normal 2 4 2 2 6 2 2 2 2" xfId="21836"/>
    <cellStyle name="Normal 2 4 2 2 6 2 2 2 2 2" xfId="21837"/>
    <cellStyle name="Normal 2 4 2 2 6 2 2 2 3" xfId="21838"/>
    <cellStyle name="Normal 2 4 2 2 6 2 2 3" xfId="21839"/>
    <cellStyle name="Normal 2 4 2 2 6 2 2 3 2" xfId="21840"/>
    <cellStyle name="Normal 2 4 2 2 6 2 2 4" xfId="21841"/>
    <cellStyle name="Normal 2 4 2 2 6 2 3" xfId="21842"/>
    <cellStyle name="Normal 2 4 2 2 6 2 3 2" xfId="21843"/>
    <cellStyle name="Normal 2 4 2 2 6 2 3 2 2" xfId="21844"/>
    <cellStyle name="Normal 2 4 2 2 6 2 3 3" xfId="21845"/>
    <cellStyle name="Normal 2 4 2 2 6 2 4" xfId="21846"/>
    <cellStyle name="Normal 2 4 2 2 6 2 4 2" xfId="21847"/>
    <cellStyle name="Normal 2 4 2 2 6 2 5" xfId="21848"/>
    <cellStyle name="Normal 2 4 2 2 6 3" xfId="3473"/>
    <cellStyle name="Normal 2 4 2 2 6 3 2" xfId="21849"/>
    <cellStyle name="Normal 2 4 2 2 6 3 2 2" xfId="21850"/>
    <cellStyle name="Normal 2 4 2 2 6 3 2 2 2" xfId="21851"/>
    <cellStyle name="Normal 2 4 2 2 6 3 2 3" xfId="21852"/>
    <cellStyle name="Normal 2 4 2 2 6 3 3" xfId="21853"/>
    <cellStyle name="Normal 2 4 2 2 6 3 3 2" xfId="21854"/>
    <cellStyle name="Normal 2 4 2 2 6 3 4" xfId="21855"/>
    <cellStyle name="Normal 2 4 2 2 6 4" xfId="21856"/>
    <cellStyle name="Normal 2 4 2 2 6 4 2" xfId="21857"/>
    <cellStyle name="Normal 2 4 2 2 6 4 2 2" xfId="21858"/>
    <cellStyle name="Normal 2 4 2 2 6 4 3" xfId="21859"/>
    <cellStyle name="Normal 2 4 2 2 6 5" xfId="21860"/>
    <cellStyle name="Normal 2 4 2 2 6 5 2" xfId="21861"/>
    <cellStyle name="Normal 2 4 2 2 6 6" xfId="21862"/>
    <cellStyle name="Normal 2 4 2 2 7" xfId="1433"/>
    <cellStyle name="Normal 2 4 2 2 7 2" xfId="4153"/>
    <cellStyle name="Normal 2 4 2 2 7 2 2" xfId="21863"/>
    <cellStyle name="Normal 2 4 2 2 7 2 2 2" xfId="21864"/>
    <cellStyle name="Normal 2 4 2 2 7 2 2 2 2" xfId="21865"/>
    <cellStyle name="Normal 2 4 2 2 7 2 2 3" xfId="21866"/>
    <cellStyle name="Normal 2 4 2 2 7 2 3" xfId="21867"/>
    <cellStyle name="Normal 2 4 2 2 7 2 3 2" xfId="21868"/>
    <cellStyle name="Normal 2 4 2 2 7 2 4" xfId="21869"/>
    <cellStyle name="Normal 2 4 2 2 7 3" xfId="21870"/>
    <cellStyle name="Normal 2 4 2 2 7 3 2" xfId="21871"/>
    <cellStyle name="Normal 2 4 2 2 7 3 2 2" xfId="21872"/>
    <cellStyle name="Normal 2 4 2 2 7 3 3" xfId="21873"/>
    <cellStyle name="Normal 2 4 2 2 7 4" xfId="21874"/>
    <cellStyle name="Normal 2 4 2 2 7 4 2" xfId="21875"/>
    <cellStyle name="Normal 2 4 2 2 7 5" xfId="21876"/>
    <cellStyle name="Normal 2 4 2 2 8" xfId="2793"/>
    <cellStyle name="Normal 2 4 2 2 8 2" xfId="21877"/>
    <cellStyle name="Normal 2 4 2 2 8 2 2" xfId="21878"/>
    <cellStyle name="Normal 2 4 2 2 8 2 2 2" xfId="21879"/>
    <cellStyle name="Normal 2 4 2 2 8 2 3" xfId="21880"/>
    <cellStyle name="Normal 2 4 2 2 8 3" xfId="21881"/>
    <cellStyle name="Normal 2 4 2 2 8 3 2" xfId="21882"/>
    <cellStyle name="Normal 2 4 2 2 8 4" xfId="21883"/>
    <cellStyle name="Normal 2 4 2 2 9" xfId="21884"/>
    <cellStyle name="Normal 2 4 2 2 9 2" xfId="21885"/>
    <cellStyle name="Normal 2 4 2 2 9 2 2" xfId="21886"/>
    <cellStyle name="Normal 2 4 2 2 9 3" xfId="21887"/>
    <cellStyle name="Normal 2 4 2 3" xfId="106"/>
    <cellStyle name="Normal 2 4 2 3 10" xfId="21888"/>
    <cellStyle name="Normal 2 4 2 3 2" xfId="243"/>
    <cellStyle name="Normal 2 4 2 3 2 2" xfId="515"/>
    <cellStyle name="Normal 2 4 2 3 2 2 2" xfId="1195"/>
    <cellStyle name="Normal 2 4 2 3 2 2 2 2" xfId="2555"/>
    <cellStyle name="Normal 2 4 2 3 2 2 2 2 2" xfId="5275"/>
    <cellStyle name="Normal 2 4 2 3 2 2 2 2 2 2" xfId="21889"/>
    <cellStyle name="Normal 2 4 2 3 2 2 2 2 2 2 2" xfId="21890"/>
    <cellStyle name="Normal 2 4 2 3 2 2 2 2 2 2 2 2" xfId="21891"/>
    <cellStyle name="Normal 2 4 2 3 2 2 2 2 2 2 3" xfId="21892"/>
    <cellStyle name="Normal 2 4 2 3 2 2 2 2 2 3" xfId="21893"/>
    <cellStyle name="Normal 2 4 2 3 2 2 2 2 2 3 2" xfId="21894"/>
    <cellStyle name="Normal 2 4 2 3 2 2 2 2 2 4" xfId="21895"/>
    <cellStyle name="Normal 2 4 2 3 2 2 2 2 3" xfId="21896"/>
    <cellStyle name="Normal 2 4 2 3 2 2 2 2 3 2" xfId="21897"/>
    <cellStyle name="Normal 2 4 2 3 2 2 2 2 3 2 2" xfId="21898"/>
    <cellStyle name="Normal 2 4 2 3 2 2 2 2 3 3" xfId="21899"/>
    <cellStyle name="Normal 2 4 2 3 2 2 2 2 4" xfId="21900"/>
    <cellStyle name="Normal 2 4 2 3 2 2 2 2 4 2" xfId="21901"/>
    <cellStyle name="Normal 2 4 2 3 2 2 2 2 5" xfId="21902"/>
    <cellStyle name="Normal 2 4 2 3 2 2 2 3" xfId="3915"/>
    <cellStyle name="Normal 2 4 2 3 2 2 2 3 2" xfId="21903"/>
    <cellStyle name="Normal 2 4 2 3 2 2 2 3 2 2" xfId="21904"/>
    <cellStyle name="Normal 2 4 2 3 2 2 2 3 2 2 2" xfId="21905"/>
    <cellStyle name="Normal 2 4 2 3 2 2 2 3 2 3" xfId="21906"/>
    <cellStyle name="Normal 2 4 2 3 2 2 2 3 3" xfId="21907"/>
    <cellStyle name="Normal 2 4 2 3 2 2 2 3 3 2" xfId="21908"/>
    <cellStyle name="Normal 2 4 2 3 2 2 2 3 4" xfId="21909"/>
    <cellStyle name="Normal 2 4 2 3 2 2 2 4" xfId="21910"/>
    <cellStyle name="Normal 2 4 2 3 2 2 2 4 2" xfId="21911"/>
    <cellStyle name="Normal 2 4 2 3 2 2 2 4 2 2" xfId="21912"/>
    <cellStyle name="Normal 2 4 2 3 2 2 2 4 3" xfId="21913"/>
    <cellStyle name="Normal 2 4 2 3 2 2 2 5" xfId="21914"/>
    <cellStyle name="Normal 2 4 2 3 2 2 2 5 2" xfId="21915"/>
    <cellStyle name="Normal 2 4 2 3 2 2 2 6" xfId="21916"/>
    <cellStyle name="Normal 2 4 2 3 2 2 3" xfId="1875"/>
    <cellStyle name="Normal 2 4 2 3 2 2 3 2" xfId="4595"/>
    <cellStyle name="Normal 2 4 2 3 2 2 3 2 2" xfId="21917"/>
    <cellStyle name="Normal 2 4 2 3 2 2 3 2 2 2" xfId="21918"/>
    <cellStyle name="Normal 2 4 2 3 2 2 3 2 2 2 2" xfId="21919"/>
    <cellStyle name="Normal 2 4 2 3 2 2 3 2 2 3" xfId="21920"/>
    <cellStyle name="Normal 2 4 2 3 2 2 3 2 3" xfId="21921"/>
    <cellStyle name="Normal 2 4 2 3 2 2 3 2 3 2" xfId="21922"/>
    <cellStyle name="Normal 2 4 2 3 2 2 3 2 4" xfId="21923"/>
    <cellStyle name="Normal 2 4 2 3 2 2 3 3" xfId="21924"/>
    <cellStyle name="Normal 2 4 2 3 2 2 3 3 2" xfId="21925"/>
    <cellStyle name="Normal 2 4 2 3 2 2 3 3 2 2" xfId="21926"/>
    <cellStyle name="Normal 2 4 2 3 2 2 3 3 3" xfId="21927"/>
    <cellStyle name="Normal 2 4 2 3 2 2 3 4" xfId="21928"/>
    <cellStyle name="Normal 2 4 2 3 2 2 3 4 2" xfId="21929"/>
    <cellStyle name="Normal 2 4 2 3 2 2 3 5" xfId="21930"/>
    <cellStyle name="Normal 2 4 2 3 2 2 4" xfId="3235"/>
    <cellStyle name="Normal 2 4 2 3 2 2 4 2" xfId="21931"/>
    <cellStyle name="Normal 2 4 2 3 2 2 4 2 2" xfId="21932"/>
    <cellStyle name="Normal 2 4 2 3 2 2 4 2 2 2" xfId="21933"/>
    <cellStyle name="Normal 2 4 2 3 2 2 4 2 3" xfId="21934"/>
    <cellStyle name="Normal 2 4 2 3 2 2 4 3" xfId="21935"/>
    <cellStyle name="Normal 2 4 2 3 2 2 4 3 2" xfId="21936"/>
    <cellStyle name="Normal 2 4 2 3 2 2 4 4" xfId="21937"/>
    <cellStyle name="Normal 2 4 2 3 2 2 5" xfId="21938"/>
    <cellStyle name="Normal 2 4 2 3 2 2 5 2" xfId="21939"/>
    <cellStyle name="Normal 2 4 2 3 2 2 5 2 2" xfId="21940"/>
    <cellStyle name="Normal 2 4 2 3 2 2 5 3" xfId="21941"/>
    <cellStyle name="Normal 2 4 2 3 2 2 6" xfId="21942"/>
    <cellStyle name="Normal 2 4 2 3 2 2 6 2" xfId="21943"/>
    <cellStyle name="Normal 2 4 2 3 2 2 7" xfId="21944"/>
    <cellStyle name="Normal 2 4 2 3 2 3" xfId="923"/>
    <cellStyle name="Normal 2 4 2 3 2 3 2" xfId="2283"/>
    <cellStyle name="Normal 2 4 2 3 2 3 2 2" xfId="5003"/>
    <cellStyle name="Normal 2 4 2 3 2 3 2 2 2" xfId="21945"/>
    <cellStyle name="Normal 2 4 2 3 2 3 2 2 2 2" xfId="21946"/>
    <cellStyle name="Normal 2 4 2 3 2 3 2 2 2 2 2" xfId="21947"/>
    <cellStyle name="Normal 2 4 2 3 2 3 2 2 2 3" xfId="21948"/>
    <cellStyle name="Normal 2 4 2 3 2 3 2 2 3" xfId="21949"/>
    <cellStyle name="Normal 2 4 2 3 2 3 2 2 3 2" xfId="21950"/>
    <cellStyle name="Normal 2 4 2 3 2 3 2 2 4" xfId="21951"/>
    <cellStyle name="Normal 2 4 2 3 2 3 2 3" xfId="21952"/>
    <cellStyle name="Normal 2 4 2 3 2 3 2 3 2" xfId="21953"/>
    <cellStyle name="Normal 2 4 2 3 2 3 2 3 2 2" xfId="21954"/>
    <cellStyle name="Normal 2 4 2 3 2 3 2 3 3" xfId="21955"/>
    <cellStyle name="Normal 2 4 2 3 2 3 2 4" xfId="21956"/>
    <cellStyle name="Normal 2 4 2 3 2 3 2 4 2" xfId="21957"/>
    <cellStyle name="Normal 2 4 2 3 2 3 2 5" xfId="21958"/>
    <cellStyle name="Normal 2 4 2 3 2 3 3" xfId="3643"/>
    <cellStyle name="Normal 2 4 2 3 2 3 3 2" xfId="21959"/>
    <cellStyle name="Normal 2 4 2 3 2 3 3 2 2" xfId="21960"/>
    <cellStyle name="Normal 2 4 2 3 2 3 3 2 2 2" xfId="21961"/>
    <cellStyle name="Normal 2 4 2 3 2 3 3 2 3" xfId="21962"/>
    <cellStyle name="Normal 2 4 2 3 2 3 3 3" xfId="21963"/>
    <cellStyle name="Normal 2 4 2 3 2 3 3 3 2" xfId="21964"/>
    <cellStyle name="Normal 2 4 2 3 2 3 3 4" xfId="21965"/>
    <cellStyle name="Normal 2 4 2 3 2 3 4" xfId="21966"/>
    <cellStyle name="Normal 2 4 2 3 2 3 4 2" xfId="21967"/>
    <cellStyle name="Normal 2 4 2 3 2 3 4 2 2" xfId="21968"/>
    <cellStyle name="Normal 2 4 2 3 2 3 4 3" xfId="21969"/>
    <cellStyle name="Normal 2 4 2 3 2 3 5" xfId="21970"/>
    <cellStyle name="Normal 2 4 2 3 2 3 5 2" xfId="21971"/>
    <cellStyle name="Normal 2 4 2 3 2 3 6" xfId="21972"/>
    <cellStyle name="Normal 2 4 2 3 2 4" xfId="1603"/>
    <cellStyle name="Normal 2 4 2 3 2 4 2" xfId="4323"/>
    <cellStyle name="Normal 2 4 2 3 2 4 2 2" xfId="21973"/>
    <cellStyle name="Normal 2 4 2 3 2 4 2 2 2" xfId="21974"/>
    <cellStyle name="Normal 2 4 2 3 2 4 2 2 2 2" xfId="21975"/>
    <cellStyle name="Normal 2 4 2 3 2 4 2 2 3" xfId="21976"/>
    <cellStyle name="Normal 2 4 2 3 2 4 2 3" xfId="21977"/>
    <cellStyle name="Normal 2 4 2 3 2 4 2 3 2" xfId="21978"/>
    <cellStyle name="Normal 2 4 2 3 2 4 2 4" xfId="21979"/>
    <cellStyle name="Normal 2 4 2 3 2 4 3" xfId="21980"/>
    <cellStyle name="Normal 2 4 2 3 2 4 3 2" xfId="21981"/>
    <cellStyle name="Normal 2 4 2 3 2 4 3 2 2" xfId="21982"/>
    <cellStyle name="Normal 2 4 2 3 2 4 3 3" xfId="21983"/>
    <cellStyle name="Normal 2 4 2 3 2 4 4" xfId="21984"/>
    <cellStyle name="Normal 2 4 2 3 2 4 4 2" xfId="21985"/>
    <cellStyle name="Normal 2 4 2 3 2 4 5" xfId="21986"/>
    <cellStyle name="Normal 2 4 2 3 2 5" xfId="2963"/>
    <cellStyle name="Normal 2 4 2 3 2 5 2" xfId="21987"/>
    <cellStyle name="Normal 2 4 2 3 2 5 2 2" xfId="21988"/>
    <cellStyle name="Normal 2 4 2 3 2 5 2 2 2" xfId="21989"/>
    <cellStyle name="Normal 2 4 2 3 2 5 2 3" xfId="21990"/>
    <cellStyle name="Normal 2 4 2 3 2 5 3" xfId="21991"/>
    <cellStyle name="Normal 2 4 2 3 2 5 3 2" xfId="21992"/>
    <cellStyle name="Normal 2 4 2 3 2 5 4" xfId="21993"/>
    <cellStyle name="Normal 2 4 2 3 2 6" xfId="21994"/>
    <cellStyle name="Normal 2 4 2 3 2 6 2" xfId="21995"/>
    <cellStyle name="Normal 2 4 2 3 2 6 2 2" xfId="21996"/>
    <cellStyle name="Normal 2 4 2 3 2 6 3" xfId="21997"/>
    <cellStyle name="Normal 2 4 2 3 2 7" xfId="21998"/>
    <cellStyle name="Normal 2 4 2 3 2 7 2" xfId="21999"/>
    <cellStyle name="Normal 2 4 2 3 2 8" xfId="22000"/>
    <cellStyle name="Normal 2 4 2 3 3" xfId="379"/>
    <cellStyle name="Normal 2 4 2 3 3 2" xfId="1059"/>
    <cellStyle name="Normal 2 4 2 3 3 2 2" xfId="2419"/>
    <cellStyle name="Normal 2 4 2 3 3 2 2 2" xfId="5139"/>
    <cellStyle name="Normal 2 4 2 3 3 2 2 2 2" xfId="22001"/>
    <cellStyle name="Normal 2 4 2 3 3 2 2 2 2 2" xfId="22002"/>
    <cellStyle name="Normal 2 4 2 3 3 2 2 2 2 2 2" xfId="22003"/>
    <cellStyle name="Normal 2 4 2 3 3 2 2 2 2 3" xfId="22004"/>
    <cellStyle name="Normal 2 4 2 3 3 2 2 2 3" xfId="22005"/>
    <cellStyle name="Normal 2 4 2 3 3 2 2 2 3 2" xfId="22006"/>
    <cellStyle name="Normal 2 4 2 3 3 2 2 2 4" xfId="22007"/>
    <cellStyle name="Normal 2 4 2 3 3 2 2 3" xfId="22008"/>
    <cellStyle name="Normal 2 4 2 3 3 2 2 3 2" xfId="22009"/>
    <cellStyle name="Normal 2 4 2 3 3 2 2 3 2 2" xfId="22010"/>
    <cellStyle name="Normal 2 4 2 3 3 2 2 3 3" xfId="22011"/>
    <cellStyle name="Normal 2 4 2 3 3 2 2 4" xfId="22012"/>
    <cellStyle name="Normal 2 4 2 3 3 2 2 4 2" xfId="22013"/>
    <cellStyle name="Normal 2 4 2 3 3 2 2 5" xfId="22014"/>
    <cellStyle name="Normal 2 4 2 3 3 2 3" xfId="3779"/>
    <cellStyle name="Normal 2 4 2 3 3 2 3 2" xfId="22015"/>
    <cellStyle name="Normal 2 4 2 3 3 2 3 2 2" xfId="22016"/>
    <cellStyle name="Normal 2 4 2 3 3 2 3 2 2 2" xfId="22017"/>
    <cellStyle name="Normal 2 4 2 3 3 2 3 2 3" xfId="22018"/>
    <cellStyle name="Normal 2 4 2 3 3 2 3 3" xfId="22019"/>
    <cellStyle name="Normal 2 4 2 3 3 2 3 3 2" xfId="22020"/>
    <cellStyle name="Normal 2 4 2 3 3 2 3 4" xfId="22021"/>
    <cellStyle name="Normal 2 4 2 3 3 2 4" xfId="22022"/>
    <cellStyle name="Normal 2 4 2 3 3 2 4 2" xfId="22023"/>
    <cellStyle name="Normal 2 4 2 3 3 2 4 2 2" xfId="22024"/>
    <cellStyle name="Normal 2 4 2 3 3 2 4 3" xfId="22025"/>
    <cellStyle name="Normal 2 4 2 3 3 2 5" xfId="22026"/>
    <cellStyle name="Normal 2 4 2 3 3 2 5 2" xfId="22027"/>
    <cellStyle name="Normal 2 4 2 3 3 2 6" xfId="22028"/>
    <cellStyle name="Normal 2 4 2 3 3 3" xfId="1739"/>
    <cellStyle name="Normal 2 4 2 3 3 3 2" xfId="4459"/>
    <cellStyle name="Normal 2 4 2 3 3 3 2 2" xfId="22029"/>
    <cellStyle name="Normal 2 4 2 3 3 3 2 2 2" xfId="22030"/>
    <cellStyle name="Normal 2 4 2 3 3 3 2 2 2 2" xfId="22031"/>
    <cellStyle name="Normal 2 4 2 3 3 3 2 2 3" xfId="22032"/>
    <cellStyle name="Normal 2 4 2 3 3 3 2 3" xfId="22033"/>
    <cellStyle name="Normal 2 4 2 3 3 3 2 3 2" xfId="22034"/>
    <cellStyle name="Normal 2 4 2 3 3 3 2 4" xfId="22035"/>
    <cellStyle name="Normal 2 4 2 3 3 3 3" xfId="22036"/>
    <cellStyle name="Normal 2 4 2 3 3 3 3 2" xfId="22037"/>
    <cellStyle name="Normal 2 4 2 3 3 3 3 2 2" xfId="22038"/>
    <cellStyle name="Normal 2 4 2 3 3 3 3 3" xfId="22039"/>
    <cellStyle name="Normal 2 4 2 3 3 3 4" xfId="22040"/>
    <cellStyle name="Normal 2 4 2 3 3 3 4 2" xfId="22041"/>
    <cellStyle name="Normal 2 4 2 3 3 3 5" xfId="22042"/>
    <cellStyle name="Normal 2 4 2 3 3 4" xfId="3099"/>
    <cellStyle name="Normal 2 4 2 3 3 4 2" xfId="22043"/>
    <cellStyle name="Normal 2 4 2 3 3 4 2 2" xfId="22044"/>
    <cellStyle name="Normal 2 4 2 3 3 4 2 2 2" xfId="22045"/>
    <cellStyle name="Normal 2 4 2 3 3 4 2 3" xfId="22046"/>
    <cellStyle name="Normal 2 4 2 3 3 4 3" xfId="22047"/>
    <cellStyle name="Normal 2 4 2 3 3 4 3 2" xfId="22048"/>
    <cellStyle name="Normal 2 4 2 3 3 4 4" xfId="22049"/>
    <cellStyle name="Normal 2 4 2 3 3 5" xfId="22050"/>
    <cellStyle name="Normal 2 4 2 3 3 5 2" xfId="22051"/>
    <cellStyle name="Normal 2 4 2 3 3 5 2 2" xfId="22052"/>
    <cellStyle name="Normal 2 4 2 3 3 5 3" xfId="22053"/>
    <cellStyle name="Normal 2 4 2 3 3 6" xfId="22054"/>
    <cellStyle name="Normal 2 4 2 3 3 6 2" xfId="22055"/>
    <cellStyle name="Normal 2 4 2 3 3 7" xfId="22056"/>
    <cellStyle name="Normal 2 4 2 3 4" xfId="651"/>
    <cellStyle name="Normal 2 4 2 3 4 2" xfId="1331"/>
    <cellStyle name="Normal 2 4 2 3 4 2 2" xfId="2691"/>
    <cellStyle name="Normal 2 4 2 3 4 2 2 2" xfId="5411"/>
    <cellStyle name="Normal 2 4 2 3 4 2 2 2 2" xfId="22057"/>
    <cellStyle name="Normal 2 4 2 3 4 2 2 2 2 2" xfId="22058"/>
    <cellStyle name="Normal 2 4 2 3 4 2 2 2 2 2 2" xfId="22059"/>
    <cellStyle name="Normal 2 4 2 3 4 2 2 2 2 3" xfId="22060"/>
    <cellStyle name="Normal 2 4 2 3 4 2 2 2 3" xfId="22061"/>
    <cellStyle name="Normal 2 4 2 3 4 2 2 2 3 2" xfId="22062"/>
    <cellStyle name="Normal 2 4 2 3 4 2 2 2 4" xfId="22063"/>
    <cellStyle name="Normal 2 4 2 3 4 2 2 3" xfId="22064"/>
    <cellStyle name="Normal 2 4 2 3 4 2 2 3 2" xfId="22065"/>
    <cellStyle name="Normal 2 4 2 3 4 2 2 3 2 2" xfId="22066"/>
    <cellStyle name="Normal 2 4 2 3 4 2 2 3 3" xfId="22067"/>
    <cellStyle name="Normal 2 4 2 3 4 2 2 4" xfId="22068"/>
    <cellStyle name="Normal 2 4 2 3 4 2 2 4 2" xfId="22069"/>
    <cellStyle name="Normal 2 4 2 3 4 2 2 5" xfId="22070"/>
    <cellStyle name="Normal 2 4 2 3 4 2 3" xfId="4051"/>
    <cellStyle name="Normal 2 4 2 3 4 2 3 2" xfId="22071"/>
    <cellStyle name="Normal 2 4 2 3 4 2 3 2 2" xfId="22072"/>
    <cellStyle name="Normal 2 4 2 3 4 2 3 2 2 2" xfId="22073"/>
    <cellStyle name="Normal 2 4 2 3 4 2 3 2 3" xfId="22074"/>
    <cellStyle name="Normal 2 4 2 3 4 2 3 3" xfId="22075"/>
    <cellStyle name="Normal 2 4 2 3 4 2 3 3 2" xfId="22076"/>
    <cellStyle name="Normal 2 4 2 3 4 2 3 4" xfId="22077"/>
    <cellStyle name="Normal 2 4 2 3 4 2 4" xfId="22078"/>
    <cellStyle name="Normal 2 4 2 3 4 2 4 2" xfId="22079"/>
    <cellStyle name="Normal 2 4 2 3 4 2 4 2 2" xfId="22080"/>
    <cellStyle name="Normal 2 4 2 3 4 2 4 3" xfId="22081"/>
    <cellStyle name="Normal 2 4 2 3 4 2 5" xfId="22082"/>
    <cellStyle name="Normal 2 4 2 3 4 2 5 2" xfId="22083"/>
    <cellStyle name="Normal 2 4 2 3 4 2 6" xfId="22084"/>
    <cellStyle name="Normal 2 4 2 3 4 3" xfId="2011"/>
    <cellStyle name="Normal 2 4 2 3 4 3 2" xfId="4731"/>
    <cellStyle name="Normal 2 4 2 3 4 3 2 2" xfId="22085"/>
    <cellStyle name="Normal 2 4 2 3 4 3 2 2 2" xfId="22086"/>
    <cellStyle name="Normal 2 4 2 3 4 3 2 2 2 2" xfId="22087"/>
    <cellStyle name="Normal 2 4 2 3 4 3 2 2 3" xfId="22088"/>
    <cellStyle name="Normal 2 4 2 3 4 3 2 3" xfId="22089"/>
    <cellStyle name="Normal 2 4 2 3 4 3 2 3 2" xfId="22090"/>
    <cellStyle name="Normal 2 4 2 3 4 3 2 4" xfId="22091"/>
    <cellStyle name="Normal 2 4 2 3 4 3 3" xfId="22092"/>
    <cellStyle name="Normal 2 4 2 3 4 3 3 2" xfId="22093"/>
    <cellStyle name="Normal 2 4 2 3 4 3 3 2 2" xfId="22094"/>
    <cellStyle name="Normal 2 4 2 3 4 3 3 3" xfId="22095"/>
    <cellStyle name="Normal 2 4 2 3 4 3 4" xfId="22096"/>
    <cellStyle name="Normal 2 4 2 3 4 3 4 2" xfId="22097"/>
    <cellStyle name="Normal 2 4 2 3 4 3 5" xfId="22098"/>
    <cellStyle name="Normal 2 4 2 3 4 4" xfId="3371"/>
    <cellStyle name="Normal 2 4 2 3 4 4 2" xfId="22099"/>
    <cellStyle name="Normal 2 4 2 3 4 4 2 2" xfId="22100"/>
    <cellStyle name="Normal 2 4 2 3 4 4 2 2 2" xfId="22101"/>
    <cellStyle name="Normal 2 4 2 3 4 4 2 3" xfId="22102"/>
    <cellStyle name="Normal 2 4 2 3 4 4 3" xfId="22103"/>
    <cellStyle name="Normal 2 4 2 3 4 4 3 2" xfId="22104"/>
    <cellStyle name="Normal 2 4 2 3 4 4 4" xfId="22105"/>
    <cellStyle name="Normal 2 4 2 3 4 5" xfId="22106"/>
    <cellStyle name="Normal 2 4 2 3 4 5 2" xfId="22107"/>
    <cellStyle name="Normal 2 4 2 3 4 5 2 2" xfId="22108"/>
    <cellStyle name="Normal 2 4 2 3 4 5 3" xfId="22109"/>
    <cellStyle name="Normal 2 4 2 3 4 6" xfId="22110"/>
    <cellStyle name="Normal 2 4 2 3 4 6 2" xfId="22111"/>
    <cellStyle name="Normal 2 4 2 3 4 7" xfId="22112"/>
    <cellStyle name="Normal 2 4 2 3 5" xfId="787"/>
    <cellStyle name="Normal 2 4 2 3 5 2" xfId="2147"/>
    <cellStyle name="Normal 2 4 2 3 5 2 2" xfId="4867"/>
    <cellStyle name="Normal 2 4 2 3 5 2 2 2" xfId="22113"/>
    <cellStyle name="Normal 2 4 2 3 5 2 2 2 2" xfId="22114"/>
    <cellStyle name="Normal 2 4 2 3 5 2 2 2 2 2" xfId="22115"/>
    <cellStyle name="Normal 2 4 2 3 5 2 2 2 3" xfId="22116"/>
    <cellStyle name="Normal 2 4 2 3 5 2 2 3" xfId="22117"/>
    <cellStyle name="Normal 2 4 2 3 5 2 2 3 2" xfId="22118"/>
    <cellStyle name="Normal 2 4 2 3 5 2 2 4" xfId="22119"/>
    <cellStyle name="Normal 2 4 2 3 5 2 3" xfId="22120"/>
    <cellStyle name="Normal 2 4 2 3 5 2 3 2" xfId="22121"/>
    <cellStyle name="Normal 2 4 2 3 5 2 3 2 2" xfId="22122"/>
    <cellStyle name="Normal 2 4 2 3 5 2 3 3" xfId="22123"/>
    <cellStyle name="Normal 2 4 2 3 5 2 4" xfId="22124"/>
    <cellStyle name="Normal 2 4 2 3 5 2 4 2" xfId="22125"/>
    <cellStyle name="Normal 2 4 2 3 5 2 5" xfId="22126"/>
    <cellStyle name="Normal 2 4 2 3 5 3" xfId="3507"/>
    <cellStyle name="Normal 2 4 2 3 5 3 2" xfId="22127"/>
    <cellStyle name="Normal 2 4 2 3 5 3 2 2" xfId="22128"/>
    <cellStyle name="Normal 2 4 2 3 5 3 2 2 2" xfId="22129"/>
    <cellStyle name="Normal 2 4 2 3 5 3 2 3" xfId="22130"/>
    <cellStyle name="Normal 2 4 2 3 5 3 3" xfId="22131"/>
    <cellStyle name="Normal 2 4 2 3 5 3 3 2" xfId="22132"/>
    <cellStyle name="Normal 2 4 2 3 5 3 4" xfId="22133"/>
    <cellStyle name="Normal 2 4 2 3 5 4" xfId="22134"/>
    <cellStyle name="Normal 2 4 2 3 5 4 2" xfId="22135"/>
    <cellStyle name="Normal 2 4 2 3 5 4 2 2" xfId="22136"/>
    <cellStyle name="Normal 2 4 2 3 5 4 3" xfId="22137"/>
    <cellStyle name="Normal 2 4 2 3 5 5" xfId="22138"/>
    <cellStyle name="Normal 2 4 2 3 5 5 2" xfId="22139"/>
    <cellStyle name="Normal 2 4 2 3 5 6" xfId="22140"/>
    <cellStyle name="Normal 2 4 2 3 6" xfId="1467"/>
    <cellStyle name="Normal 2 4 2 3 6 2" xfId="4187"/>
    <cellStyle name="Normal 2 4 2 3 6 2 2" xfId="22141"/>
    <cellStyle name="Normal 2 4 2 3 6 2 2 2" xfId="22142"/>
    <cellStyle name="Normal 2 4 2 3 6 2 2 2 2" xfId="22143"/>
    <cellStyle name="Normal 2 4 2 3 6 2 2 3" xfId="22144"/>
    <cellStyle name="Normal 2 4 2 3 6 2 3" xfId="22145"/>
    <cellStyle name="Normal 2 4 2 3 6 2 3 2" xfId="22146"/>
    <cellStyle name="Normal 2 4 2 3 6 2 4" xfId="22147"/>
    <cellStyle name="Normal 2 4 2 3 6 3" xfId="22148"/>
    <cellStyle name="Normal 2 4 2 3 6 3 2" xfId="22149"/>
    <cellStyle name="Normal 2 4 2 3 6 3 2 2" xfId="22150"/>
    <cellStyle name="Normal 2 4 2 3 6 3 3" xfId="22151"/>
    <cellStyle name="Normal 2 4 2 3 6 4" xfId="22152"/>
    <cellStyle name="Normal 2 4 2 3 6 4 2" xfId="22153"/>
    <cellStyle name="Normal 2 4 2 3 6 5" xfId="22154"/>
    <cellStyle name="Normal 2 4 2 3 7" xfId="2827"/>
    <cellStyle name="Normal 2 4 2 3 7 2" xfId="22155"/>
    <cellStyle name="Normal 2 4 2 3 7 2 2" xfId="22156"/>
    <cellStyle name="Normal 2 4 2 3 7 2 2 2" xfId="22157"/>
    <cellStyle name="Normal 2 4 2 3 7 2 3" xfId="22158"/>
    <cellStyle name="Normal 2 4 2 3 7 3" xfId="22159"/>
    <cellStyle name="Normal 2 4 2 3 7 3 2" xfId="22160"/>
    <cellStyle name="Normal 2 4 2 3 7 4" xfId="22161"/>
    <cellStyle name="Normal 2 4 2 3 8" xfId="22162"/>
    <cellStyle name="Normal 2 4 2 3 8 2" xfId="22163"/>
    <cellStyle name="Normal 2 4 2 3 8 2 2" xfId="22164"/>
    <cellStyle name="Normal 2 4 2 3 8 3" xfId="22165"/>
    <cellStyle name="Normal 2 4 2 3 9" xfId="22166"/>
    <cellStyle name="Normal 2 4 2 3 9 2" xfId="22167"/>
    <cellStyle name="Normal 2 4 2 4" xfId="175"/>
    <cellStyle name="Normal 2 4 2 4 2" xfId="447"/>
    <cellStyle name="Normal 2 4 2 4 2 2" xfId="1127"/>
    <cellStyle name="Normal 2 4 2 4 2 2 2" xfId="2487"/>
    <cellStyle name="Normal 2 4 2 4 2 2 2 2" xfId="5207"/>
    <cellStyle name="Normal 2 4 2 4 2 2 2 2 2" xfId="22168"/>
    <cellStyle name="Normal 2 4 2 4 2 2 2 2 2 2" xfId="22169"/>
    <cellStyle name="Normal 2 4 2 4 2 2 2 2 2 2 2" xfId="22170"/>
    <cellStyle name="Normal 2 4 2 4 2 2 2 2 2 3" xfId="22171"/>
    <cellStyle name="Normal 2 4 2 4 2 2 2 2 3" xfId="22172"/>
    <cellStyle name="Normal 2 4 2 4 2 2 2 2 3 2" xfId="22173"/>
    <cellStyle name="Normal 2 4 2 4 2 2 2 2 4" xfId="22174"/>
    <cellStyle name="Normal 2 4 2 4 2 2 2 3" xfId="22175"/>
    <cellStyle name="Normal 2 4 2 4 2 2 2 3 2" xfId="22176"/>
    <cellStyle name="Normal 2 4 2 4 2 2 2 3 2 2" xfId="22177"/>
    <cellStyle name="Normal 2 4 2 4 2 2 2 3 3" xfId="22178"/>
    <cellStyle name="Normal 2 4 2 4 2 2 2 4" xfId="22179"/>
    <cellStyle name="Normal 2 4 2 4 2 2 2 4 2" xfId="22180"/>
    <cellStyle name="Normal 2 4 2 4 2 2 2 5" xfId="22181"/>
    <cellStyle name="Normal 2 4 2 4 2 2 3" xfId="3847"/>
    <cellStyle name="Normal 2 4 2 4 2 2 3 2" xfId="22182"/>
    <cellStyle name="Normal 2 4 2 4 2 2 3 2 2" xfId="22183"/>
    <cellStyle name="Normal 2 4 2 4 2 2 3 2 2 2" xfId="22184"/>
    <cellStyle name="Normal 2 4 2 4 2 2 3 2 3" xfId="22185"/>
    <cellStyle name="Normal 2 4 2 4 2 2 3 3" xfId="22186"/>
    <cellStyle name="Normal 2 4 2 4 2 2 3 3 2" xfId="22187"/>
    <cellStyle name="Normal 2 4 2 4 2 2 3 4" xfId="22188"/>
    <cellStyle name="Normal 2 4 2 4 2 2 4" xfId="22189"/>
    <cellStyle name="Normal 2 4 2 4 2 2 4 2" xfId="22190"/>
    <cellStyle name="Normal 2 4 2 4 2 2 4 2 2" xfId="22191"/>
    <cellStyle name="Normal 2 4 2 4 2 2 4 3" xfId="22192"/>
    <cellStyle name="Normal 2 4 2 4 2 2 5" xfId="22193"/>
    <cellStyle name="Normal 2 4 2 4 2 2 5 2" xfId="22194"/>
    <cellStyle name="Normal 2 4 2 4 2 2 6" xfId="22195"/>
    <cellStyle name="Normal 2 4 2 4 2 3" xfId="1807"/>
    <cellStyle name="Normal 2 4 2 4 2 3 2" xfId="4527"/>
    <cellStyle name="Normal 2 4 2 4 2 3 2 2" xfId="22196"/>
    <cellStyle name="Normal 2 4 2 4 2 3 2 2 2" xfId="22197"/>
    <cellStyle name="Normal 2 4 2 4 2 3 2 2 2 2" xfId="22198"/>
    <cellStyle name="Normal 2 4 2 4 2 3 2 2 3" xfId="22199"/>
    <cellStyle name="Normal 2 4 2 4 2 3 2 3" xfId="22200"/>
    <cellStyle name="Normal 2 4 2 4 2 3 2 3 2" xfId="22201"/>
    <cellStyle name="Normal 2 4 2 4 2 3 2 4" xfId="22202"/>
    <cellStyle name="Normal 2 4 2 4 2 3 3" xfId="22203"/>
    <cellStyle name="Normal 2 4 2 4 2 3 3 2" xfId="22204"/>
    <cellStyle name="Normal 2 4 2 4 2 3 3 2 2" xfId="22205"/>
    <cellStyle name="Normal 2 4 2 4 2 3 3 3" xfId="22206"/>
    <cellStyle name="Normal 2 4 2 4 2 3 4" xfId="22207"/>
    <cellStyle name="Normal 2 4 2 4 2 3 4 2" xfId="22208"/>
    <cellStyle name="Normal 2 4 2 4 2 3 5" xfId="22209"/>
    <cellStyle name="Normal 2 4 2 4 2 4" xfId="3167"/>
    <cellStyle name="Normal 2 4 2 4 2 4 2" xfId="22210"/>
    <cellStyle name="Normal 2 4 2 4 2 4 2 2" xfId="22211"/>
    <cellStyle name="Normal 2 4 2 4 2 4 2 2 2" xfId="22212"/>
    <cellStyle name="Normal 2 4 2 4 2 4 2 3" xfId="22213"/>
    <cellStyle name="Normal 2 4 2 4 2 4 3" xfId="22214"/>
    <cellStyle name="Normal 2 4 2 4 2 4 3 2" xfId="22215"/>
    <cellStyle name="Normal 2 4 2 4 2 4 4" xfId="22216"/>
    <cellStyle name="Normal 2 4 2 4 2 5" xfId="22217"/>
    <cellStyle name="Normal 2 4 2 4 2 5 2" xfId="22218"/>
    <cellStyle name="Normal 2 4 2 4 2 5 2 2" xfId="22219"/>
    <cellStyle name="Normal 2 4 2 4 2 5 3" xfId="22220"/>
    <cellStyle name="Normal 2 4 2 4 2 6" xfId="22221"/>
    <cellStyle name="Normal 2 4 2 4 2 6 2" xfId="22222"/>
    <cellStyle name="Normal 2 4 2 4 2 7" xfId="22223"/>
    <cellStyle name="Normal 2 4 2 4 3" xfId="855"/>
    <cellStyle name="Normal 2 4 2 4 3 2" xfId="2215"/>
    <cellStyle name="Normal 2 4 2 4 3 2 2" xfId="4935"/>
    <cellStyle name="Normal 2 4 2 4 3 2 2 2" xfId="22224"/>
    <cellStyle name="Normal 2 4 2 4 3 2 2 2 2" xfId="22225"/>
    <cellStyle name="Normal 2 4 2 4 3 2 2 2 2 2" xfId="22226"/>
    <cellStyle name="Normal 2 4 2 4 3 2 2 2 3" xfId="22227"/>
    <cellStyle name="Normal 2 4 2 4 3 2 2 3" xfId="22228"/>
    <cellStyle name="Normal 2 4 2 4 3 2 2 3 2" xfId="22229"/>
    <cellStyle name="Normal 2 4 2 4 3 2 2 4" xfId="22230"/>
    <cellStyle name="Normal 2 4 2 4 3 2 3" xfId="22231"/>
    <cellStyle name="Normal 2 4 2 4 3 2 3 2" xfId="22232"/>
    <cellStyle name="Normal 2 4 2 4 3 2 3 2 2" xfId="22233"/>
    <cellStyle name="Normal 2 4 2 4 3 2 3 3" xfId="22234"/>
    <cellStyle name="Normal 2 4 2 4 3 2 4" xfId="22235"/>
    <cellStyle name="Normal 2 4 2 4 3 2 4 2" xfId="22236"/>
    <cellStyle name="Normal 2 4 2 4 3 2 5" xfId="22237"/>
    <cellStyle name="Normal 2 4 2 4 3 3" xfId="3575"/>
    <cellStyle name="Normal 2 4 2 4 3 3 2" xfId="22238"/>
    <cellStyle name="Normal 2 4 2 4 3 3 2 2" xfId="22239"/>
    <cellStyle name="Normal 2 4 2 4 3 3 2 2 2" xfId="22240"/>
    <cellStyle name="Normal 2 4 2 4 3 3 2 3" xfId="22241"/>
    <cellStyle name="Normal 2 4 2 4 3 3 3" xfId="22242"/>
    <cellStyle name="Normal 2 4 2 4 3 3 3 2" xfId="22243"/>
    <cellStyle name="Normal 2 4 2 4 3 3 4" xfId="22244"/>
    <cellStyle name="Normal 2 4 2 4 3 4" xfId="22245"/>
    <cellStyle name="Normal 2 4 2 4 3 4 2" xfId="22246"/>
    <cellStyle name="Normal 2 4 2 4 3 4 2 2" xfId="22247"/>
    <cellStyle name="Normal 2 4 2 4 3 4 3" xfId="22248"/>
    <cellStyle name="Normal 2 4 2 4 3 5" xfId="22249"/>
    <cellStyle name="Normal 2 4 2 4 3 5 2" xfId="22250"/>
    <cellStyle name="Normal 2 4 2 4 3 6" xfId="22251"/>
    <cellStyle name="Normal 2 4 2 4 4" xfId="1535"/>
    <cellStyle name="Normal 2 4 2 4 4 2" xfId="4255"/>
    <cellStyle name="Normal 2 4 2 4 4 2 2" xfId="22252"/>
    <cellStyle name="Normal 2 4 2 4 4 2 2 2" xfId="22253"/>
    <cellStyle name="Normal 2 4 2 4 4 2 2 2 2" xfId="22254"/>
    <cellStyle name="Normal 2 4 2 4 4 2 2 3" xfId="22255"/>
    <cellStyle name="Normal 2 4 2 4 4 2 3" xfId="22256"/>
    <cellStyle name="Normal 2 4 2 4 4 2 3 2" xfId="22257"/>
    <cellStyle name="Normal 2 4 2 4 4 2 4" xfId="22258"/>
    <cellStyle name="Normal 2 4 2 4 4 3" xfId="22259"/>
    <cellStyle name="Normal 2 4 2 4 4 3 2" xfId="22260"/>
    <cellStyle name="Normal 2 4 2 4 4 3 2 2" xfId="22261"/>
    <cellStyle name="Normal 2 4 2 4 4 3 3" xfId="22262"/>
    <cellStyle name="Normal 2 4 2 4 4 4" xfId="22263"/>
    <cellStyle name="Normal 2 4 2 4 4 4 2" xfId="22264"/>
    <cellStyle name="Normal 2 4 2 4 4 5" xfId="22265"/>
    <cellStyle name="Normal 2 4 2 4 5" xfId="2895"/>
    <cellStyle name="Normal 2 4 2 4 5 2" xfId="22266"/>
    <cellStyle name="Normal 2 4 2 4 5 2 2" xfId="22267"/>
    <cellStyle name="Normal 2 4 2 4 5 2 2 2" xfId="22268"/>
    <cellStyle name="Normal 2 4 2 4 5 2 3" xfId="22269"/>
    <cellStyle name="Normal 2 4 2 4 5 3" xfId="22270"/>
    <cellStyle name="Normal 2 4 2 4 5 3 2" xfId="22271"/>
    <cellStyle name="Normal 2 4 2 4 5 4" xfId="22272"/>
    <cellStyle name="Normal 2 4 2 4 6" xfId="22273"/>
    <cellStyle name="Normal 2 4 2 4 6 2" xfId="22274"/>
    <cellStyle name="Normal 2 4 2 4 6 2 2" xfId="22275"/>
    <cellStyle name="Normal 2 4 2 4 6 3" xfId="22276"/>
    <cellStyle name="Normal 2 4 2 4 7" xfId="22277"/>
    <cellStyle name="Normal 2 4 2 4 7 2" xfId="22278"/>
    <cellStyle name="Normal 2 4 2 4 8" xfId="22279"/>
    <cellStyle name="Normal 2 4 2 5" xfId="311"/>
    <cellStyle name="Normal 2 4 2 5 2" xfId="991"/>
    <cellStyle name="Normal 2 4 2 5 2 2" xfId="2351"/>
    <cellStyle name="Normal 2 4 2 5 2 2 2" xfId="5071"/>
    <cellStyle name="Normal 2 4 2 5 2 2 2 2" xfId="22280"/>
    <cellStyle name="Normal 2 4 2 5 2 2 2 2 2" xfId="22281"/>
    <cellStyle name="Normal 2 4 2 5 2 2 2 2 2 2" xfId="22282"/>
    <cellStyle name="Normal 2 4 2 5 2 2 2 2 3" xfId="22283"/>
    <cellStyle name="Normal 2 4 2 5 2 2 2 3" xfId="22284"/>
    <cellStyle name="Normal 2 4 2 5 2 2 2 3 2" xfId="22285"/>
    <cellStyle name="Normal 2 4 2 5 2 2 2 4" xfId="22286"/>
    <cellStyle name="Normal 2 4 2 5 2 2 3" xfId="22287"/>
    <cellStyle name="Normal 2 4 2 5 2 2 3 2" xfId="22288"/>
    <cellStyle name="Normal 2 4 2 5 2 2 3 2 2" xfId="22289"/>
    <cellStyle name="Normal 2 4 2 5 2 2 3 3" xfId="22290"/>
    <cellStyle name="Normal 2 4 2 5 2 2 4" xfId="22291"/>
    <cellStyle name="Normal 2 4 2 5 2 2 4 2" xfId="22292"/>
    <cellStyle name="Normal 2 4 2 5 2 2 5" xfId="22293"/>
    <cellStyle name="Normal 2 4 2 5 2 3" xfId="3711"/>
    <cellStyle name="Normal 2 4 2 5 2 3 2" xfId="22294"/>
    <cellStyle name="Normal 2 4 2 5 2 3 2 2" xfId="22295"/>
    <cellStyle name="Normal 2 4 2 5 2 3 2 2 2" xfId="22296"/>
    <cellStyle name="Normal 2 4 2 5 2 3 2 3" xfId="22297"/>
    <cellStyle name="Normal 2 4 2 5 2 3 3" xfId="22298"/>
    <cellStyle name="Normal 2 4 2 5 2 3 3 2" xfId="22299"/>
    <cellStyle name="Normal 2 4 2 5 2 3 4" xfId="22300"/>
    <cellStyle name="Normal 2 4 2 5 2 4" xfId="22301"/>
    <cellStyle name="Normal 2 4 2 5 2 4 2" xfId="22302"/>
    <cellStyle name="Normal 2 4 2 5 2 4 2 2" xfId="22303"/>
    <cellStyle name="Normal 2 4 2 5 2 4 3" xfId="22304"/>
    <cellStyle name="Normal 2 4 2 5 2 5" xfId="22305"/>
    <cellStyle name="Normal 2 4 2 5 2 5 2" xfId="22306"/>
    <cellStyle name="Normal 2 4 2 5 2 6" xfId="22307"/>
    <cellStyle name="Normal 2 4 2 5 3" xfId="1671"/>
    <cellStyle name="Normal 2 4 2 5 3 2" xfId="4391"/>
    <cellStyle name="Normal 2 4 2 5 3 2 2" xfId="22308"/>
    <cellStyle name="Normal 2 4 2 5 3 2 2 2" xfId="22309"/>
    <cellStyle name="Normal 2 4 2 5 3 2 2 2 2" xfId="22310"/>
    <cellStyle name="Normal 2 4 2 5 3 2 2 3" xfId="22311"/>
    <cellStyle name="Normal 2 4 2 5 3 2 3" xfId="22312"/>
    <cellStyle name="Normal 2 4 2 5 3 2 3 2" xfId="22313"/>
    <cellStyle name="Normal 2 4 2 5 3 2 4" xfId="22314"/>
    <cellStyle name="Normal 2 4 2 5 3 3" xfId="22315"/>
    <cellStyle name="Normal 2 4 2 5 3 3 2" xfId="22316"/>
    <cellStyle name="Normal 2 4 2 5 3 3 2 2" xfId="22317"/>
    <cellStyle name="Normal 2 4 2 5 3 3 3" xfId="22318"/>
    <cellStyle name="Normal 2 4 2 5 3 4" xfId="22319"/>
    <cellStyle name="Normal 2 4 2 5 3 4 2" xfId="22320"/>
    <cellStyle name="Normal 2 4 2 5 3 5" xfId="22321"/>
    <cellStyle name="Normal 2 4 2 5 4" xfId="3031"/>
    <cellStyle name="Normal 2 4 2 5 4 2" xfId="22322"/>
    <cellStyle name="Normal 2 4 2 5 4 2 2" xfId="22323"/>
    <cellStyle name="Normal 2 4 2 5 4 2 2 2" xfId="22324"/>
    <cellStyle name="Normal 2 4 2 5 4 2 3" xfId="22325"/>
    <cellStyle name="Normal 2 4 2 5 4 3" xfId="22326"/>
    <cellStyle name="Normal 2 4 2 5 4 3 2" xfId="22327"/>
    <cellStyle name="Normal 2 4 2 5 4 4" xfId="22328"/>
    <cellStyle name="Normal 2 4 2 5 5" xfId="22329"/>
    <cellStyle name="Normal 2 4 2 5 5 2" xfId="22330"/>
    <cellStyle name="Normal 2 4 2 5 5 2 2" xfId="22331"/>
    <cellStyle name="Normal 2 4 2 5 5 3" xfId="22332"/>
    <cellStyle name="Normal 2 4 2 5 6" xfId="22333"/>
    <cellStyle name="Normal 2 4 2 5 6 2" xfId="22334"/>
    <cellStyle name="Normal 2 4 2 5 7" xfId="22335"/>
    <cellStyle name="Normal 2 4 2 6" xfId="583"/>
    <cellStyle name="Normal 2 4 2 6 2" xfId="1263"/>
    <cellStyle name="Normal 2 4 2 6 2 2" xfId="2623"/>
    <cellStyle name="Normal 2 4 2 6 2 2 2" xfId="5343"/>
    <cellStyle name="Normal 2 4 2 6 2 2 2 2" xfId="22336"/>
    <cellStyle name="Normal 2 4 2 6 2 2 2 2 2" xfId="22337"/>
    <cellStyle name="Normal 2 4 2 6 2 2 2 2 2 2" xfId="22338"/>
    <cellStyle name="Normal 2 4 2 6 2 2 2 2 3" xfId="22339"/>
    <cellStyle name="Normal 2 4 2 6 2 2 2 3" xfId="22340"/>
    <cellStyle name="Normal 2 4 2 6 2 2 2 3 2" xfId="22341"/>
    <cellStyle name="Normal 2 4 2 6 2 2 2 4" xfId="22342"/>
    <cellStyle name="Normal 2 4 2 6 2 2 3" xfId="22343"/>
    <cellStyle name="Normal 2 4 2 6 2 2 3 2" xfId="22344"/>
    <cellStyle name="Normal 2 4 2 6 2 2 3 2 2" xfId="22345"/>
    <cellStyle name="Normal 2 4 2 6 2 2 3 3" xfId="22346"/>
    <cellStyle name="Normal 2 4 2 6 2 2 4" xfId="22347"/>
    <cellStyle name="Normal 2 4 2 6 2 2 4 2" xfId="22348"/>
    <cellStyle name="Normal 2 4 2 6 2 2 5" xfId="22349"/>
    <cellStyle name="Normal 2 4 2 6 2 3" xfId="3983"/>
    <cellStyle name="Normal 2 4 2 6 2 3 2" xfId="22350"/>
    <cellStyle name="Normal 2 4 2 6 2 3 2 2" xfId="22351"/>
    <cellStyle name="Normal 2 4 2 6 2 3 2 2 2" xfId="22352"/>
    <cellStyle name="Normal 2 4 2 6 2 3 2 3" xfId="22353"/>
    <cellStyle name="Normal 2 4 2 6 2 3 3" xfId="22354"/>
    <cellStyle name="Normal 2 4 2 6 2 3 3 2" xfId="22355"/>
    <cellStyle name="Normal 2 4 2 6 2 3 4" xfId="22356"/>
    <cellStyle name="Normal 2 4 2 6 2 4" xfId="22357"/>
    <cellStyle name="Normal 2 4 2 6 2 4 2" xfId="22358"/>
    <cellStyle name="Normal 2 4 2 6 2 4 2 2" xfId="22359"/>
    <cellStyle name="Normal 2 4 2 6 2 4 3" xfId="22360"/>
    <cellStyle name="Normal 2 4 2 6 2 5" xfId="22361"/>
    <cellStyle name="Normal 2 4 2 6 2 5 2" xfId="22362"/>
    <cellStyle name="Normal 2 4 2 6 2 6" xfId="22363"/>
    <cellStyle name="Normal 2 4 2 6 3" xfId="1943"/>
    <cellStyle name="Normal 2 4 2 6 3 2" xfId="4663"/>
    <cellStyle name="Normal 2 4 2 6 3 2 2" xfId="22364"/>
    <cellStyle name="Normal 2 4 2 6 3 2 2 2" xfId="22365"/>
    <cellStyle name="Normal 2 4 2 6 3 2 2 2 2" xfId="22366"/>
    <cellStyle name="Normal 2 4 2 6 3 2 2 3" xfId="22367"/>
    <cellStyle name="Normal 2 4 2 6 3 2 3" xfId="22368"/>
    <cellStyle name="Normal 2 4 2 6 3 2 3 2" xfId="22369"/>
    <cellStyle name="Normal 2 4 2 6 3 2 4" xfId="22370"/>
    <cellStyle name="Normal 2 4 2 6 3 3" xfId="22371"/>
    <cellStyle name="Normal 2 4 2 6 3 3 2" xfId="22372"/>
    <cellStyle name="Normal 2 4 2 6 3 3 2 2" xfId="22373"/>
    <cellStyle name="Normal 2 4 2 6 3 3 3" xfId="22374"/>
    <cellStyle name="Normal 2 4 2 6 3 4" xfId="22375"/>
    <cellStyle name="Normal 2 4 2 6 3 4 2" xfId="22376"/>
    <cellStyle name="Normal 2 4 2 6 3 5" xfId="22377"/>
    <cellStyle name="Normal 2 4 2 6 4" xfId="3303"/>
    <cellStyle name="Normal 2 4 2 6 4 2" xfId="22378"/>
    <cellStyle name="Normal 2 4 2 6 4 2 2" xfId="22379"/>
    <cellStyle name="Normal 2 4 2 6 4 2 2 2" xfId="22380"/>
    <cellStyle name="Normal 2 4 2 6 4 2 3" xfId="22381"/>
    <cellStyle name="Normal 2 4 2 6 4 3" xfId="22382"/>
    <cellStyle name="Normal 2 4 2 6 4 3 2" xfId="22383"/>
    <cellStyle name="Normal 2 4 2 6 4 4" xfId="22384"/>
    <cellStyle name="Normal 2 4 2 6 5" xfId="22385"/>
    <cellStyle name="Normal 2 4 2 6 5 2" xfId="22386"/>
    <cellStyle name="Normal 2 4 2 6 5 2 2" xfId="22387"/>
    <cellStyle name="Normal 2 4 2 6 5 3" xfId="22388"/>
    <cellStyle name="Normal 2 4 2 6 6" xfId="22389"/>
    <cellStyle name="Normal 2 4 2 6 6 2" xfId="22390"/>
    <cellStyle name="Normal 2 4 2 6 7" xfId="22391"/>
    <cellStyle name="Normal 2 4 2 7" xfId="719"/>
    <cellStyle name="Normal 2 4 2 7 2" xfId="2079"/>
    <cellStyle name="Normal 2 4 2 7 2 2" xfId="4799"/>
    <cellStyle name="Normal 2 4 2 7 2 2 2" xfId="22392"/>
    <cellStyle name="Normal 2 4 2 7 2 2 2 2" xfId="22393"/>
    <cellStyle name="Normal 2 4 2 7 2 2 2 2 2" xfId="22394"/>
    <cellStyle name="Normal 2 4 2 7 2 2 2 3" xfId="22395"/>
    <cellStyle name="Normal 2 4 2 7 2 2 3" xfId="22396"/>
    <cellStyle name="Normal 2 4 2 7 2 2 3 2" xfId="22397"/>
    <cellStyle name="Normal 2 4 2 7 2 2 4" xfId="22398"/>
    <cellStyle name="Normal 2 4 2 7 2 3" xfId="22399"/>
    <cellStyle name="Normal 2 4 2 7 2 3 2" xfId="22400"/>
    <cellStyle name="Normal 2 4 2 7 2 3 2 2" xfId="22401"/>
    <cellStyle name="Normal 2 4 2 7 2 3 3" xfId="22402"/>
    <cellStyle name="Normal 2 4 2 7 2 4" xfId="22403"/>
    <cellStyle name="Normal 2 4 2 7 2 4 2" xfId="22404"/>
    <cellStyle name="Normal 2 4 2 7 2 5" xfId="22405"/>
    <cellStyle name="Normal 2 4 2 7 3" xfId="3439"/>
    <cellStyle name="Normal 2 4 2 7 3 2" xfId="22406"/>
    <cellStyle name="Normal 2 4 2 7 3 2 2" xfId="22407"/>
    <cellStyle name="Normal 2 4 2 7 3 2 2 2" xfId="22408"/>
    <cellStyle name="Normal 2 4 2 7 3 2 3" xfId="22409"/>
    <cellStyle name="Normal 2 4 2 7 3 3" xfId="22410"/>
    <cellStyle name="Normal 2 4 2 7 3 3 2" xfId="22411"/>
    <cellStyle name="Normal 2 4 2 7 3 4" xfId="22412"/>
    <cellStyle name="Normal 2 4 2 7 4" xfId="22413"/>
    <cellStyle name="Normal 2 4 2 7 4 2" xfId="22414"/>
    <cellStyle name="Normal 2 4 2 7 4 2 2" xfId="22415"/>
    <cellStyle name="Normal 2 4 2 7 4 3" xfId="22416"/>
    <cellStyle name="Normal 2 4 2 7 5" xfId="22417"/>
    <cellStyle name="Normal 2 4 2 7 5 2" xfId="22418"/>
    <cellStyle name="Normal 2 4 2 7 6" xfId="22419"/>
    <cellStyle name="Normal 2 4 2 8" xfId="1399"/>
    <cellStyle name="Normal 2 4 2 8 2" xfId="4119"/>
    <cellStyle name="Normal 2 4 2 8 2 2" xfId="22420"/>
    <cellStyle name="Normal 2 4 2 8 2 2 2" xfId="22421"/>
    <cellStyle name="Normal 2 4 2 8 2 2 2 2" xfId="22422"/>
    <cellStyle name="Normal 2 4 2 8 2 2 3" xfId="22423"/>
    <cellStyle name="Normal 2 4 2 8 2 3" xfId="22424"/>
    <cellStyle name="Normal 2 4 2 8 2 3 2" xfId="22425"/>
    <cellStyle name="Normal 2 4 2 8 2 4" xfId="22426"/>
    <cellStyle name="Normal 2 4 2 8 3" xfId="22427"/>
    <cellStyle name="Normal 2 4 2 8 3 2" xfId="22428"/>
    <cellStyle name="Normal 2 4 2 8 3 2 2" xfId="22429"/>
    <cellStyle name="Normal 2 4 2 8 3 3" xfId="22430"/>
    <cellStyle name="Normal 2 4 2 8 4" xfId="22431"/>
    <cellStyle name="Normal 2 4 2 8 4 2" xfId="22432"/>
    <cellStyle name="Normal 2 4 2 8 5" xfId="22433"/>
    <cellStyle name="Normal 2 4 2 9" xfId="2759"/>
    <cellStyle name="Normal 2 4 2 9 2" xfId="22434"/>
    <cellStyle name="Normal 2 4 2 9 2 2" xfId="22435"/>
    <cellStyle name="Normal 2 4 2 9 2 2 2" xfId="22436"/>
    <cellStyle name="Normal 2 4 2 9 2 3" xfId="22437"/>
    <cellStyle name="Normal 2 4 2 9 3" xfId="22438"/>
    <cellStyle name="Normal 2 4 2 9 3 2" xfId="22439"/>
    <cellStyle name="Normal 2 4 2 9 4" xfId="22440"/>
    <cellStyle name="Normal 2 4 3" xfId="55"/>
    <cellStyle name="Normal 2 4 3 10" xfId="22441"/>
    <cellStyle name="Normal 2 4 3 10 2" xfId="22442"/>
    <cellStyle name="Normal 2 4 3 11" xfId="22443"/>
    <cellStyle name="Normal 2 4 3 2" xfId="123"/>
    <cellStyle name="Normal 2 4 3 2 10" xfId="22444"/>
    <cellStyle name="Normal 2 4 3 2 2" xfId="260"/>
    <cellStyle name="Normal 2 4 3 2 2 2" xfId="532"/>
    <cellStyle name="Normal 2 4 3 2 2 2 2" xfId="1212"/>
    <cellStyle name="Normal 2 4 3 2 2 2 2 2" xfId="2572"/>
    <cellStyle name="Normal 2 4 3 2 2 2 2 2 2" xfId="5292"/>
    <cellStyle name="Normal 2 4 3 2 2 2 2 2 2 2" xfId="22445"/>
    <cellStyle name="Normal 2 4 3 2 2 2 2 2 2 2 2" xfId="22446"/>
    <cellStyle name="Normal 2 4 3 2 2 2 2 2 2 2 2 2" xfId="22447"/>
    <cellStyle name="Normal 2 4 3 2 2 2 2 2 2 2 3" xfId="22448"/>
    <cellStyle name="Normal 2 4 3 2 2 2 2 2 2 3" xfId="22449"/>
    <cellStyle name="Normal 2 4 3 2 2 2 2 2 2 3 2" xfId="22450"/>
    <cellStyle name="Normal 2 4 3 2 2 2 2 2 2 4" xfId="22451"/>
    <cellStyle name="Normal 2 4 3 2 2 2 2 2 3" xfId="22452"/>
    <cellStyle name="Normal 2 4 3 2 2 2 2 2 3 2" xfId="22453"/>
    <cellStyle name="Normal 2 4 3 2 2 2 2 2 3 2 2" xfId="22454"/>
    <cellStyle name="Normal 2 4 3 2 2 2 2 2 3 3" xfId="22455"/>
    <cellStyle name="Normal 2 4 3 2 2 2 2 2 4" xfId="22456"/>
    <cellStyle name="Normal 2 4 3 2 2 2 2 2 4 2" xfId="22457"/>
    <cellStyle name="Normal 2 4 3 2 2 2 2 2 5" xfId="22458"/>
    <cellStyle name="Normal 2 4 3 2 2 2 2 3" xfId="3932"/>
    <cellStyle name="Normal 2 4 3 2 2 2 2 3 2" xfId="22459"/>
    <cellStyle name="Normal 2 4 3 2 2 2 2 3 2 2" xfId="22460"/>
    <cellStyle name="Normal 2 4 3 2 2 2 2 3 2 2 2" xfId="22461"/>
    <cellStyle name="Normal 2 4 3 2 2 2 2 3 2 3" xfId="22462"/>
    <cellStyle name="Normal 2 4 3 2 2 2 2 3 3" xfId="22463"/>
    <cellStyle name="Normal 2 4 3 2 2 2 2 3 3 2" xfId="22464"/>
    <cellStyle name="Normal 2 4 3 2 2 2 2 3 4" xfId="22465"/>
    <cellStyle name="Normal 2 4 3 2 2 2 2 4" xfId="22466"/>
    <cellStyle name="Normal 2 4 3 2 2 2 2 4 2" xfId="22467"/>
    <cellStyle name="Normal 2 4 3 2 2 2 2 4 2 2" xfId="22468"/>
    <cellStyle name="Normal 2 4 3 2 2 2 2 4 3" xfId="22469"/>
    <cellStyle name="Normal 2 4 3 2 2 2 2 5" xfId="22470"/>
    <cellStyle name="Normal 2 4 3 2 2 2 2 5 2" xfId="22471"/>
    <cellStyle name="Normal 2 4 3 2 2 2 2 6" xfId="22472"/>
    <cellStyle name="Normal 2 4 3 2 2 2 3" xfId="1892"/>
    <cellStyle name="Normal 2 4 3 2 2 2 3 2" xfId="4612"/>
    <cellStyle name="Normal 2 4 3 2 2 2 3 2 2" xfId="22473"/>
    <cellStyle name="Normal 2 4 3 2 2 2 3 2 2 2" xfId="22474"/>
    <cellStyle name="Normal 2 4 3 2 2 2 3 2 2 2 2" xfId="22475"/>
    <cellStyle name="Normal 2 4 3 2 2 2 3 2 2 3" xfId="22476"/>
    <cellStyle name="Normal 2 4 3 2 2 2 3 2 3" xfId="22477"/>
    <cellStyle name="Normal 2 4 3 2 2 2 3 2 3 2" xfId="22478"/>
    <cellStyle name="Normal 2 4 3 2 2 2 3 2 4" xfId="22479"/>
    <cellStyle name="Normal 2 4 3 2 2 2 3 3" xfId="22480"/>
    <cellStyle name="Normal 2 4 3 2 2 2 3 3 2" xfId="22481"/>
    <cellStyle name="Normal 2 4 3 2 2 2 3 3 2 2" xfId="22482"/>
    <cellStyle name="Normal 2 4 3 2 2 2 3 3 3" xfId="22483"/>
    <cellStyle name="Normal 2 4 3 2 2 2 3 4" xfId="22484"/>
    <cellStyle name="Normal 2 4 3 2 2 2 3 4 2" xfId="22485"/>
    <cellStyle name="Normal 2 4 3 2 2 2 3 5" xfId="22486"/>
    <cellStyle name="Normal 2 4 3 2 2 2 4" xfId="3252"/>
    <cellStyle name="Normal 2 4 3 2 2 2 4 2" xfId="22487"/>
    <cellStyle name="Normal 2 4 3 2 2 2 4 2 2" xfId="22488"/>
    <cellStyle name="Normal 2 4 3 2 2 2 4 2 2 2" xfId="22489"/>
    <cellStyle name="Normal 2 4 3 2 2 2 4 2 3" xfId="22490"/>
    <cellStyle name="Normal 2 4 3 2 2 2 4 3" xfId="22491"/>
    <cellStyle name="Normal 2 4 3 2 2 2 4 3 2" xfId="22492"/>
    <cellStyle name="Normal 2 4 3 2 2 2 4 4" xfId="22493"/>
    <cellStyle name="Normal 2 4 3 2 2 2 5" xfId="22494"/>
    <cellStyle name="Normal 2 4 3 2 2 2 5 2" xfId="22495"/>
    <cellStyle name="Normal 2 4 3 2 2 2 5 2 2" xfId="22496"/>
    <cellStyle name="Normal 2 4 3 2 2 2 5 3" xfId="22497"/>
    <cellStyle name="Normal 2 4 3 2 2 2 6" xfId="22498"/>
    <cellStyle name="Normal 2 4 3 2 2 2 6 2" xfId="22499"/>
    <cellStyle name="Normal 2 4 3 2 2 2 7" xfId="22500"/>
    <cellStyle name="Normal 2 4 3 2 2 3" xfId="940"/>
    <cellStyle name="Normal 2 4 3 2 2 3 2" xfId="2300"/>
    <cellStyle name="Normal 2 4 3 2 2 3 2 2" xfId="5020"/>
    <cellStyle name="Normal 2 4 3 2 2 3 2 2 2" xfId="22501"/>
    <cellStyle name="Normal 2 4 3 2 2 3 2 2 2 2" xfId="22502"/>
    <cellStyle name="Normal 2 4 3 2 2 3 2 2 2 2 2" xfId="22503"/>
    <cellStyle name="Normal 2 4 3 2 2 3 2 2 2 3" xfId="22504"/>
    <cellStyle name="Normal 2 4 3 2 2 3 2 2 3" xfId="22505"/>
    <cellStyle name="Normal 2 4 3 2 2 3 2 2 3 2" xfId="22506"/>
    <cellStyle name="Normal 2 4 3 2 2 3 2 2 4" xfId="22507"/>
    <cellStyle name="Normal 2 4 3 2 2 3 2 3" xfId="22508"/>
    <cellStyle name="Normal 2 4 3 2 2 3 2 3 2" xfId="22509"/>
    <cellStyle name="Normal 2 4 3 2 2 3 2 3 2 2" xfId="22510"/>
    <cellStyle name="Normal 2 4 3 2 2 3 2 3 3" xfId="22511"/>
    <cellStyle name="Normal 2 4 3 2 2 3 2 4" xfId="22512"/>
    <cellStyle name="Normal 2 4 3 2 2 3 2 4 2" xfId="22513"/>
    <cellStyle name="Normal 2 4 3 2 2 3 2 5" xfId="22514"/>
    <cellStyle name="Normal 2 4 3 2 2 3 3" xfId="3660"/>
    <cellStyle name="Normal 2 4 3 2 2 3 3 2" xfId="22515"/>
    <cellStyle name="Normal 2 4 3 2 2 3 3 2 2" xfId="22516"/>
    <cellStyle name="Normal 2 4 3 2 2 3 3 2 2 2" xfId="22517"/>
    <cellStyle name="Normal 2 4 3 2 2 3 3 2 3" xfId="22518"/>
    <cellStyle name="Normal 2 4 3 2 2 3 3 3" xfId="22519"/>
    <cellStyle name="Normal 2 4 3 2 2 3 3 3 2" xfId="22520"/>
    <cellStyle name="Normal 2 4 3 2 2 3 3 4" xfId="22521"/>
    <cellStyle name="Normal 2 4 3 2 2 3 4" xfId="22522"/>
    <cellStyle name="Normal 2 4 3 2 2 3 4 2" xfId="22523"/>
    <cellStyle name="Normal 2 4 3 2 2 3 4 2 2" xfId="22524"/>
    <cellStyle name="Normal 2 4 3 2 2 3 4 3" xfId="22525"/>
    <cellStyle name="Normal 2 4 3 2 2 3 5" xfId="22526"/>
    <cellStyle name="Normal 2 4 3 2 2 3 5 2" xfId="22527"/>
    <cellStyle name="Normal 2 4 3 2 2 3 6" xfId="22528"/>
    <cellStyle name="Normal 2 4 3 2 2 4" xfId="1620"/>
    <cellStyle name="Normal 2 4 3 2 2 4 2" xfId="4340"/>
    <cellStyle name="Normal 2 4 3 2 2 4 2 2" xfId="22529"/>
    <cellStyle name="Normal 2 4 3 2 2 4 2 2 2" xfId="22530"/>
    <cellStyle name="Normal 2 4 3 2 2 4 2 2 2 2" xfId="22531"/>
    <cellStyle name="Normal 2 4 3 2 2 4 2 2 3" xfId="22532"/>
    <cellStyle name="Normal 2 4 3 2 2 4 2 3" xfId="22533"/>
    <cellStyle name="Normal 2 4 3 2 2 4 2 3 2" xfId="22534"/>
    <cellStyle name="Normal 2 4 3 2 2 4 2 4" xfId="22535"/>
    <cellStyle name="Normal 2 4 3 2 2 4 3" xfId="22536"/>
    <cellStyle name="Normal 2 4 3 2 2 4 3 2" xfId="22537"/>
    <cellStyle name="Normal 2 4 3 2 2 4 3 2 2" xfId="22538"/>
    <cellStyle name="Normal 2 4 3 2 2 4 3 3" xfId="22539"/>
    <cellStyle name="Normal 2 4 3 2 2 4 4" xfId="22540"/>
    <cellStyle name="Normal 2 4 3 2 2 4 4 2" xfId="22541"/>
    <cellStyle name="Normal 2 4 3 2 2 4 5" xfId="22542"/>
    <cellStyle name="Normal 2 4 3 2 2 5" xfId="2980"/>
    <cellStyle name="Normal 2 4 3 2 2 5 2" xfId="22543"/>
    <cellStyle name="Normal 2 4 3 2 2 5 2 2" xfId="22544"/>
    <cellStyle name="Normal 2 4 3 2 2 5 2 2 2" xfId="22545"/>
    <cellStyle name="Normal 2 4 3 2 2 5 2 3" xfId="22546"/>
    <cellStyle name="Normal 2 4 3 2 2 5 3" xfId="22547"/>
    <cellStyle name="Normal 2 4 3 2 2 5 3 2" xfId="22548"/>
    <cellStyle name="Normal 2 4 3 2 2 5 4" xfId="22549"/>
    <cellStyle name="Normal 2 4 3 2 2 6" xfId="22550"/>
    <cellStyle name="Normal 2 4 3 2 2 6 2" xfId="22551"/>
    <cellStyle name="Normal 2 4 3 2 2 6 2 2" xfId="22552"/>
    <cellStyle name="Normal 2 4 3 2 2 6 3" xfId="22553"/>
    <cellStyle name="Normal 2 4 3 2 2 7" xfId="22554"/>
    <cellStyle name="Normal 2 4 3 2 2 7 2" xfId="22555"/>
    <cellStyle name="Normal 2 4 3 2 2 8" xfId="22556"/>
    <cellStyle name="Normal 2 4 3 2 3" xfId="396"/>
    <cellStyle name="Normal 2 4 3 2 3 2" xfId="1076"/>
    <cellStyle name="Normal 2 4 3 2 3 2 2" xfId="2436"/>
    <cellStyle name="Normal 2 4 3 2 3 2 2 2" xfId="5156"/>
    <cellStyle name="Normal 2 4 3 2 3 2 2 2 2" xfId="22557"/>
    <cellStyle name="Normal 2 4 3 2 3 2 2 2 2 2" xfId="22558"/>
    <cellStyle name="Normal 2 4 3 2 3 2 2 2 2 2 2" xfId="22559"/>
    <cellStyle name="Normal 2 4 3 2 3 2 2 2 2 3" xfId="22560"/>
    <cellStyle name="Normal 2 4 3 2 3 2 2 2 3" xfId="22561"/>
    <cellStyle name="Normal 2 4 3 2 3 2 2 2 3 2" xfId="22562"/>
    <cellStyle name="Normal 2 4 3 2 3 2 2 2 4" xfId="22563"/>
    <cellStyle name="Normal 2 4 3 2 3 2 2 3" xfId="22564"/>
    <cellStyle name="Normal 2 4 3 2 3 2 2 3 2" xfId="22565"/>
    <cellStyle name="Normal 2 4 3 2 3 2 2 3 2 2" xfId="22566"/>
    <cellStyle name="Normal 2 4 3 2 3 2 2 3 3" xfId="22567"/>
    <cellStyle name="Normal 2 4 3 2 3 2 2 4" xfId="22568"/>
    <cellStyle name="Normal 2 4 3 2 3 2 2 4 2" xfId="22569"/>
    <cellStyle name="Normal 2 4 3 2 3 2 2 5" xfId="22570"/>
    <cellStyle name="Normal 2 4 3 2 3 2 3" xfId="3796"/>
    <cellStyle name="Normal 2 4 3 2 3 2 3 2" xfId="22571"/>
    <cellStyle name="Normal 2 4 3 2 3 2 3 2 2" xfId="22572"/>
    <cellStyle name="Normal 2 4 3 2 3 2 3 2 2 2" xfId="22573"/>
    <cellStyle name="Normal 2 4 3 2 3 2 3 2 3" xfId="22574"/>
    <cellStyle name="Normal 2 4 3 2 3 2 3 3" xfId="22575"/>
    <cellStyle name="Normal 2 4 3 2 3 2 3 3 2" xfId="22576"/>
    <cellStyle name="Normal 2 4 3 2 3 2 3 4" xfId="22577"/>
    <cellStyle name="Normal 2 4 3 2 3 2 4" xfId="22578"/>
    <cellStyle name="Normal 2 4 3 2 3 2 4 2" xfId="22579"/>
    <cellStyle name="Normal 2 4 3 2 3 2 4 2 2" xfId="22580"/>
    <cellStyle name="Normal 2 4 3 2 3 2 4 3" xfId="22581"/>
    <cellStyle name="Normal 2 4 3 2 3 2 5" xfId="22582"/>
    <cellStyle name="Normal 2 4 3 2 3 2 5 2" xfId="22583"/>
    <cellStyle name="Normal 2 4 3 2 3 2 6" xfId="22584"/>
    <cellStyle name="Normal 2 4 3 2 3 3" xfId="1756"/>
    <cellStyle name="Normal 2 4 3 2 3 3 2" xfId="4476"/>
    <cellStyle name="Normal 2 4 3 2 3 3 2 2" xfId="22585"/>
    <cellStyle name="Normal 2 4 3 2 3 3 2 2 2" xfId="22586"/>
    <cellStyle name="Normal 2 4 3 2 3 3 2 2 2 2" xfId="22587"/>
    <cellStyle name="Normal 2 4 3 2 3 3 2 2 3" xfId="22588"/>
    <cellStyle name="Normal 2 4 3 2 3 3 2 3" xfId="22589"/>
    <cellStyle name="Normal 2 4 3 2 3 3 2 3 2" xfId="22590"/>
    <cellStyle name="Normal 2 4 3 2 3 3 2 4" xfId="22591"/>
    <cellStyle name="Normal 2 4 3 2 3 3 3" xfId="22592"/>
    <cellStyle name="Normal 2 4 3 2 3 3 3 2" xfId="22593"/>
    <cellStyle name="Normal 2 4 3 2 3 3 3 2 2" xfId="22594"/>
    <cellStyle name="Normal 2 4 3 2 3 3 3 3" xfId="22595"/>
    <cellStyle name="Normal 2 4 3 2 3 3 4" xfId="22596"/>
    <cellStyle name="Normal 2 4 3 2 3 3 4 2" xfId="22597"/>
    <cellStyle name="Normal 2 4 3 2 3 3 5" xfId="22598"/>
    <cellStyle name="Normal 2 4 3 2 3 4" xfId="3116"/>
    <cellStyle name="Normal 2 4 3 2 3 4 2" xfId="22599"/>
    <cellStyle name="Normal 2 4 3 2 3 4 2 2" xfId="22600"/>
    <cellStyle name="Normal 2 4 3 2 3 4 2 2 2" xfId="22601"/>
    <cellStyle name="Normal 2 4 3 2 3 4 2 3" xfId="22602"/>
    <cellStyle name="Normal 2 4 3 2 3 4 3" xfId="22603"/>
    <cellStyle name="Normal 2 4 3 2 3 4 3 2" xfId="22604"/>
    <cellStyle name="Normal 2 4 3 2 3 4 4" xfId="22605"/>
    <cellStyle name="Normal 2 4 3 2 3 5" xfId="22606"/>
    <cellStyle name="Normal 2 4 3 2 3 5 2" xfId="22607"/>
    <cellStyle name="Normal 2 4 3 2 3 5 2 2" xfId="22608"/>
    <cellStyle name="Normal 2 4 3 2 3 5 3" xfId="22609"/>
    <cellStyle name="Normal 2 4 3 2 3 6" xfId="22610"/>
    <cellStyle name="Normal 2 4 3 2 3 6 2" xfId="22611"/>
    <cellStyle name="Normal 2 4 3 2 3 7" xfId="22612"/>
    <cellStyle name="Normal 2 4 3 2 4" xfId="668"/>
    <cellStyle name="Normal 2 4 3 2 4 2" xfId="1348"/>
    <cellStyle name="Normal 2 4 3 2 4 2 2" xfId="2708"/>
    <cellStyle name="Normal 2 4 3 2 4 2 2 2" xfId="5428"/>
    <cellStyle name="Normal 2 4 3 2 4 2 2 2 2" xfId="22613"/>
    <cellStyle name="Normal 2 4 3 2 4 2 2 2 2 2" xfId="22614"/>
    <cellStyle name="Normal 2 4 3 2 4 2 2 2 2 2 2" xfId="22615"/>
    <cellStyle name="Normal 2 4 3 2 4 2 2 2 2 3" xfId="22616"/>
    <cellStyle name="Normal 2 4 3 2 4 2 2 2 3" xfId="22617"/>
    <cellStyle name="Normal 2 4 3 2 4 2 2 2 3 2" xfId="22618"/>
    <cellStyle name="Normal 2 4 3 2 4 2 2 2 4" xfId="22619"/>
    <cellStyle name="Normal 2 4 3 2 4 2 2 3" xfId="22620"/>
    <cellStyle name="Normal 2 4 3 2 4 2 2 3 2" xfId="22621"/>
    <cellStyle name="Normal 2 4 3 2 4 2 2 3 2 2" xfId="22622"/>
    <cellStyle name="Normal 2 4 3 2 4 2 2 3 3" xfId="22623"/>
    <cellStyle name="Normal 2 4 3 2 4 2 2 4" xfId="22624"/>
    <cellStyle name="Normal 2 4 3 2 4 2 2 4 2" xfId="22625"/>
    <cellStyle name="Normal 2 4 3 2 4 2 2 5" xfId="22626"/>
    <cellStyle name="Normal 2 4 3 2 4 2 3" xfId="4068"/>
    <cellStyle name="Normal 2 4 3 2 4 2 3 2" xfId="22627"/>
    <cellStyle name="Normal 2 4 3 2 4 2 3 2 2" xfId="22628"/>
    <cellStyle name="Normal 2 4 3 2 4 2 3 2 2 2" xfId="22629"/>
    <cellStyle name="Normal 2 4 3 2 4 2 3 2 3" xfId="22630"/>
    <cellStyle name="Normal 2 4 3 2 4 2 3 3" xfId="22631"/>
    <cellStyle name="Normal 2 4 3 2 4 2 3 3 2" xfId="22632"/>
    <cellStyle name="Normal 2 4 3 2 4 2 3 4" xfId="22633"/>
    <cellStyle name="Normal 2 4 3 2 4 2 4" xfId="22634"/>
    <cellStyle name="Normal 2 4 3 2 4 2 4 2" xfId="22635"/>
    <cellStyle name="Normal 2 4 3 2 4 2 4 2 2" xfId="22636"/>
    <cellStyle name="Normal 2 4 3 2 4 2 4 3" xfId="22637"/>
    <cellStyle name="Normal 2 4 3 2 4 2 5" xfId="22638"/>
    <cellStyle name="Normal 2 4 3 2 4 2 5 2" xfId="22639"/>
    <cellStyle name="Normal 2 4 3 2 4 2 6" xfId="22640"/>
    <cellStyle name="Normal 2 4 3 2 4 3" xfId="2028"/>
    <cellStyle name="Normal 2 4 3 2 4 3 2" xfId="4748"/>
    <cellStyle name="Normal 2 4 3 2 4 3 2 2" xfId="22641"/>
    <cellStyle name="Normal 2 4 3 2 4 3 2 2 2" xfId="22642"/>
    <cellStyle name="Normal 2 4 3 2 4 3 2 2 2 2" xfId="22643"/>
    <cellStyle name="Normal 2 4 3 2 4 3 2 2 3" xfId="22644"/>
    <cellStyle name="Normal 2 4 3 2 4 3 2 3" xfId="22645"/>
    <cellStyle name="Normal 2 4 3 2 4 3 2 3 2" xfId="22646"/>
    <cellStyle name="Normal 2 4 3 2 4 3 2 4" xfId="22647"/>
    <cellStyle name="Normal 2 4 3 2 4 3 3" xfId="22648"/>
    <cellStyle name="Normal 2 4 3 2 4 3 3 2" xfId="22649"/>
    <cellStyle name="Normal 2 4 3 2 4 3 3 2 2" xfId="22650"/>
    <cellStyle name="Normal 2 4 3 2 4 3 3 3" xfId="22651"/>
    <cellStyle name="Normal 2 4 3 2 4 3 4" xfId="22652"/>
    <cellStyle name="Normal 2 4 3 2 4 3 4 2" xfId="22653"/>
    <cellStyle name="Normal 2 4 3 2 4 3 5" xfId="22654"/>
    <cellStyle name="Normal 2 4 3 2 4 4" xfId="3388"/>
    <cellStyle name="Normal 2 4 3 2 4 4 2" xfId="22655"/>
    <cellStyle name="Normal 2 4 3 2 4 4 2 2" xfId="22656"/>
    <cellStyle name="Normal 2 4 3 2 4 4 2 2 2" xfId="22657"/>
    <cellStyle name="Normal 2 4 3 2 4 4 2 3" xfId="22658"/>
    <cellStyle name="Normal 2 4 3 2 4 4 3" xfId="22659"/>
    <cellStyle name="Normal 2 4 3 2 4 4 3 2" xfId="22660"/>
    <cellStyle name="Normal 2 4 3 2 4 4 4" xfId="22661"/>
    <cellStyle name="Normal 2 4 3 2 4 5" xfId="22662"/>
    <cellStyle name="Normal 2 4 3 2 4 5 2" xfId="22663"/>
    <cellStyle name="Normal 2 4 3 2 4 5 2 2" xfId="22664"/>
    <cellStyle name="Normal 2 4 3 2 4 5 3" xfId="22665"/>
    <cellStyle name="Normal 2 4 3 2 4 6" xfId="22666"/>
    <cellStyle name="Normal 2 4 3 2 4 6 2" xfId="22667"/>
    <cellStyle name="Normal 2 4 3 2 4 7" xfId="22668"/>
    <cellStyle name="Normal 2 4 3 2 5" xfId="804"/>
    <cellStyle name="Normal 2 4 3 2 5 2" xfId="2164"/>
    <cellStyle name="Normal 2 4 3 2 5 2 2" xfId="4884"/>
    <cellStyle name="Normal 2 4 3 2 5 2 2 2" xfId="22669"/>
    <cellStyle name="Normal 2 4 3 2 5 2 2 2 2" xfId="22670"/>
    <cellStyle name="Normal 2 4 3 2 5 2 2 2 2 2" xfId="22671"/>
    <cellStyle name="Normal 2 4 3 2 5 2 2 2 3" xfId="22672"/>
    <cellStyle name="Normal 2 4 3 2 5 2 2 3" xfId="22673"/>
    <cellStyle name="Normal 2 4 3 2 5 2 2 3 2" xfId="22674"/>
    <cellStyle name="Normal 2 4 3 2 5 2 2 4" xfId="22675"/>
    <cellStyle name="Normal 2 4 3 2 5 2 3" xfId="22676"/>
    <cellStyle name="Normal 2 4 3 2 5 2 3 2" xfId="22677"/>
    <cellStyle name="Normal 2 4 3 2 5 2 3 2 2" xfId="22678"/>
    <cellStyle name="Normal 2 4 3 2 5 2 3 3" xfId="22679"/>
    <cellStyle name="Normal 2 4 3 2 5 2 4" xfId="22680"/>
    <cellStyle name="Normal 2 4 3 2 5 2 4 2" xfId="22681"/>
    <cellStyle name="Normal 2 4 3 2 5 2 5" xfId="22682"/>
    <cellStyle name="Normal 2 4 3 2 5 3" xfId="3524"/>
    <cellStyle name="Normal 2 4 3 2 5 3 2" xfId="22683"/>
    <cellStyle name="Normal 2 4 3 2 5 3 2 2" xfId="22684"/>
    <cellStyle name="Normal 2 4 3 2 5 3 2 2 2" xfId="22685"/>
    <cellStyle name="Normal 2 4 3 2 5 3 2 3" xfId="22686"/>
    <cellStyle name="Normal 2 4 3 2 5 3 3" xfId="22687"/>
    <cellStyle name="Normal 2 4 3 2 5 3 3 2" xfId="22688"/>
    <cellStyle name="Normal 2 4 3 2 5 3 4" xfId="22689"/>
    <cellStyle name="Normal 2 4 3 2 5 4" xfId="22690"/>
    <cellStyle name="Normal 2 4 3 2 5 4 2" xfId="22691"/>
    <cellStyle name="Normal 2 4 3 2 5 4 2 2" xfId="22692"/>
    <cellStyle name="Normal 2 4 3 2 5 4 3" xfId="22693"/>
    <cellStyle name="Normal 2 4 3 2 5 5" xfId="22694"/>
    <cellStyle name="Normal 2 4 3 2 5 5 2" xfId="22695"/>
    <cellStyle name="Normal 2 4 3 2 5 6" xfId="22696"/>
    <cellStyle name="Normal 2 4 3 2 6" xfId="1484"/>
    <cellStyle name="Normal 2 4 3 2 6 2" xfId="4204"/>
    <cellStyle name="Normal 2 4 3 2 6 2 2" xfId="22697"/>
    <cellStyle name="Normal 2 4 3 2 6 2 2 2" xfId="22698"/>
    <cellStyle name="Normal 2 4 3 2 6 2 2 2 2" xfId="22699"/>
    <cellStyle name="Normal 2 4 3 2 6 2 2 3" xfId="22700"/>
    <cellStyle name="Normal 2 4 3 2 6 2 3" xfId="22701"/>
    <cellStyle name="Normal 2 4 3 2 6 2 3 2" xfId="22702"/>
    <cellStyle name="Normal 2 4 3 2 6 2 4" xfId="22703"/>
    <cellStyle name="Normal 2 4 3 2 6 3" xfId="22704"/>
    <cellStyle name="Normal 2 4 3 2 6 3 2" xfId="22705"/>
    <cellStyle name="Normal 2 4 3 2 6 3 2 2" xfId="22706"/>
    <cellStyle name="Normal 2 4 3 2 6 3 3" xfId="22707"/>
    <cellStyle name="Normal 2 4 3 2 6 4" xfId="22708"/>
    <cellStyle name="Normal 2 4 3 2 6 4 2" xfId="22709"/>
    <cellStyle name="Normal 2 4 3 2 6 5" xfId="22710"/>
    <cellStyle name="Normal 2 4 3 2 7" xfId="2844"/>
    <cellStyle name="Normal 2 4 3 2 7 2" xfId="22711"/>
    <cellStyle name="Normal 2 4 3 2 7 2 2" xfId="22712"/>
    <cellStyle name="Normal 2 4 3 2 7 2 2 2" xfId="22713"/>
    <cellStyle name="Normal 2 4 3 2 7 2 3" xfId="22714"/>
    <cellStyle name="Normal 2 4 3 2 7 3" xfId="22715"/>
    <cellStyle name="Normal 2 4 3 2 7 3 2" xfId="22716"/>
    <cellStyle name="Normal 2 4 3 2 7 4" xfId="22717"/>
    <cellStyle name="Normal 2 4 3 2 8" xfId="22718"/>
    <cellStyle name="Normal 2 4 3 2 8 2" xfId="22719"/>
    <cellStyle name="Normal 2 4 3 2 8 2 2" xfId="22720"/>
    <cellStyle name="Normal 2 4 3 2 8 3" xfId="22721"/>
    <cellStyle name="Normal 2 4 3 2 9" xfId="22722"/>
    <cellStyle name="Normal 2 4 3 2 9 2" xfId="22723"/>
    <cellStyle name="Normal 2 4 3 3" xfId="192"/>
    <cellStyle name="Normal 2 4 3 3 2" xfId="464"/>
    <cellStyle name="Normal 2 4 3 3 2 2" xfId="1144"/>
    <cellStyle name="Normal 2 4 3 3 2 2 2" xfId="2504"/>
    <cellStyle name="Normal 2 4 3 3 2 2 2 2" xfId="5224"/>
    <cellStyle name="Normal 2 4 3 3 2 2 2 2 2" xfId="22724"/>
    <cellStyle name="Normal 2 4 3 3 2 2 2 2 2 2" xfId="22725"/>
    <cellStyle name="Normal 2 4 3 3 2 2 2 2 2 2 2" xfId="22726"/>
    <cellStyle name="Normal 2 4 3 3 2 2 2 2 2 3" xfId="22727"/>
    <cellStyle name="Normal 2 4 3 3 2 2 2 2 3" xfId="22728"/>
    <cellStyle name="Normal 2 4 3 3 2 2 2 2 3 2" xfId="22729"/>
    <cellStyle name="Normal 2 4 3 3 2 2 2 2 4" xfId="22730"/>
    <cellStyle name="Normal 2 4 3 3 2 2 2 3" xfId="22731"/>
    <cellStyle name="Normal 2 4 3 3 2 2 2 3 2" xfId="22732"/>
    <cellStyle name="Normal 2 4 3 3 2 2 2 3 2 2" xfId="22733"/>
    <cellStyle name="Normal 2 4 3 3 2 2 2 3 3" xfId="22734"/>
    <cellStyle name="Normal 2 4 3 3 2 2 2 4" xfId="22735"/>
    <cellStyle name="Normal 2 4 3 3 2 2 2 4 2" xfId="22736"/>
    <cellStyle name="Normal 2 4 3 3 2 2 2 5" xfId="22737"/>
    <cellStyle name="Normal 2 4 3 3 2 2 3" xfId="3864"/>
    <cellStyle name="Normal 2 4 3 3 2 2 3 2" xfId="22738"/>
    <cellStyle name="Normal 2 4 3 3 2 2 3 2 2" xfId="22739"/>
    <cellStyle name="Normal 2 4 3 3 2 2 3 2 2 2" xfId="22740"/>
    <cellStyle name="Normal 2 4 3 3 2 2 3 2 3" xfId="22741"/>
    <cellStyle name="Normal 2 4 3 3 2 2 3 3" xfId="22742"/>
    <cellStyle name="Normal 2 4 3 3 2 2 3 3 2" xfId="22743"/>
    <cellStyle name="Normal 2 4 3 3 2 2 3 4" xfId="22744"/>
    <cellStyle name="Normal 2 4 3 3 2 2 4" xfId="22745"/>
    <cellStyle name="Normal 2 4 3 3 2 2 4 2" xfId="22746"/>
    <cellStyle name="Normal 2 4 3 3 2 2 4 2 2" xfId="22747"/>
    <cellStyle name="Normal 2 4 3 3 2 2 4 3" xfId="22748"/>
    <cellStyle name="Normal 2 4 3 3 2 2 5" xfId="22749"/>
    <cellStyle name="Normal 2 4 3 3 2 2 5 2" xfId="22750"/>
    <cellStyle name="Normal 2 4 3 3 2 2 6" xfId="22751"/>
    <cellStyle name="Normal 2 4 3 3 2 3" xfId="1824"/>
    <cellStyle name="Normal 2 4 3 3 2 3 2" xfId="4544"/>
    <cellStyle name="Normal 2 4 3 3 2 3 2 2" xfId="22752"/>
    <cellStyle name="Normal 2 4 3 3 2 3 2 2 2" xfId="22753"/>
    <cellStyle name="Normal 2 4 3 3 2 3 2 2 2 2" xfId="22754"/>
    <cellStyle name="Normal 2 4 3 3 2 3 2 2 3" xfId="22755"/>
    <cellStyle name="Normal 2 4 3 3 2 3 2 3" xfId="22756"/>
    <cellStyle name="Normal 2 4 3 3 2 3 2 3 2" xfId="22757"/>
    <cellStyle name="Normal 2 4 3 3 2 3 2 4" xfId="22758"/>
    <cellStyle name="Normal 2 4 3 3 2 3 3" xfId="22759"/>
    <cellStyle name="Normal 2 4 3 3 2 3 3 2" xfId="22760"/>
    <cellStyle name="Normal 2 4 3 3 2 3 3 2 2" xfId="22761"/>
    <cellStyle name="Normal 2 4 3 3 2 3 3 3" xfId="22762"/>
    <cellStyle name="Normal 2 4 3 3 2 3 4" xfId="22763"/>
    <cellStyle name="Normal 2 4 3 3 2 3 4 2" xfId="22764"/>
    <cellStyle name="Normal 2 4 3 3 2 3 5" xfId="22765"/>
    <cellStyle name="Normal 2 4 3 3 2 4" xfId="3184"/>
    <cellStyle name="Normal 2 4 3 3 2 4 2" xfId="22766"/>
    <cellStyle name="Normal 2 4 3 3 2 4 2 2" xfId="22767"/>
    <cellStyle name="Normal 2 4 3 3 2 4 2 2 2" xfId="22768"/>
    <cellStyle name="Normal 2 4 3 3 2 4 2 3" xfId="22769"/>
    <cellStyle name="Normal 2 4 3 3 2 4 3" xfId="22770"/>
    <cellStyle name="Normal 2 4 3 3 2 4 3 2" xfId="22771"/>
    <cellStyle name="Normal 2 4 3 3 2 4 4" xfId="22772"/>
    <cellStyle name="Normal 2 4 3 3 2 5" xfId="22773"/>
    <cellStyle name="Normal 2 4 3 3 2 5 2" xfId="22774"/>
    <cellStyle name="Normal 2 4 3 3 2 5 2 2" xfId="22775"/>
    <cellStyle name="Normal 2 4 3 3 2 5 3" xfId="22776"/>
    <cellStyle name="Normal 2 4 3 3 2 6" xfId="22777"/>
    <cellStyle name="Normal 2 4 3 3 2 6 2" xfId="22778"/>
    <cellStyle name="Normal 2 4 3 3 2 7" xfId="22779"/>
    <cellStyle name="Normal 2 4 3 3 3" xfId="872"/>
    <cellStyle name="Normal 2 4 3 3 3 2" xfId="2232"/>
    <cellStyle name="Normal 2 4 3 3 3 2 2" xfId="4952"/>
    <cellStyle name="Normal 2 4 3 3 3 2 2 2" xfId="22780"/>
    <cellStyle name="Normal 2 4 3 3 3 2 2 2 2" xfId="22781"/>
    <cellStyle name="Normal 2 4 3 3 3 2 2 2 2 2" xfId="22782"/>
    <cellStyle name="Normal 2 4 3 3 3 2 2 2 3" xfId="22783"/>
    <cellStyle name="Normal 2 4 3 3 3 2 2 3" xfId="22784"/>
    <cellStyle name="Normal 2 4 3 3 3 2 2 3 2" xfId="22785"/>
    <cellStyle name="Normal 2 4 3 3 3 2 2 4" xfId="22786"/>
    <cellStyle name="Normal 2 4 3 3 3 2 3" xfId="22787"/>
    <cellStyle name="Normal 2 4 3 3 3 2 3 2" xfId="22788"/>
    <cellStyle name="Normal 2 4 3 3 3 2 3 2 2" xfId="22789"/>
    <cellStyle name="Normal 2 4 3 3 3 2 3 3" xfId="22790"/>
    <cellStyle name="Normal 2 4 3 3 3 2 4" xfId="22791"/>
    <cellStyle name="Normal 2 4 3 3 3 2 4 2" xfId="22792"/>
    <cellStyle name="Normal 2 4 3 3 3 2 5" xfId="22793"/>
    <cellStyle name="Normal 2 4 3 3 3 3" xfId="3592"/>
    <cellStyle name="Normal 2 4 3 3 3 3 2" xfId="22794"/>
    <cellStyle name="Normal 2 4 3 3 3 3 2 2" xfId="22795"/>
    <cellStyle name="Normal 2 4 3 3 3 3 2 2 2" xfId="22796"/>
    <cellStyle name="Normal 2 4 3 3 3 3 2 3" xfId="22797"/>
    <cellStyle name="Normal 2 4 3 3 3 3 3" xfId="22798"/>
    <cellStyle name="Normal 2 4 3 3 3 3 3 2" xfId="22799"/>
    <cellStyle name="Normal 2 4 3 3 3 3 4" xfId="22800"/>
    <cellStyle name="Normal 2 4 3 3 3 4" xfId="22801"/>
    <cellStyle name="Normal 2 4 3 3 3 4 2" xfId="22802"/>
    <cellStyle name="Normal 2 4 3 3 3 4 2 2" xfId="22803"/>
    <cellStyle name="Normal 2 4 3 3 3 4 3" xfId="22804"/>
    <cellStyle name="Normal 2 4 3 3 3 5" xfId="22805"/>
    <cellStyle name="Normal 2 4 3 3 3 5 2" xfId="22806"/>
    <cellStyle name="Normal 2 4 3 3 3 6" xfId="22807"/>
    <cellStyle name="Normal 2 4 3 3 4" xfId="1552"/>
    <cellStyle name="Normal 2 4 3 3 4 2" xfId="4272"/>
    <cellStyle name="Normal 2 4 3 3 4 2 2" xfId="22808"/>
    <cellStyle name="Normal 2 4 3 3 4 2 2 2" xfId="22809"/>
    <cellStyle name="Normal 2 4 3 3 4 2 2 2 2" xfId="22810"/>
    <cellStyle name="Normal 2 4 3 3 4 2 2 3" xfId="22811"/>
    <cellStyle name="Normal 2 4 3 3 4 2 3" xfId="22812"/>
    <cellStyle name="Normal 2 4 3 3 4 2 3 2" xfId="22813"/>
    <cellStyle name="Normal 2 4 3 3 4 2 4" xfId="22814"/>
    <cellStyle name="Normal 2 4 3 3 4 3" xfId="22815"/>
    <cellStyle name="Normal 2 4 3 3 4 3 2" xfId="22816"/>
    <cellStyle name="Normal 2 4 3 3 4 3 2 2" xfId="22817"/>
    <cellStyle name="Normal 2 4 3 3 4 3 3" xfId="22818"/>
    <cellStyle name="Normal 2 4 3 3 4 4" xfId="22819"/>
    <cellStyle name="Normal 2 4 3 3 4 4 2" xfId="22820"/>
    <cellStyle name="Normal 2 4 3 3 4 5" xfId="22821"/>
    <cellStyle name="Normal 2 4 3 3 5" xfId="2912"/>
    <cellStyle name="Normal 2 4 3 3 5 2" xfId="22822"/>
    <cellStyle name="Normal 2 4 3 3 5 2 2" xfId="22823"/>
    <cellStyle name="Normal 2 4 3 3 5 2 2 2" xfId="22824"/>
    <cellStyle name="Normal 2 4 3 3 5 2 3" xfId="22825"/>
    <cellStyle name="Normal 2 4 3 3 5 3" xfId="22826"/>
    <cellStyle name="Normal 2 4 3 3 5 3 2" xfId="22827"/>
    <cellStyle name="Normal 2 4 3 3 5 4" xfId="22828"/>
    <cellStyle name="Normal 2 4 3 3 6" xfId="22829"/>
    <cellStyle name="Normal 2 4 3 3 6 2" xfId="22830"/>
    <cellStyle name="Normal 2 4 3 3 6 2 2" xfId="22831"/>
    <cellStyle name="Normal 2 4 3 3 6 3" xfId="22832"/>
    <cellStyle name="Normal 2 4 3 3 7" xfId="22833"/>
    <cellStyle name="Normal 2 4 3 3 7 2" xfId="22834"/>
    <cellStyle name="Normal 2 4 3 3 8" xfId="22835"/>
    <cellStyle name="Normal 2 4 3 4" xfId="328"/>
    <cellStyle name="Normal 2 4 3 4 2" xfId="1008"/>
    <cellStyle name="Normal 2 4 3 4 2 2" xfId="2368"/>
    <cellStyle name="Normal 2 4 3 4 2 2 2" xfId="5088"/>
    <cellStyle name="Normal 2 4 3 4 2 2 2 2" xfId="22836"/>
    <cellStyle name="Normal 2 4 3 4 2 2 2 2 2" xfId="22837"/>
    <cellStyle name="Normal 2 4 3 4 2 2 2 2 2 2" xfId="22838"/>
    <cellStyle name="Normal 2 4 3 4 2 2 2 2 3" xfId="22839"/>
    <cellStyle name="Normal 2 4 3 4 2 2 2 3" xfId="22840"/>
    <cellStyle name="Normal 2 4 3 4 2 2 2 3 2" xfId="22841"/>
    <cellStyle name="Normal 2 4 3 4 2 2 2 4" xfId="22842"/>
    <cellStyle name="Normal 2 4 3 4 2 2 3" xfId="22843"/>
    <cellStyle name="Normal 2 4 3 4 2 2 3 2" xfId="22844"/>
    <cellStyle name="Normal 2 4 3 4 2 2 3 2 2" xfId="22845"/>
    <cellStyle name="Normal 2 4 3 4 2 2 3 3" xfId="22846"/>
    <cellStyle name="Normal 2 4 3 4 2 2 4" xfId="22847"/>
    <cellStyle name="Normal 2 4 3 4 2 2 4 2" xfId="22848"/>
    <cellStyle name="Normal 2 4 3 4 2 2 5" xfId="22849"/>
    <cellStyle name="Normal 2 4 3 4 2 3" xfId="3728"/>
    <cellStyle name="Normal 2 4 3 4 2 3 2" xfId="22850"/>
    <cellStyle name="Normal 2 4 3 4 2 3 2 2" xfId="22851"/>
    <cellStyle name="Normal 2 4 3 4 2 3 2 2 2" xfId="22852"/>
    <cellStyle name="Normal 2 4 3 4 2 3 2 3" xfId="22853"/>
    <cellStyle name="Normal 2 4 3 4 2 3 3" xfId="22854"/>
    <cellStyle name="Normal 2 4 3 4 2 3 3 2" xfId="22855"/>
    <cellStyle name="Normal 2 4 3 4 2 3 4" xfId="22856"/>
    <cellStyle name="Normal 2 4 3 4 2 4" xfId="22857"/>
    <cellStyle name="Normal 2 4 3 4 2 4 2" xfId="22858"/>
    <cellStyle name="Normal 2 4 3 4 2 4 2 2" xfId="22859"/>
    <cellStyle name="Normal 2 4 3 4 2 4 3" xfId="22860"/>
    <cellStyle name="Normal 2 4 3 4 2 5" xfId="22861"/>
    <cellStyle name="Normal 2 4 3 4 2 5 2" xfId="22862"/>
    <cellStyle name="Normal 2 4 3 4 2 6" xfId="22863"/>
    <cellStyle name="Normal 2 4 3 4 3" xfId="1688"/>
    <cellStyle name="Normal 2 4 3 4 3 2" xfId="4408"/>
    <cellStyle name="Normal 2 4 3 4 3 2 2" xfId="22864"/>
    <cellStyle name="Normal 2 4 3 4 3 2 2 2" xfId="22865"/>
    <cellStyle name="Normal 2 4 3 4 3 2 2 2 2" xfId="22866"/>
    <cellStyle name="Normal 2 4 3 4 3 2 2 3" xfId="22867"/>
    <cellStyle name="Normal 2 4 3 4 3 2 3" xfId="22868"/>
    <cellStyle name="Normal 2 4 3 4 3 2 3 2" xfId="22869"/>
    <cellStyle name="Normal 2 4 3 4 3 2 4" xfId="22870"/>
    <cellStyle name="Normal 2 4 3 4 3 3" xfId="22871"/>
    <cellStyle name="Normal 2 4 3 4 3 3 2" xfId="22872"/>
    <cellStyle name="Normal 2 4 3 4 3 3 2 2" xfId="22873"/>
    <cellStyle name="Normal 2 4 3 4 3 3 3" xfId="22874"/>
    <cellStyle name="Normal 2 4 3 4 3 4" xfId="22875"/>
    <cellStyle name="Normal 2 4 3 4 3 4 2" xfId="22876"/>
    <cellStyle name="Normal 2 4 3 4 3 5" xfId="22877"/>
    <cellStyle name="Normal 2 4 3 4 4" xfId="3048"/>
    <cellStyle name="Normal 2 4 3 4 4 2" xfId="22878"/>
    <cellStyle name="Normal 2 4 3 4 4 2 2" xfId="22879"/>
    <cellStyle name="Normal 2 4 3 4 4 2 2 2" xfId="22880"/>
    <cellStyle name="Normal 2 4 3 4 4 2 3" xfId="22881"/>
    <cellStyle name="Normal 2 4 3 4 4 3" xfId="22882"/>
    <cellStyle name="Normal 2 4 3 4 4 3 2" xfId="22883"/>
    <cellStyle name="Normal 2 4 3 4 4 4" xfId="22884"/>
    <cellStyle name="Normal 2 4 3 4 5" xfId="22885"/>
    <cellStyle name="Normal 2 4 3 4 5 2" xfId="22886"/>
    <cellStyle name="Normal 2 4 3 4 5 2 2" xfId="22887"/>
    <cellStyle name="Normal 2 4 3 4 5 3" xfId="22888"/>
    <cellStyle name="Normal 2 4 3 4 6" xfId="22889"/>
    <cellStyle name="Normal 2 4 3 4 6 2" xfId="22890"/>
    <cellStyle name="Normal 2 4 3 4 7" xfId="22891"/>
    <cellStyle name="Normal 2 4 3 5" xfId="600"/>
    <cellStyle name="Normal 2 4 3 5 2" xfId="1280"/>
    <cellStyle name="Normal 2 4 3 5 2 2" xfId="2640"/>
    <cellStyle name="Normal 2 4 3 5 2 2 2" xfId="5360"/>
    <cellStyle name="Normal 2 4 3 5 2 2 2 2" xfId="22892"/>
    <cellStyle name="Normal 2 4 3 5 2 2 2 2 2" xfId="22893"/>
    <cellStyle name="Normal 2 4 3 5 2 2 2 2 2 2" xfId="22894"/>
    <cellStyle name="Normal 2 4 3 5 2 2 2 2 3" xfId="22895"/>
    <cellStyle name="Normal 2 4 3 5 2 2 2 3" xfId="22896"/>
    <cellStyle name="Normal 2 4 3 5 2 2 2 3 2" xfId="22897"/>
    <cellStyle name="Normal 2 4 3 5 2 2 2 4" xfId="22898"/>
    <cellStyle name="Normal 2 4 3 5 2 2 3" xfId="22899"/>
    <cellStyle name="Normal 2 4 3 5 2 2 3 2" xfId="22900"/>
    <cellStyle name="Normal 2 4 3 5 2 2 3 2 2" xfId="22901"/>
    <cellStyle name="Normal 2 4 3 5 2 2 3 3" xfId="22902"/>
    <cellStyle name="Normal 2 4 3 5 2 2 4" xfId="22903"/>
    <cellStyle name="Normal 2 4 3 5 2 2 4 2" xfId="22904"/>
    <cellStyle name="Normal 2 4 3 5 2 2 5" xfId="22905"/>
    <cellStyle name="Normal 2 4 3 5 2 3" xfId="4000"/>
    <cellStyle name="Normal 2 4 3 5 2 3 2" xfId="22906"/>
    <cellStyle name="Normal 2 4 3 5 2 3 2 2" xfId="22907"/>
    <cellStyle name="Normal 2 4 3 5 2 3 2 2 2" xfId="22908"/>
    <cellStyle name="Normal 2 4 3 5 2 3 2 3" xfId="22909"/>
    <cellStyle name="Normal 2 4 3 5 2 3 3" xfId="22910"/>
    <cellStyle name="Normal 2 4 3 5 2 3 3 2" xfId="22911"/>
    <cellStyle name="Normal 2 4 3 5 2 3 4" xfId="22912"/>
    <cellStyle name="Normal 2 4 3 5 2 4" xfId="22913"/>
    <cellStyle name="Normal 2 4 3 5 2 4 2" xfId="22914"/>
    <cellStyle name="Normal 2 4 3 5 2 4 2 2" xfId="22915"/>
    <cellStyle name="Normal 2 4 3 5 2 4 3" xfId="22916"/>
    <cellStyle name="Normal 2 4 3 5 2 5" xfId="22917"/>
    <cellStyle name="Normal 2 4 3 5 2 5 2" xfId="22918"/>
    <cellStyle name="Normal 2 4 3 5 2 6" xfId="22919"/>
    <cellStyle name="Normal 2 4 3 5 3" xfId="1960"/>
    <cellStyle name="Normal 2 4 3 5 3 2" xfId="4680"/>
    <cellStyle name="Normal 2 4 3 5 3 2 2" xfId="22920"/>
    <cellStyle name="Normal 2 4 3 5 3 2 2 2" xfId="22921"/>
    <cellStyle name="Normal 2 4 3 5 3 2 2 2 2" xfId="22922"/>
    <cellStyle name="Normal 2 4 3 5 3 2 2 3" xfId="22923"/>
    <cellStyle name="Normal 2 4 3 5 3 2 3" xfId="22924"/>
    <cellStyle name="Normal 2 4 3 5 3 2 3 2" xfId="22925"/>
    <cellStyle name="Normal 2 4 3 5 3 2 4" xfId="22926"/>
    <cellStyle name="Normal 2 4 3 5 3 3" xfId="22927"/>
    <cellStyle name="Normal 2 4 3 5 3 3 2" xfId="22928"/>
    <cellStyle name="Normal 2 4 3 5 3 3 2 2" xfId="22929"/>
    <cellStyle name="Normal 2 4 3 5 3 3 3" xfId="22930"/>
    <cellStyle name="Normal 2 4 3 5 3 4" xfId="22931"/>
    <cellStyle name="Normal 2 4 3 5 3 4 2" xfId="22932"/>
    <cellStyle name="Normal 2 4 3 5 3 5" xfId="22933"/>
    <cellStyle name="Normal 2 4 3 5 4" xfId="3320"/>
    <cellStyle name="Normal 2 4 3 5 4 2" xfId="22934"/>
    <cellStyle name="Normal 2 4 3 5 4 2 2" xfId="22935"/>
    <cellStyle name="Normal 2 4 3 5 4 2 2 2" xfId="22936"/>
    <cellStyle name="Normal 2 4 3 5 4 2 3" xfId="22937"/>
    <cellStyle name="Normal 2 4 3 5 4 3" xfId="22938"/>
    <cellStyle name="Normal 2 4 3 5 4 3 2" xfId="22939"/>
    <cellStyle name="Normal 2 4 3 5 4 4" xfId="22940"/>
    <cellStyle name="Normal 2 4 3 5 5" xfId="22941"/>
    <cellStyle name="Normal 2 4 3 5 5 2" xfId="22942"/>
    <cellStyle name="Normal 2 4 3 5 5 2 2" xfId="22943"/>
    <cellStyle name="Normal 2 4 3 5 5 3" xfId="22944"/>
    <cellStyle name="Normal 2 4 3 5 6" xfId="22945"/>
    <cellStyle name="Normal 2 4 3 5 6 2" xfId="22946"/>
    <cellStyle name="Normal 2 4 3 5 7" xfId="22947"/>
    <cellStyle name="Normal 2 4 3 6" xfId="736"/>
    <cellStyle name="Normal 2 4 3 6 2" xfId="2096"/>
    <cellStyle name="Normal 2 4 3 6 2 2" xfId="4816"/>
    <cellStyle name="Normal 2 4 3 6 2 2 2" xfId="22948"/>
    <cellStyle name="Normal 2 4 3 6 2 2 2 2" xfId="22949"/>
    <cellStyle name="Normal 2 4 3 6 2 2 2 2 2" xfId="22950"/>
    <cellStyle name="Normal 2 4 3 6 2 2 2 3" xfId="22951"/>
    <cellStyle name="Normal 2 4 3 6 2 2 3" xfId="22952"/>
    <cellStyle name="Normal 2 4 3 6 2 2 3 2" xfId="22953"/>
    <cellStyle name="Normal 2 4 3 6 2 2 4" xfId="22954"/>
    <cellStyle name="Normal 2 4 3 6 2 3" xfId="22955"/>
    <cellStyle name="Normal 2 4 3 6 2 3 2" xfId="22956"/>
    <cellStyle name="Normal 2 4 3 6 2 3 2 2" xfId="22957"/>
    <cellStyle name="Normal 2 4 3 6 2 3 3" xfId="22958"/>
    <cellStyle name="Normal 2 4 3 6 2 4" xfId="22959"/>
    <cellStyle name="Normal 2 4 3 6 2 4 2" xfId="22960"/>
    <cellStyle name="Normal 2 4 3 6 2 5" xfId="22961"/>
    <cellStyle name="Normal 2 4 3 6 3" xfId="3456"/>
    <cellStyle name="Normal 2 4 3 6 3 2" xfId="22962"/>
    <cellStyle name="Normal 2 4 3 6 3 2 2" xfId="22963"/>
    <cellStyle name="Normal 2 4 3 6 3 2 2 2" xfId="22964"/>
    <cellStyle name="Normal 2 4 3 6 3 2 3" xfId="22965"/>
    <cellStyle name="Normal 2 4 3 6 3 3" xfId="22966"/>
    <cellStyle name="Normal 2 4 3 6 3 3 2" xfId="22967"/>
    <cellStyle name="Normal 2 4 3 6 3 4" xfId="22968"/>
    <cellStyle name="Normal 2 4 3 6 4" xfId="22969"/>
    <cellStyle name="Normal 2 4 3 6 4 2" xfId="22970"/>
    <cellStyle name="Normal 2 4 3 6 4 2 2" xfId="22971"/>
    <cellStyle name="Normal 2 4 3 6 4 3" xfId="22972"/>
    <cellStyle name="Normal 2 4 3 6 5" xfId="22973"/>
    <cellStyle name="Normal 2 4 3 6 5 2" xfId="22974"/>
    <cellStyle name="Normal 2 4 3 6 6" xfId="22975"/>
    <cellStyle name="Normal 2 4 3 7" xfId="1416"/>
    <cellStyle name="Normal 2 4 3 7 2" xfId="4136"/>
    <cellStyle name="Normal 2 4 3 7 2 2" xfId="22976"/>
    <cellStyle name="Normal 2 4 3 7 2 2 2" xfId="22977"/>
    <cellStyle name="Normal 2 4 3 7 2 2 2 2" xfId="22978"/>
    <cellStyle name="Normal 2 4 3 7 2 2 3" xfId="22979"/>
    <cellStyle name="Normal 2 4 3 7 2 3" xfId="22980"/>
    <cellStyle name="Normal 2 4 3 7 2 3 2" xfId="22981"/>
    <cellStyle name="Normal 2 4 3 7 2 4" xfId="22982"/>
    <cellStyle name="Normal 2 4 3 7 3" xfId="22983"/>
    <cellStyle name="Normal 2 4 3 7 3 2" xfId="22984"/>
    <cellStyle name="Normal 2 4 3 7 3 2 2" xfId="22985"/>
    <cellStyle name="Normal 2 4 3 7 3 3" xfId="22986"/>
    <cellStyle name="Normal 2 4 3 7 4" xfId="22987"/>
    <cellStyle name="Normal 2 4 3 7 4 2" xfId="22988"/>
    <cellStyle name="Normal 2 4 3 7 5" xfId="22989"/>
    <cellStyle name="Normal 2 4 3 8" xfId="2776"/>
    <cellStyle name="Normal 2 4 3 8 2" xfId="22990"/>
    <cellStyle name="Normal 2 4 3 8 2 2" xfId="22991"/>
    <cellStyle name="Normal 2 4 3 8 2 2 2" xfId="22992"/>
    <cellStyle name="Normal 2 4 3 8 2 3" xfId="22993"/>
    <cellStyle name="Normal 2 4 3 8 3" xfId="22994"/>
    <cellStyle name="Normal 2 4 3 8 3 2" xfId="22995"/>
    <cellStyle name="Normal 2 4 3 8 4" xfId="22996"/>
    <cellStyle name="Normal 2 4 3 9" xfId="22997"/>
    <cellStyle name="Normal 2 4 3 9 2" xfId="22998"/>
    <cellStyle name="Normal 2 4 3 9 2 2" xfId="22999"/>
    <cellStyle name="Normal 2 4 3 9 3" xfId="23000"/>
    <cellStyle name="Normal 2 4 4" xfId="89"/>
    <cellStyle name="Normal 2 4 4 10" xfId="23001"/>
    <cellStyle name="Normal 2 4 4 2" xfId="226"/>
    <cellStyle name="Normal 2 4 4 2 2" xfId="498"/>
    <cellStyle name="Normal 2 4 4 2 2 2" xfId="1178"/>
    <cellStyle name="Normal 2 4 4 2 2 2 2" xfId="2538"/>
    <cellStyle name="Normal 2 4 4 2 2 2 2 2" xfId="5258"/>
    <cellStyle name="Normal 2 4 4 2 2 2 2 2 2" xfId="23002"/>
    <cellStyle name="Normal 2 4 4 2 2 2 2 2 2 2" xfId="23003"/>
    <cellStyle name="Normal 2 4 4 2 2 2 2 2 2 2 2" xfId="23004"/>
    <cellStyle name="Normal 2 4 4 2 2 2 2 2 2 3" xfId="23005"/>
    <cellStyle name="Normal 2 4 4 2 2 2 2 2 3" xfId="23006"/>
    <cellStyle name="Normal 2 4 4 2 2 2 2 2 3 2" xfId="23007"/>
    <cellStyle name="Normal 2 4 4 2 2 2 2 2 4" xfId="23008"/>
    <cellStyle name="Normal 2 4 4 2 2 2 2 3" xfId="23009"/>
    <cellStyle name="Normal 2 4 4 2 2 2 2 3 2" xfId="23010"/>
    <cellStyle name="Normal 2 4 4 2 2 2 2 3 2 2" xfId="23011"/>
    <cellStyle name="Normal 2 4 4 2 2 2 2 3 3" xfId="23012"/>
    <cellStyle name="Normal 2 4 4 2 2 2 2 4" xfId="23013"/>
    <cellStyle name="Normal 2 4 4 2 2 2 2 4 2" xfId="23014"/>
    <cellStyle name="Normal 2 4 4 2 2 2 2 5" xfId="23015"/>
    <cellStyle name="Normal 2 4 4 2 2 2 3" xfId="3898"/>
    <cellStyle name="Normal 2 4 4 2 2 2 3 2" xfId="23016"/>
    <cellStyle name="Normal 2 4 4 2 2 2 3 2 2" xfId="23017"/>
    <cellStyle name="Normal 2 4 4 2 2 2 3 2 2 2" xfId="23018"/>
    <cellStyle name="Normal 2 4 4 2 2 2 3 2 3" xfId="23019"/>
    <cellStyle name="Normal 2 4 4 2 2 2 3 3" xfId="23020"/>
    <cellStyle name="Normal 2 4 4 2 2 2 3 3 2" xfId="23021"/>
    <cellStyle name="Normal 2 4 4 2 2 2 3 4" xfId="23022"/>
    <cellStyle name="Normal 2 4 4 2 2 2 4" xfId="23023"/>
    <cellStyle name="Normal 2 4 4 2 2 2 4 2" xfId="23024"/>
    <cellStyle name="Normal 2 4 4 2 2 2 4 2 2" xfId="23025"/>
    <cellStyle name="Normal 2 4 4 2 2 2 4 3" xfId="23026"/>
    <cellStyle name="Normal 2 4 4 2 2 2 5" xfId="23027"/>
    <cellStyle name="Normal 2 4 4 2 2 2 5 2" xfId="23028"/>
    <cellStyle name="Normal 2 4 4 2 2 2 6" xfId="23029"/>
    <cellStyle name="Normal 2 4 4 2 2 3" xfId="1858"/>
    <cellStyle name="Normal 2 4 4 2 2 3 2" xfId="4578"/>
    <cellStyle name="Normal 2 4 4 2 2 3 2 2" xfId="23030"/>
    <cellStyle name="Normal 2 4 4 2 2 3 2 2 2" xfId="23031"/>
    <cellStyle name="Normal 2 4 4 2 2 3 2 2 2 2" xfId="23032"/>
    <cellStyle name="Normal 2 4 4 2 2 3 2 2 3" xfId="23033"/>
    <cellStyle name="Normal 2 4 4 2 2 3 2 3" xfId="23034"/>
    <cellStyle name="Normal 2 4 4 2 2 3 2 3 2" xfId="23035"/>
    <cellStyle name="Normal 2 4 4 2 2 3 2 4" xfId="23036"/>
    <cellStyle name="Normal 2 4 4 2 2 3 3" xfId="23037"/>
    <cellStyle name="Normal 2 4 4 2 2 3 3 2" xfId="23038"/>
    <cellStyle name="Normal 2 4 4 2 2 3 3 2 2" xfId="23039"/>
    <cellStyle name="Normal 2 4 4 2 2 3 3 3" xfId="23040"/>
    <cellStyle name="Normal 2 4 4 2 2 3 4" xfId="23041"/>
    <cellStyle name="Normal 2 4 4 2 2 3 4 2" xfId="23042"/>
    <cellStyle name="Normal 2 4 4 2 2 3 5" xfId="23043"/>
    <cellStyle name="Normal 2 4 4 2 2 4" xfId="3218"/>
    <cellStyle name="Normal 2 4 4 2 2 4 2" xfId="23044"/>
    <cellStyle name="Normal 2 4 4 2 2 4 2 2" xfId="23045"/>
    <cellStyle name="Normal 2 4 4 2 2 4 2 2 2" xfId="23046"/>
    <cellStyle name="Normal 2 4 4 2 2 4 2 3" xfId="23047"/>
    <cellStyle name="Normal 2 4 4 2 2 4 3" xfId="23048"/>
    <cellStyle name="Normal 2 4 4 2 2 4 3 2" xfId="23049"/>
    <cellStyle name="Normal 2 4 4 2 2 4 4" xfId="23050"/>
    <cellStyle name="Normal 2 4 4 2 2 5" xfId="23051"/>
    <cellStyle name="Normal 2 4 4 2 2 5 2" xfId="23052"/>
    <cellStyle name="Normal 2 4 4 2 2 5 2 2" xfId="23053"/>
    <cellStyle name="Normal 2 4 4 2 2 5 3" xfId="23054"/>
    <cellStyle name="Normal 2 4 4 2 2 6" xfId="23055"/>
    <cellStyle name="Normal 2 4 4 2 2 6 2" xfId="23056"/>
    <cellStyle name="Normal 2 4 4 2 2 7" xfId="23057"/>
    <cellStyle name="Normal 2 4 4 2 3" xfId="906"/>
    <cellStyle name="Normal 2 4 4 2 3 2" xfId="2266"/>
    <cellStyle name="Normal 2 4 4 2 3 2 2" xfId="4986"/>
    <cellStyle name="Normal 2 4 4 2 3 2 2 2" xfId="23058"/>
    <cellStyle name="Normal 2 4 4 2 3 2 2 2 2" xfId="23059"/>
    <cellStyle name="Normal 2 4 4 2 3 2 2 2 2 2" xfId="23060"/>
    <cellStyle name="Normal 2 4 4 2 3 2 2 2 3" xfId="23061"/>
    <cellStyle name="Normal 2 4 4 2 3 2 2 3" xfId="23062"/>
    <cellStyle name="Normal 2 4 4 2 3 2 2 3 2" xfId="23063"/>
    <cellStyle name="Normal 2 4 4 2 3 2 2 4" xfId="23064"/>
    <cellStyle name="Normal 2 4 4 2 3 2 3" xfId="23065"/>
    <cellStyle name="Normal 2 4 4 2 3 2 3 2" xfId="23066"/>
    <cellStyle name="Normal 2 4 4 2 3 2 3 2 2" xfId="23067"/>
    <cellStyle name="Normal 2 4 4 2 3 2 3 3" xfId="23068"/>
    <cellStyle name="Normal 2 4 4 2 3 2 4" xfId="23069"/>
    <cellStyle name="Normal 2 4 4 2 3 2 4 2" xfId="23070"/>
    <cellStyle name="Normal 2 4 4 2 3 2 5" xfId="23071"/>
    <cellStyle name="Normal 2 4 4 2 3 3" xfId="3626"/>
    <cellStyle name="Normal 2 4 4 2 3 3 2" xfId="23072"/>
    <cellStyle name="Normal 2 4 4 2 3 3 2 2" xfId="23073"/>
    <cellStyle name="Normal 2 4 4 2 3 3 2 2 2" xfId="23074"/>
    <cellStyle name="Normal 2 4 4 2 3 3 2 3" xfId="23075"/>
    <cellStyle name="Normal 2 4 4 2 3 3 3" xfId="23076"/>
    <cellStyle name="Normal 2 4 4 2 3 3 3 2" xfId="23077"/>
    <cellStyle name="Normal 2 4 4 2 3 3 4" xfId="23078"/>
    <cellStyle name="Normal 2 4 4 2 3 4" xfId="23079"/>
    <cellStyle name="Normal 2 4 4 2 3 4 2" xfId="23080"/>
    <cellStyle name="Normal 2 4 4 2 3 4 2 2" xfId="23081"/>
    <cellStyle name="Normal 2 4 4 2 3 4 3" xfId="23082"/>
    <cellStyle name="Normal 2 4 4 2 3 5" xfId="23083"/>
    <cellStyle name="Normal 2 4 4 2 3 5 2" xfId="23084"/>
    <cellStyle name="Normal 2 4 4 2 3 6" xfId="23085"/>
    <cellStyle name="Normal 2 4 4 2 4" xfId="1586"/>
    <cellStyle name="Normal 2 4 4 2 4 2" xfId="4306"/>
    <cellStyle name="Normal 2 4 4 2 4 2 2" xfId="23086"/>
    <cellStyle name="Normal 2 4 4 2 4 2 2 2" xfId="23087"/>
    <cellStyle name="Normal 2 4 4 2 4 2 2 2 2" xfId="23088"/>
    <cellStyle name="Normal 2 4 4 2 4 2 2 3" xfId="23089"/>
    <cellStyle name="Normal 2 4 4 2 4 2 3" xfId="23090"/>
    <cellStyle name="Normal 2 4 4 2 4 2 3 2" xfId="23091"/>
    <cellStyle name="Normal 2 4 4 2 4 2 4" xfId="23092"/>
    <cellStyle name="Normal 2 4 4 2 4 3" xfId="23093"/>
    <cellStyle name="Normal 2 4 4 2 4 3 2" xfId="23094"/>
    <cellStyle name="Normal 2 4 4 2 4 3 2 2" xfId="23095"/>
    <cellStyle name="Normal 2 4 4 2 4 3 3" xfId="23096"/>
    <cellStyle name="Normal 2 4 4 2 4 4" xfId="23097"/>
    <cellStyle name="Normal 2 4 4 2 4 4 2" xfId="23098"/>
    <cellStyle name="Normal 2 4 4 2 4 5" xfId="23099"/>
    <cellStyle name="Normal 2 4 4 2 5" xfId="2946"/>
    <cellStyle name="Normal 2 4 4 2 5 2" xfId="23100"/>
    <cellStyle name="Normal 2 4 4 2 5 2 2" xfId="23101"/>
    <cellStyle name="Normal 2 4 4 2 5 2 2 2" xfId="23102"/>
    <cellStyle name="Normal 2 4 4 2 5 2 3" xfId="23103"/>
    <cellStyle name="Normal 2 4 4 2 5 3" xfId="23104"/>
    <cellStyle name="Normal 2 4 4 2 5 3 2" xfId="23105"/>
    <cellStyle name="Normal 2 4 4 2 5 4" xfId="23106"/>
    <cellStyle name="Normal 2 4 4 2 6" xfId="23107"/>
    <cellStyle name="Normal 2 4 4 2 6 2" xfId="23108"/>
    <cellStyle name="Normal 2 4 4 2 6 2 2" xfId="23109"/>
    <cellStyle name="Normal 2 4 4 2 6 3" xfId="23110"/>
    <cellStyle name="Normal 2 4 4 2 7" xfId="23111"/>
    <cellStyle name="Normal 2 4 4 2 7 2" xfId="23112"/>
    <cellStyle name="Normal 2 4 4 2 8" xfId="23113"/>
    <cellStyle name="Normal 2 4 4 3" xfId="362"/>
    <cellStyle name="Normal 2 4 4 3 2" xfId="1042"/>
    <cellStyle name="Normal 2 4 4 3 2 2" xfId="2402"/>
    <cellStyle name="Normal 2 4 4 3 2 2 2" xfId="5122"/>
    <cellStyle name="Normal 2 4 4 3 2 2 2 2" xfId="23114"/>
    <cellStyle name="Normal 2 4 4 3 2 2 2 2 2" xfId="23115"/>
    <cellStyle name="Normal 2 4 4 3 2 2 2 2 2 2" xfId="23116"/>
    <cellStyle name="Normal 2 4 4 3 2 2 2 2 3" xfId="23117"/>
    <cellStyle name="Normal 2 4 4 3 2 2 2 3" xfId="23118"/>
    <cellStyle name="Normal 2 4 4 3 2 2 2 3 2" xfId="23119"/>
    <cellStyle name="Normal 2 4 4 3 2 2 2 4" xfId="23120"/>
    <cellStyle name="Normal 2 4 4 3 2 2 3" xfId="23121"/>
    <cellStyle name="Normal 2 4 4 3 2 2 3 2" xfId="23122"/>
    <cellStyle name="Normal 2 4 4 3 2 2 3 2 2" xfId="23123"/>
    <cellStyle name="Normal 2 4 4 3 2 2 3 3" xfId="23124"/>
    <cellStyle name="Normal 2 4 4 3 2 2 4" xfId="23125"/>
    <cellStyle name="Normal 2 4 4 3 2 2 4 2" xfId="23126"/>
    <cellStyle name="Normal 2 4 4 3 2 2 5" xfId="23127"/>
    <cellStyle name="Normal 2 4 4 3 2 3" xfId="3762"/>
    <cellStyle name="Normal 2 4 4 3 2 3 2" xfId="23128"/>
    <cellStyle name="Normal 2 4 4 3 2 3 2 2" xfId="23129"/>
    <cellStyle name="Normal 2 4 4 3 2 3 2 2 2" xfId="23130"/>
    <cellStyle name="Normal 2 4 4 3 2 3 2 3" xfId="23131"/>
    <cellStyle name="Normal 2 4 4 3 2 3 3" xfId="23132"/>
    <cellStyle name="Normal 2 4 4 3 2 3 3 2" xfId="23133"/>
    <cellStyle name="Normal 2 4 4 3 2 3 4" xfId="23134"/>
    <cellStyle name="Normal 2 4 4 3 2 4" xfId="23135"/>
    <cellStyle name="Normal 2 4 4 3 2 4 2" xfId="23136"/>
    <cellStyle name="Normal 2 4 4 3 2 4 2 2" xfId="23137"/>
    <cellStyle name="Normal 2 4 4 3 2 4 3" xfId="23138"/>
    <cellStyle name="Normal 2 4 4 3 2 5" xfId="23139"/>
    <cellStyle name="Normal 2 4 4 3 2 5 2" xfId="23140"/>
    <cellStyle name="Normal 2 4 4 3 2 6" xfId="23141"/>
    <cellStyle name="Normal 2 4 4 3 3" xfId="1722"/>
    <cellStyle name="Normal 2 4 4 3 3 2" xfId="4442"/>
    <cellStyle name="Normal 2 4 4 3 3 2 2" xfId="23142"/>
    <cellStyle name="Normal 2 4 4 3 3 2 2 2" xfId="23143"/>
    <cellStyle name="Normal 2 4 4 3 3 2 2 2 2" xfId="23144"/>
    <cellStyle name="Normal 2 4 4 3 3 2 2 3" xfId="23145"/>
    <cellStyle name="Normal 2 4 4 3 3 2 3" xfId="23146"/>
    <cellStyle name="Normal 2 4 4 3 3 2 3 2" xfId="23147"/>
    <cellStyle name="Normal 2 4 4 3 3 2 4" xfId="23148"/>
    <cellStyle name="Normal 2 4 4 3 3 3" xfId="23149"/>
    <cellStyle name="Normal 2 4 4 3 3 3 2" xfId="23150"/>
    <cellStyle name="Normal 2 4 4 3 3 3 2 2" xfId="23151"/>
    <cellStyle name="Normal 2 4 4 3 3 3 3" xfId="23152"/>
    <cellStyle name="Normal 2 4 4 3 3 4" xfId="23153"/>
    <cellStyle name="Normal 2 4 4 3 3 4 2" xfId="23154"/>
    <cellStyle name="Normal 2 4 4 3 3 5" xfId="23155"/>
    <cellStyle name="Normal 2 4 4 3 4" xfId="3082"/>
    <cellStyle name="Normal 2 4 4 3 4 2" xfId="23156"/>
    <cellStyle name="Normal 2 4 4 3 4 2 2" xfId="23157"/>
    <cellStyle name="Normal 2 4 4 3 4 2 2 2" xfId="23158"/>
    <cellStyle name="Normal 2 4 4 3 4 2 3" xfId="23159"/>
    <cellStyle name="Normal 2 4 4 3 4 3" xfId="23160"/>
    <cellStyle name="Normal 2 4 4 3 4 3 2" xfId="23161"/>
    <cellStyle name="Normal 2 4 4 3 4 4" xfId="23162"/>
    <cellStyle name="Normal 2 4 4 3 5" xfId="23163"/>
    <cellStyle name="Normal 2 4 4 3 5 2" xfId="23164"/>
    <cellStyle name="Normal 2 4 4 3 5 2 2" xfId="23165"/>
    <cellStyle name="Normal 2 4 4 3 5 3" xfId="23166"/>
    <cellStyle name="Normal 2 4 4 3 6" xfId="23167"/>
    <cellStyle name="Normal 2 4 4 3 6 2" xfId="23168"/>
    <cellStyle name="Normal 2 4 4 3 7" xfId="23169"/>
    <cellStyle name="Normal 2 4 4 4" xfId="634"/>
    <cellStyle name="Normal 2 4 4 4 2" xfId="1314"/>
    <cellStyle name="Normal 2 4 4 4 2 2" xfId="2674"/>
    <cellStyle name="Normal 2 4 4 4 2 2 2" xfId="5394"/>
    <cellStyle name="Normal 2 4 4 4 2 2 2 2" xfId="23170"/>
    <cellStyle name="Normal 2 4 4 4 2 2 2 2 2" xfId="23171"/>
    <cellStyle name="Normal 2 4 4 4 2 2 2 2 2 2" xfId="23172"/>
    <cellStyle name="Normal 2 4 4 4 2 2 2 2 3" xfId="23173"/>
    <cellStyle name="Normal 2 4 4 4 2 2 2 3" xfId="23174"/>
    <cellStyle name="Normal 2 4 4 4 2 2 2 3 2" xfId="23175"/>
    <cellStyle name="Normal 2 4 4 4 2 2 2 4" xfId="23176"/>
    <cellStyle name="Normal 2 4 4 4 2 2 3" xfId="23177"/>
    <cellStyle name="Normal 2 4 4 4 2 2 3 2" xfId="23178"/>
    <cellStyle name="Normal 2 4 4 4 2 2 3 2 2" xfId="23179"/>
    <cellStyle name="Normal 2 4 4 4 2 2 3 3" xfId="23180"/>
    <cellStyle name="Normal 2 4 4 4 2 2 4" xfId="23181"/>
    <cellStyle name="Normal 2 4 4 4 2 2 4 2" xfId="23182"/>
    <cellStyle name="Normal 2 4 4 4 2 2 5" xfId="23183"/>
    <cellStyle name="Normal 2 4 4 4 2 3" xfId="4034"/>
    <cellStyle name="Normal 2 4 4 4 2 3 2" xfId="23184"/>
    <cellStyle name="Normal 2 4 4 4 2 3 2 2" xfId="23185"/>
    <cellStyle name="Normal 2 4 4 4 2 3 2 2 2" xfId="23186"/>
    <cellStyle name="Normal 2 4 4 4 2 3 2 3" xfId="23187"/>
    <cellStyle name="Normal 2 4 4 4 2 3 3" xfId="23188"/>
    <cellStyle name="Normal 2 4 4 4 2 3 3 2" xfId="23189"/>
    <cellStyle name="Normal 2 4 4 4 2 3 4" xfId="23190"/>
    <cellStyle name="Normal 2 4 4 4 2 4" xfId="23191"/>
    <cellStyle name="Normal 2 4 4 4 2 4 2" xfId="23192"/>
    <cellStyle name="Normal 2 4 4 4 2 4 2 2" xfId="23193"/>
    <cellStyle name="Normal 2 4 4 4 2 4 3" xfId="23194"/>
    <cellStyle name="Normal 2 4 4 4 2 5" xfId="23195"/>
    <cellStyle name="Normal 2 4 4 4 2 5 2" xfId="23196"/>
    <cellStyle name="Normal 2 4 4 4 2 6" xfId="23197"/>
    <cellStyle name="Normal 2 4 4 4 3" xfId="1994"/>
    <cellStyle name="Normal 2 4 4 4 3 2" xfId="4714"/>
    <cellStyle name="Normal 2 4 4 4 3 2 2" xfId="23198"/>
    <cellStyle name="Normal 2 4 4 4 3 2 2 2" xfId="23199"/>
    <cellStyle name="Normal 2 4 4 4 3 2 2 2 2" xfId="23200"/>
    <cellStyle name="Normal 2 4 4 4 3 2 2 3" xfId="23201"/>
    <cellStyle name="Normal 2 4 4 4 3 2 3" xfId="23202"/>
    <cellStyle name="Normal 2 4 4 4 3 2 3 2" xfId="23203"/>
    <cellStyle name="Normal 2 4 4 4 3 2 4" xfId="23204"/>
    <cellStyle name="Normal 2 4 4 4 3 3" xfId="23205"/>
    <cellStyle name="Normal 2 4 4 4 3 3 2" xfId="23206"/>
    <cellStyle name="Normal 2 4 4 4 3 3 2 2" xfId="23207"/>
    <cellStyle name="Normal 2 4 4 4 3 3 3" xfId="23208"/>
    <cellStyle name="Normal 2 4 4 4 3 4" xfId="23209"/>
    <cellStyle name="Normal 2 4 4 4 3 4 2" xfId="23210"/>
    <cellStyle name="Normal 2 4 4 4 3 5" xfId="23211"/>
    <cellStyle name="Normal 2 4 4 4 4" xfId="3354"/>
    <cellStyle name="Normal 2 4 4 4 4 2" xfId="23212"/>
    <cellStyle name="Normal 2 4 4 4 4 2 2" xfId="23213"/>
    <cellStyle name="Normal 2 4 4 4 4 2 2 2" xfId="23214"/>
    <cellStyle name="Normal 2 4 4 4 4 2 3" xfId="23215"/>
    <cellStyle name="Normal 2 4 4 4 4 3" xfId="23216"/>
    <cellStyle name="Normal 2 4 4 4 4 3 2" xfId="23217"/>
    <cellStyle name="Normal 2 4 4 4 4 4" xfId="23218"/>
    <cellStyle name="Normal 2 4 4 4 5" xfId="23219"/>
    <cellStyle name="Normal 2 4 4 4 5 2" xfId="23220"/>
    <cellStyle name="Normal 2 4 4 4 5 2 2" xfId="23221"/>
    <cellStyle name="Normal 2 4 4 4 5 3" xfId="23222"/>
    <cellStyle name="Normal 2 4 4 4 6" xfId="23223"/>
    <cellStyle name="Normal 2 4 4 4 6 2" xfId="23224"/>
    <cellStyle name="Normal 2 4 4 4 7" xfId="23225"/>
    <cellStyle name="Normal 2 4 4 5" xfId="770"/>
    <cellStyle name="Normal 2 4 4 5 2" xfId="2130"/>
    <cellStyle name="Normal 2 4 4 5 2 2" xfId="4850"/>
    <cellStyle name="Normal 2 4 4 5 2 2 2" xfId="23226"/>
    <cellStyle name="Normal 2 4 4 5 2 2 2 2" xfId="23227"/>
    <cellStyle name="Normal 2 4 4 5 2 2 2 2 2" xfId="23228"/>
    <cellStyle name="Normal 2 4 4 5 2 2 2 3" xfId="23229"/>
    <cellStyle name="Normal 2 4 4 5 2 2 3" xfId="23230"/>
    <cellStyle name="Normal 2 4 4 5 2 2 3 2" xfId="23231"/>
    <cellStyle name="Normal 2 4 4 5 2 2 4" xfId="23232"/>
    <cellStyle name="Normal 2 4 4 5 2 3" xfId="23233"/>
    <cellStyle name="Normal 2 4 4 5 2 3 2" xfId="23234"/>
    <cellStyle name="Normal 2 4 4 5 2 3 2 2" xfId="23235"/>
    <cellStyle name="Normal 2 4 4 5 2 3 3" xfId="23236"/>
    <cellStyle name="Normal 2 4 4 5 2 4" xfId="23237"/>
    <cellStyle name="Normal 2 4 4 5 2 4 2" xfId="23238"/>
    <cellStyle name="Normal 2 4 4 5 2 5" xfId="23239"/>
    <cellStyle name="Normal 2 4 4 5 3" xfId="3490"/>
    <cellStyle name="Normal 2 4 4 5 3 2" xfId="23240"/>
    <cellStyle name="Normal 2 4 4 5 3 2 2" xfId="23241"/>
    <cellStyle name="Normal 2 4 4 5 3 2 2 2" xfId="23242"/>
    <cellStyle name="Normal 2 4 4 5 3 2 3" xfId="23243"/>
    <cellStyle name="Normal 2 4 4 5 3 3" xfId="23244"/>
    <cellStyle name="Normal 2 4 4 5 3 3 2" xfId="23245"/>
    <cellStyle name="Normal 2 4 4 5 3 4" xfId="23246"/>
    <cellStyle name="Normal 2 4 4 5 4" xfId="23247"/>
    <cellStyle name="Normal 2 4 4 5 4 2" xfId="23248"/>
    <cellStyle name="Normal 2 4 4 5 4 2 2" xfId="23249"/>
    <cellStyle name="Normal 2 4 4 5 4 3" xfId="23250"/>
    <cellStyle name="Normal 2 4 4 5 5" xfId="23251"/>
    <cellStyle name="Normal 2 4 4 5 5 2" xfId="23252"/>
    <cellStyle name="Normal 2 4 4 5 6" xfId="23253"/>
    <cellStyle name="Normal 2 4 4 6" xfId="1450"/>
    <cellStyle name="Normal 2 4 4 6 2" xfId="4170"/>
    <cellStyle name="Normal 2 4 4 6 2 2" xfId="23254"/>
    <cellStyle name="Normal 2 4 4 6 2 2 2" xfId="23255"/>
    <cellStyle name="Normal 2 4 4 6 2 2 2 2" xfId="23256"/>
    <cellStyle name="Normal 2 4 4 6 2 2 3" xfId="23257"/>
    <cellStyle name="Normal 2 4 4 6 2 3" xfId="23258"/>
    <cellStyle name="Normal 2 4 4 6 2 3 2" xfId="23259"/>
    <cellStyle name="Normal 2 4 4 6 2 4" xfId="23260"/>
    <cellStyle name="Normal 2 4 4 6 3" xfId="23261"/>
    <cellStyle name="Normal 2 4 4 6 3 2" xfId="23262"/>
    <cellStyle name="Normal 2 4 4 6 3 2 2" xfId="23263"/>
    <cellStyle name="Normal 2 4 4 6 3 3" xfId="23264"/>
    <cellStyle name="Normal 2 4 4 6 4" xfId="23265"/>
    <cellStyle name="Normal 2 4 4 6 4 2" xfId="23266"/>
    <cellStyle name="Normal 2 4 4 6 5" xfId="23267"/>
    <cellStyle name="Normal 2 4 4 7" xfId="2810"/>
    <cellStyle name="Normal 2 4 4 7 2" xfId="23268"/>
    <cellStyle name="Normal 2 4 4 7 2 2" xfId="23269"/>
    <cellStyle name="Normal 2 4 4 7 2 2 2" xfId="23270"/>
    <cellStyle name="Normal 2 4 4 7 2 3" xfId="23271"/>
    <cellStyle name="Normal 2 4 4 7 3" xfId="23272"/>
    <cellStyle name="Normal 2 4 4 7 3 2" xfId="23273"/>
    <cellStyle name="Normal 2 4 4 7 4" xfId="23274"/>
    <cellStyle name="Normal 2 4 4 8" xfId="23275"/>
    <cellStyle name="Normal 2 4 4 8 2" xfId="23276"/>
    <cellStyle name="Normal 2 4 4 8 2 2" xfId="23277"/>
    <cellStyle name="Normal 2 4 4 8 3" xfId="23278"/>
    <cellStyle name="Normal 2 4 4 9" xfId="23279"/>
    <cellStyle name="Normal 2 4 4 9 2" xfId="23280"/>
    <cellStyle name="Normal 2 4 5" xfId="158"/>
    <cellStyle name="Normal 2 4 5 2" xfId="430"/>
    <cellStyle name="Normal 2 4 5 2 2" xfId="1110"/>
    <cellStyle name="Normal 2 4 5 2 2 2" xfId="2470"/>
    <cellStyle name="Normal 2 4 5 2 2 2 2" xfId="5190"/>
    <cellStyle name="Normal 2 4 5 2 2 2 2 2" xfId="23281"/>
    <cellStyle name="Normal 2 4 5 2 2 2 2 2 2" xfId="23282"/>
    <cellStyle name="Normal 2 4 5 2 2 2 2 2 2 2" xfId="23283"/>
    <cellStyle name="Normal 2 4 5 2 2 2 2 2 3" xfId="23284"/>
    <cellStyle name="Normal 2 4 5 2 2 2 2 3" xfId="23285"/>
    <cellStyle name="Normal 2 4 5 2 2 2 2 3 2" xfId="23286"/>
    <cellStyle name="Normal 2 4 5 2 2 2 2 4" xfId="23287"/>
    <cellStyle name="Normal 2 4 5 2 2 2 3" xfId="23288"/>
    <cellStyle name="Normal 2 4 5 2 2 2 3 2" xfId="23289"/>
    <cellStyle name="Normal 2 4 5 2 2 2 3 2 2" xfId="23290"/>
    <cellStyle name="Normal 2 4 5 2 2 2 3 3" xfId="23291"/>
    <cellStyle name="Normal 2 4 5 2 2 2 4" xfId="23292"/>
    <cellStyle name="Normal 2 4 5 2 2 2 4 2" xfId="23293"/>
    <cellStyle name="Normal 2 4 5 2 2 2 5" xfId="23294"/>
    <cellStyle name="Normal 2 4 5 2 2 3" xfId="3830"/>
    <cellStyle name="Normal 2 4 5 2 2 3 2" xfId="23295"/>
    <cellStyle name="Normal 2 4 5 2 2 3 2 2" xfId="23296"/>
    <cellStyle name="Normal 2 4 5 2 2 3 2 2 2" xfId="23297"/>
    <cellStyle name="Normal 2 4 5 2 2 3 2 3" xfId="23298"/>
    <cellStyle name="Normal 2 4 5 2 2 3 3" xfId="23299"/>
    <cellStyle name="Normal 2 4 5 2 2 3 3 2" xfId="23300"/>
    <cellStyle name="Normal 2 4 5 2 2 3 4" xfId="23301"/>
    <cellStyle name="Normal 2 4 5 2 2 4" xfId="23302"/>
    <cellStyle name="Normal 2 4 5 2 2 4 2" xfId="23303"/>
    <cellStyle name="Normal 2 4 5 2 2 4 2 2" xfId="23304"/>
    <cellStyle name="Normal 2 4 5 2 2 4 3" xfId="23305"/>
    <cellStyle name="Normal 2 4 5 2 2 5" xfId="23306"/>
    <cellStyle name="Normal 2 4 5 2 2 5 2" xfId="23307"/>
    <cellStyle name="Normal 2 4 5 2 2 6" xfId="23308"/>
    <cellStyle name="Normal 2 4 5 2 3" xfId="1790"/>
    <cellStyle name="Normal 2 4 5 2 3 2" xfId="4510"/>
    <cellStyle name="Normal 2 4 5 2 3 2 2" xfId="23309"/>
    <cellStyle name="Normal 2 4 5 2 3 2 2 2" xfId="23310"/>
    <cellStyle name="Normal 2 4 5 2 3 2 2 2 2" xfId="23311"/>
    <cellStyle name="Normal 2 4 5 2 3 2 2 3" xfId="23312"/>
    <cellStyle name="Normal 2 4 5 2 3 2 3" xfId="23313"/>
    <cellStyle name="Normal 2 4 5 2 3 2 3 2" xfId="23314"/>
    <cellStyle name="Normal 2 4 5 2 3 2 4" xfId="23315"/>
    <cellStyle name="Normal 2 4 5 2 3 3" xfId="23316"/>
    <cellStyle name="Normal 2 4 5 2 3 3 2" xfId="23317"/>
    <cellStyle name="Normal 2 4 5 2 3 3 2 2" xfId="23318"/>
    <cellStyle name="Normal 2 4 5 2 3 3 3" xfId="23319"/>
    <cellStyle name="Normal 2 4 5 2 3 4" xfId="23320"/>
    <cellStyle name="Normal 2 4 5 2 3 4 2" xfId="23321"/>
    <cellStyle name="Normal 2 4 5 2 3 5" xfId="23322"/>
    <cellStyle name="Normal 2 4 5 2 4" xfId="3150"/>
    <cellStyle name="Normal 2 4 5 2 4 2" xfId="23323"/>
    <cellStyle name="Normal 2 4 5 2 4 2 2" xfId="23324"/>
    <cellStyle name="Normal 2 4 5 2 4 2 2 2" xfId="23325"/>
    <cellStyle name="Normal 2 4 5 2 4 2 3" xfId="23326"/>
    <cellStyle name="Normal 2 4 5 2 4 3" xfId="23327"/>
    <cellStyle name="Normal 2 4 5 2 4 3 2" xfId="23328"/>
    <cellStyle name="Normal 2 4 5 2 4 4" xfId="23329"/>
    <cellStyle name="Normal 2 4 5 2 5" xfId="23330"/>
    <cellStyle name="Normal 2 4 5 2 5 2" xfId="23331"/>
    <cellStyle name="Normal 2 4 5 2 5 2 2" xfId="23332"/>
    <cellStyle name="Normal 2 4 5 2 5 3" xfId="23333"/>
    <cellStyle name="Normal 2 4 5 2 6" xfId="23334"/>
    <cellStyle name="Normal 2 4 5 2 6 2" xfId="23335"/>
    <cellStyle name="Normal 2 4 5 2 7" xfId="23336"/>
    <cellStyle name="Normal 2 4 5 3" xfId="838"/>
    <cellStyle name="Normal 2 4 5 3 2" xfId="2198"/>
    <cellStyle name="Normal 2 4 5 3 2 2" xfId="4918"/>
    <cellStyle name="Normal 2 4 5 3 2 2 2" xfId="23337"/>
    <cellStyle name="Normal 2 4 5 3 2 2 2 2" xfId="23338"/>
    <cellStyle name="Normal 2 4 5 3 2 2 2 2 2" xfId="23339"/>
    <cellStyle name="Normal 2 4 5 3 2 2 2 3" xfId="23340"/>
    <cellStyle name="Normal 2 4 5 3 2 2 3" xfId="23341"/>
    <cellStyle name="Normal 2 4 5 3 2 2 3 2" xfId="23342"/>
    <cellStyle name="Normal 2 4 5 3 2 2 4" xfId="23343"/>
    <cellStyle name="Normal 2 4 5 3 2 3" xfId="23344"/>
    <cellStyle name="Normal 2 4 5 3 2 3 2" xfId="23345"/>
    <cellStyle name="Normal 2 4 5 3 2 3 2 2" xfId="23346"/>
    <cellStyle name="Normal 2 4 5 3 2 3 3" xfId="23347"/>
    <cellStyle name="Normal 2 4 5 3 2 4" xfId="23348"/>
    <cellStyle name="Normal 2 4 5 3 2 4 2" xfId="23349"/>
    <cellStyle name="Normal 2 4 5 3 2 5" xfId="23350"/>
    <cellStyle name="Normal 2 4 5 3 3" xfId="3558"/>
    <cellStyle name="Normal 2 4 5 3 3 2" xfId="23351"/>
    <cellStyle name="Normal 2 4 5 3 3 2 2" xfId="23352"/>
    <cellStyle name="Normal 2 4 5 3 3 2 2 2" xfId="23353"/>
    <cellStyle name="Normal 2 4 5 3 3 2 3" xfId="23354"/>
    <cellStyle name="Normal 2 4 5 3 3 3" xfId="23355"/>
    <cellStyle name="Normal 2 4 5 3 3 3 2" xfId="23356"/>
    <cellStyle name="Normal 2 4 5 3 3 4" xfId="23357"/>
    <cellStyle name="Normal 2 4 5 3 4" xfId="23358"/>
    <cellStyle name="Normal 2 4 5 3 4 2" xfId="23359"/>
    <cellStyle name="Normal 2 4 5 3 4 2 2" xfId="23360"/>
    <cellStyle name="Normal 2 4 5 3 4 3" xfId="23361"/>
    <cellStyle name="Normal 2 4 5 3 5" xfId="23362"/>
    <cellStyle name="Normal 2 4 5 3 5 2" xfId="23363"/>
    <cellStyle name="Normal 2 4 5 3 6" xfId="23364"/>
    <cellStyle name="Normal 2 4 5 4" xfId="1518"/>
    <cellStyle name="Normal 2 4 5 4 2" xfId="4238"/>
    <cellStyle name="Normal 2 4 5 4 2 2" xfId="23365"/>
    <cellStyle name="Normal 2 4 5 4 2 2 2" xfId="23366"/>
    <cellStyle name="Normal 2 4 5 4 2 2 2 2" xfId="23367"/>
    <cellStyle name="Normal 2 4 5 4 2 2 3" xfId="23368"/>
    <cellStyle name="Normal 2 4 5 4 2 3" xfId="23369"/>
    <cellStyle name="Normal 2 4 5 4 2 3 2" xfId="23370"/>
    <cellStyle name="Normal 2 4 5 4 2 4" xfId="23371"/>
    <cellStyle name="Normal 2 4 5 4 3" xfId="23372"/>
    <cellStyle name="Normal 2 4 5 4 3 2" xfId="23373"/>
    <cellStyle name="Normal 2 4 5 4 3 2 2" xfId="23374"/>
    <cellStyle name="Normal 2 4 5 4 3 3" xfId="23375"/>
    <cellStyle name="Normal 2 4 5 4 4" xfId="23376"/>
    <cellStyle name="Normal 2 4 5 4 4 2" xfId="23377"/>
    <cellStyle name="Normal 2 4 5 4 5" xfId="23378"/>
    <cellStyle name="Normal 2 4 5 5" xfId="2878"/>
    <cellStyle name="Normal 2 4 5 5 2" xfId="23379"/>
    <cellStyle name="Normal 2 4 5 5 2 2" xfId="23380"/>
    <cellStyle name="Normal 2 4 5 5 2 2 2" xfId="23381"/>
    <cellStyle name="Normal 2 4 5 5 2 3" xfId="23382"/>
    <cellStyle name="Normal 2 4 5 5 3" xfId="23383"/>
    <cellStyle name="Normal 2 4 5 5 3 2" xfId="23384"/>
    <cellStyle name="Normal 2 4 5 5 4" xfId="23385"/>
    <cellStyle name="Normal 2 4 5 6" xfId="23386"/>
    <cellStyle name="Normal 2 4 5 6 2" xfId="23387"/>
    <cellStyle name="Normal 2 4 5 6 2 2" xfId="23388"/>
    <cellStyle name="Normal 2 4 5 6 3" xfId="23389"/>
    <cellStyle name="Normal 2 4 5 7" xfId="23390"/>
    <cellStyle name="Normal 2 4 5 7 2" xfId="23391"/>
    <cellStyle name="Normal 2 4 5 8" xfId="23392"/>
    <cellStyle name="Normal 2 4 6" xfId="294"/>
    <cellStyle name="Normal 2 4 6 2" xfId="974"/>
    <cellStyle name="Normal 2 4 6 2 2" xfId="2334"/>
    <cellStyle name="Normal 2 4 6 2 2 2" xfId="5054"/>
    <cellStyle name="Normal 2 4 6 2 2 2 2" xfId="23393"/>
    <cellStyle name="Normal 2 4 6 2 2 2 2 2" xfId="23394"/>
    <cellStyle name="Normal 2 4 6 2 2 2 2 2 2" xfId="23395"/>
    <cellStyle name="Normal 2 4 6 2 2 2 2 3" xfId="23396"/>
    <cellStyle name="Normal 2 4 6 2 2 2 3" xfId="23397"/>
    <cellStyle name="Normal 2 4 6 2 2 2 3 2" xfId="23398"/>
    <cellStyle name="Normal 2 4 6 2 2 2 4" xfId="23399"/>
    <cellStyle name="Normal 2 4 6 2 2 3" xfId="23400"/>
    <cellStyle name="Normal 2 4 6 2 2 3 2" xfId="23401"/>
    <cellStyle name="Normal 2 4 6 2 2 3 2 2" xfId="23402"/>
    <cellStyle name="Normal 2 4 6 2 2 3 3" xfId="23403"/>
    <cellStyle name="Normal 2 4 6 2 2 4" xfId="23404"/>
    <cellStyle name="Normal 2 4 6 2 2 4 2" xfId="23405"/>
    <cellStyle name="Normal 2 4 6 2 2 5" xfId="23406"/>
    <cellStyle name="Normal 2 4 6 2 3" xfId="3694"/>
    <cellStyle name="Normal 2 4 6 2 3 2" xfId="23407"/>
    <cellStyle name="Normal 2 4 6 2 3 2 2" xfId="23408"/>
    <cellStyle name="Normal 2 4 6 2 3 2 2 2" xfId="23409"/>
    <cellStyle name="Normal 2 4 6 2 3 2 3" xfId="23410"/>
    <cellStyle name="Normal 2 4 6 2 3 3" xfId="23411"/>
    <cellStyle name="Normal 2 4 6 2 3 3 2" xfId="23412"/>
    <cellStyle name="Normal 2 4 6 2 3 4" xfId="23413"/>
    <cellStyle name="Normal 2 4 6 2 4" xfId="23414"/>
    <cellStyle name="Normal 2 4 6 2 4 2" xfId="23415"/>
    <cellStyle name="Normal 2 4 6 2 4 2 2" xfId="23416"/>
    <cellStyle name="Normal 2 4 6 2 4 3" xfId="23417"/>
    <cellStyle name="Normal 2 4 6 2 5" xfId="23418"/>
    <cellStyle name="Normal 2 4 6 2 5 2" xfId="23419"/>
    <cellStyle name="Normal 2 4 6 2 6" xfId="23420"/>
    <cellStyle name="Normal 2 4 6 3" xfId="1654"/>
    <cellStyle name="Normal 2 4 6 3 2" xfId="4374"/>
    <cellStyle name="Normal 2 4 6 3 2 2" xfId="23421"/>
    <cellStyle name="Normal 2 4 6 3 2 2 2" xfId="23422"/>
    <cellStyle name="Normal 2 4 6 3 2 2 2 2" xfId="23423"/>
    <cellStyle name="Normal 2 4 6 3 2 2 3" xfId="23424"/>
    <cellStyle name="Normal 2 4 6 3 2 3" xfId="23425"/>
    <cellStyle name="Normal 2 4 6 3 2 3 2" xfId="23426"/>
    <cellStyle name="Normal 2 4 6 3 2 4" xfId="23427"/>
    <cellStyle name="Normal 2 4 6 3 3" xfId="23428"/>
    <cellStyle name="Normal 2 4 6 3 3 2" xfId="23429"/>
    <cellStyle name="Normal 2 4 6 3 3 2 2" xfId="23430"/>
    <cellStyle name="Normal 2 4 6 3 3 3" xfId="23431"/>
    <cellStyle name="Normal 2 4 6 3 4" xfId="23432"/>
    <cellStyle name="Normal 2 4 6 3 4 2" xfId="23433"/>
    <cellStyle name="Normal 2 4 6 3 5" xfId="23434"/>
    <cellStyle name="Normal 2 4 6 4" xfId="3014"/>
    <cellStyle name="Normal 2 4 6 4 2" xfId="23435"/>
    <cellStyle name="Normal 2 4 6 4 2 2" xfId="23436"/>
    <cellStyle name="Normal 2 4 6 4 2 2 2" xfId="23437"/>
    <cellStyle name="Normal 2 4 6 4 2 3" xfId="23438"/>
    <cellStyle name="Normal 2 4 6 4 3" xfId="23439"/>
    <cellStyle name="Normal 2 4 6 4 3 2" xfId="23440"/>
    <cellStyle name="Normal 2 4 6 4 4" xfId="23441"/>
    <cellStyle name="Normal 2 4 6 5" xfId="23442"/>
    <cellStyle name="Normal 2 4 6 5 2" xfId="23443"/>
    <cellStyle name="Normal 2 4 6 5 2 2" xfId="23444"/>
    <cellStyle name="Normal 2 4 6 5 3" xfId="23445"/>
    <cellStyle name="Normal 2 4 6 6" xfId="23446"/>
    <cellStyle name="Normal 2 4 6 6 2" xfId="23447"/>
    <cellStyle name="Normal 2 4 6 7" xfId="23448"/>
    <cellStyle name="Normal 2 4 7" xfId="566"/>
    <cellStyle name="Normal 2 4 7 2" xfId="1246"/>
    <cellStyle name="Normal 2 4 7 2 2" xfId="2606"/>
    <cellStyle name="Normal 2 4 7 2 2 2" xfId="5326"/>
    <cellStyle name="Normal 2 4 7 2 2 2 2" xfId="23449"/>
    <cellStyle name="Normal 2 4 7 2 2 2 2 2" xfId="23450"/>
    <cellStyle name="Normal 2 4 7 2 2 2 2 2 2" xfId="23451"/>
    <cellStyle name="Normal 2 4 7 2 2 2 2 3" xfId="23452"/>
    <cellStyle name="Normal 2 4 7 2 2 2 3" xfId="23453"/>
    <cellStyle name="Normal 2 4 7 2 2 2 3 2" xfId="23454"/>
    <cellStyle name="Normal 2 4 7 2 2 2 4" xfId="23455"/>
    <cellStyle name="Normal 2 4 7 2 2 3" xfId="23456"/>
    <cellStyle name="Normal 2 4 7 2 2 3 2" xfId="23457"/>
    <cellStyle name="Normal 2 4 7 2 2 3 2 2" xfId="23458"/>
    <cellStyle name="Normal 2 4 7 2 2 3 3" xfId="23459"/>
    <cellStyle name="Normal 2 4 7 2 2 4" xfId="23460"/>
    <cellStyle name="Normal 2 4 7 2 2 4 2" xfId="23461"/>
    <cellStyle name="Normal 2 4 7 2 2 5" xfId="23462"/>
    <cellStyle name="Normal 2 4 7 2 3" xfId="3966"/>
    <cellStyle name="Normal 2 4 7 2 3 2" xfId="23463"/>
    <cellStyle name="Normal 2 4 7 2 3 2 2" xfId="23464"/>
    <cellStyle name="Normal 2 4 7 2 3 2 2 2" xfId="23465"/>
    <cellStyle name="Normal 2 4 7 2 3 2 3" xfId="23466"/>
    <cellStyle name="Normal 2 4 7 2 3 3" xfId="23467"/>
    <cellStyle name="Normal 2 4 7 2 3 3 2" xfId="23468"/>
    <cellStyle name="Normal 2 4 7 2 3 4" xfId="23469"/>
    <cellStyle name="Normal 2 4 7 2 4" xfId="23470"/>
    <cellStyle name="Normal 2 4 7 2 4 2" xfId="23471"/>
    <cellStyle name="Normal 2 4 7 2 4 2 2" xfId="23472"/>
    <cellStyle name="Normal 2 4 7 2 4 3" xfId="23473"/>
    <cellStyle name="Normal 2 4 7 2 5" xfId="23474"/>
    <cellStyle name="Normal 2 4 7 2 5 2" xfId="23475"/>
    <cellStyle name="Normal 2 4 7 2 6" xfId="23476"/>
    <cellStyle name="Normal 2 4 7 3" xfId="1926"/>
    <cellStyle name="Normal 2 4 7 3 2" xfId="4646"/>
    <cellStyle name="Normal 2 4 7 3 2 2" xfId="23477"/>
    <cellStyle name="Normal 2 4 7 3 2 2 2" xfId="23478"/>
    <cellStyle name="Normal 2 4 7 3 2 2 2 2" xfId="23479"/>
    <cellStyle name="Normal 2 4 7 3 2 2 3" xfId="23480"/>
    <cellStyle name="Normal 2 4 7 3 2 3" xfId="23481"/>
    <cellStyle name="Normal 2 4 7 3 2 3 2" xfId="23482"/>
    <cellStyle name="Normal 2 4 7 3 2 4" xfId="23483"/>
    <cellStyle name="Normal 2 4 7 3 3" xfId="23484"/>
    <cellStyle name="Normal 2 4 7 3 3 2" xfId="23485"/>
    <cellStyle name="Normal 2 4 7 3 3 2 2" xfId="23486"/>
    <cellStyle name="Normal 2 4 7 3 3 3" xfId="23487"/>
    <cellStyle name="Normal 2 4 7 3 4" xfId="23488"/>
    <cellStyle name="Normal 2 4 7 3 4 2" xfId="23489"/>
    <cellStyle name="Normal 2 4 7 3 5" xfId="23490"/>
    <cellStyle name="Normal 2 4 7 4" xfId="3286"/>
    <cellStyle name="Normal 2 4 7 4 2" xfId="23491"/>
    <cellStyle name="Normal 2 4 7 4 2 2" xfId="23492"/>
    <cellStyle name="Normal 2 4 7 4 2 2 2" xfId="23493"/>
    <cellStyle name="Normal 2 4 7 4 2 3" xfId="23494"/>
    <cellStyle name="Normal 2 4 7 4 3" xfId="23495"/>
    <cellStyle name="Normal 2 4 7 4 3 2" xfId="23496"/>
    <cellStyle name="Normal 2 4 7 4 4" xfId="23497"/>
    <cellStyle name="Normal 2 4 7 5" xfId="23498"/>
    <cellStyle name="Normal 2 4 7 5 2" xfId="23499"/>
    <cellStyle name="Normal 2 4 7 5 2 2" xfId="23500"/>
    <cellStyle name="Normal 2 4 7 5 3" xfId="23501"/>
    <cellStyle name="Normal 2 4 7 6" xfId="23502"/>
    <cellStyle name="Normal 2 4 7 6 2" xfId="23503"/>
    <cellStyle name="Normal 2 4 7 7" xfId="23504"/>
    <cellStyle name="Normal 2 4 8" xfId="702"/>
    <cellStyle name="Normal 2 4 8 2" xfId="2062"/>
    <cellStyle name="Normal 2 4 8 2 2" xfId="4782"/>
    <cellStyle name="Normal 2 4 8 2 2 2" xfId="23505"/>
    <cellStyle name="Normal 2 4 8 2 2 2 2" xfId="23506"/>
    <cellStyle name="Normal 2 4 8 2 2 2 2 2" xfId="23507"/>
    <cellStyle name="Normal 2 4 8 2 2 2 3" xfId="23508"/>
    <cellStyle name="Normal 2 4 8 2 2 3" xfId="23509"/>
    <cellStyle name="Normal 2 4 8 2 2 3 2" xfId="23510"/>
    <cellStyle name="Normal 2 4 8 2 2 4" xfId="23511"/>
    <cellStyle name="Normal 2 4 8 2 3" xfId="23512"/>
    <cellStyle name="Normal 2 4 8 2 3 2" xfId="23513"/>
    <cellStyle name="Normal 2 4 8 2 3 2 2" xfId="23514"/>
    <cellStyle name="Normal 2 4 8 2 3 3" xfId="23515"/>
    <cellStyle name="Normal 2 4 8 2 4" xfId="23516"/>
    <cellStyle name="Normal 2 4 8 2 4 2" xfId="23517"/>
    <cellStyle name="Normal 2 4 8 2 5" xfId="23518"/>
    <cellStyle name="Normal 2 4 8 3" xfId="3422"/>
    <cellStyle name="Normal 2 4 8 3 2" xfId="23519"/>
    <cellStyle name="Normal 2 4 8 3 2 2" xfId="23520"/>
    <cellStyle name="Normal 2 4 8 3 2 2 2" xfId="23521"/>
    <cellStyle name="Normal 2 4 8 3 2 3" xfId="23522"/>
    <cellStyle name="Normal 2 4 8 3 3" xfId="23523"/>
    <cellStyle name="Normal 2 4 8 3 3 2" xfId="23524"/>
    <cellStyle name="Normal 2 4 8 3 4" xfId="23525"/>
    <cellStyle name="Normal 2 4 8 4" xfId="23526"/>
    <cellStyle name="Normal 2 4 8 4 2" xfId="23527"/>
    <cellStyle name="Normal 2 4 8 4 2 2" xfId="23528"/>
    <cellStyle name="Normal 2 4 8 4 3" xfId="23529"/>
    <cellStyle name="Normal 2 4 8 5" xfId="23530"/>
    <cellStyle name="Normal 2 4 8 5 2" xfId="23531"/>
    <cellStyle name="Normal 2 4 8 6" xfId="23532"/>
    <cellStyle name="Normal 2 4 9" xfId="1382"/>
    <cellStyle name="Normal 2 4 9 2" xfId="4102"/>
    <cellStyle name="Normal 2 4 9 2 2" xfId="23533"/>
    <cellStyle name="Normal 2 4 9 2 2 2" xfId="23534"/>
    <cellStyle name="Normal 2 4 9 2 2 2 2" xfId="23535"/>
    <cellStyle name="Normal 2 4 9 2 2 3" xfId="23536"/>
    <cellStyle name="Normal 2 4 9 2 3" xfId="23537"/>
    <cellStyle name="Normal 2 4 9 2 3 2" xfId="23538"/>
    <cellStyle name="Normal 2 4 9 2 4" xfId="23539"/>
    <cellStyle name="Normal 2 4 9 3" xfId="23540"/>
    <cellStyle name="Normal 2 4 9 3 2" xfId="23541"/>
    <cellStyle name="Normal 2 4 9 3 2 2" xfId="23542"/>
    <cellStyle name="Normal 2 4 9 3 3" xfId="23543"/>
    <cellStyle name="Normal 2 4 9 4" xfId="23544"/>
    <cellStyle name="Normal 2 4 9 4 2" xfId="23545"/>
    <cellStyle name="Normal 2 4 9 5" xfId="23546"/>
    <cellStyle name="Normal 2 5" xfId="25"/>
    <cellStyle name="Normal 2 5 10" xfId="2749"/>
    <cellStyle name="Normal 2 5 10 2" xfId="23547"/>
    <cellStyle name="Normal 2 5 10 2 2" xfId="23548"/>
    <cellStyle name="Normal 2 5 10 2 2 2" xfId="23549"/>
    <cellStyle name="Normal 2 5 10 2 3" xfId="23550"/>
    <cellStyle name="Normal 2 5 10 3" xfId="23551"/>
    <cellStyle name="Normal 2 5 10 3 2" xfId="23552"/>
    <cellStyle name="Normal 2 5 10 4" xfId="23553"/>
    <cellStyle name="Normal 2 5 11" xfId="23554"/>
    <cellStyle name="Normal 2 5 11 2" xfId="23555"/>
    <cellStyle name="Normal 2 5 11 2 2" xfId="23556"/>
    <cellStyle name="Normal 2 5 11 3" xfId="23557"/>
    <cellStyle name="Normal 2 5 12" xfId="23558"/>
    <cellStyle name="Normal 2 5 12 2" xfId="23559"/>
    <cellStyle name="Normal 2 5 13" xfId="23560"/>
    <cellStyle name="Normal 2 5 2" xfId="44"/>
    <cellStyle name="Normal 2 5 2 10" xfId="23561"/>
    <cellStyle name="Normal 2 5 2 10 2" xfId="23562"/>
    <cellStyle name="Normal 2 5 2 10 2 2" xfId="23563"/>
    <cellStyle name="Normal 2 5 2 10 3" xfId="23564"/>
    <cellStyle name="Normal 2 5 2 11" xfId="23565"/>
    <cellStyle name="Normal 2 5 2 11 2" xfId="23566"/>
    <cellStyle name="Normal 2 5 2 12" xfId="23567"/>
    <cellStyle name="Normal 2 5 2 2" xfId="79"/>
    <cellStyle name="Normal 2 5 2 2 10" xfId="23568"/>
    <cellStyle name="Normal 2 5 2 2 10 2" xfId="23569"/>
    <cellStyle name="Normal 2 5 2 2 11" xfId="23570"/>
    <cellStyle name="Normal 2 5 2 2 2" xfId="147"/>
    <cellStyle name="Normal 2 5 2 2 2 10" xfId="23571"/>
    <cellStyle name="Normal 2 5 2 2 2 2" xfId="284"/>
    <cellStyle name="Normal 2 5 2 2 2 2 2" xfId="556"/>
    <cellStyle name="Normal 2 5 2 2 2 2 2 2" xfId="1236"/>
    <cellStyle name="Normal 2 5 2 2 2 2 2 2 2" xfId="2596"/>
    <cellStyle name="Normal 2 5 2 2 2 2 2 2 2 2" xfId="5316"/>
    <cellStyle name="Normal 2 5 2 2 2 2 2 2 2 2 2" xfId="23572"/>
    <cellStyle name="Normal 2 5 2 2 2 2 2 2 2 2 2 2" xfId="23573"/>
    <cellStyle name="Normal 2 5 2 2 2 2 2 2 2 2 2 2 2" xfId="23574"/>
    <cellStyle name="Normal 2 5 2 2 2 2 2 2 2 2 2 3" xfId="23575"/>
    <cellStyle name="Normal 2 5 2 2 2 2 2 2 2 2 3" xfId="23576"/>
    <cellStyle name="Normal 2 5 2 2 2 2 2 2 2 2 3 2" xfId="23577"/>
    <cellStyle name="Normal 2 5 2 2 2 2 2 2 2 2 4" xfId="23578"/>
    <cellStyle name="Normal 2 5 2 2 2 2 2 2 2 3" xfId="23579"/>
    <cellStyle name="Normal 2 5 2 2 2 2 2 2 2 3 2" xfId="23580"/>
    <cellStyle name="Normal 2 5 2 2 2 2 2 2 2 3 2 2" xfId="23581"/>
    <cellStyle name="Normal 2 5 2 2 2 2 2 2 2 3 3" xfId="23582"/>
    <cellStyle name="Normal 2 5 2 2 2 2 2 2 2 4" xfId="23583"/>
    <cellStyle name="Normal 2 5 2 2 2 2 2 2 2 4 2" xfId="23584"/>
    <cellStyle name="Normal 2 5 2 2 2 2 2 2 2 5" xfId="23585"/>
    <cellStyle name="Normal 2 5 2 2 2 2 2 2 3" xfId="3956"/>
    <cellStyle name="Normal 2 5 2 2 2 2 2 2 3 2" xfId="23586"/>
    <cellStyle name="Normal 2 5 2 2 2 2 2 2 3 2 2" xfId="23587"/>
    <cellStyle name="Normal 2 5 2 2 2 2 2 2 3 2 2 2" xfId="23588"/>
    <cellStyle name="Normal 2 5 2 2 2 2 2 2 3 2 3" xfId="23589"/>
    <cellStyle name="Normal 2 5 2 2 2 2 2 2 3 3" xfId="23590"/>
    <cellStyle name="Normal 2 5 2 2 2 2 2 2 3 3 2" xfId="23591"/>
    <cellStyle name="Normal 2 5 2 2 2 2 2 2 3 4" xfId="23592"/>
    <cellStyle name="Normal 2 5 2 2 2 2 2 2 4" xfId="23593"/>
    <cellStyle name="Normal 2 5 2 2 2 2 2 2 4 2" xfId="23594"/>
    <cellStyle name="Normal 2 5 2 2 2 2 2 2 4 2 2" xfId="23595"/>
    <cellStyle name="Normal 2 5 2 2 2 2 2 2 4 3" xfId="23596"/>
    <cellStyle name="Normal 2 5 2 2 2 2 2 2 5" xfId="23597"/>
    <cellStyle name="Normal 2 5 2 2 2 2 2 2 5 2" xfId="23598"/>
    <cellStyle name="Normal 2 5 2 2 2 2 2 2 6" xfId="23599"/>
    <cellStyle name="Normal 2 5 2 2 2 2 2 3" xfId="1916"/>
    <cellStyle name="Normal 2 5 2 2 2 2 2 3 2" xfId="4636"/>
    <cellStyle name="Normal 2 5 2 2 2 2 2 3 2 2" xfId="23600"/>
    <cellStyle name="Normal 2 5 2 2 2 2 2 3 2 2 2" xfId="23601"/>
    <cellStyle name="Normal 2 5 2 2 2 2 2 3 2 2 2 2" xfId="23602"/>
    <cellStyle name="Normal 2 5 2 2 2 2 2 3 2 2 3" xfId="23603"/>
    <cellStyle name="Normal 2 5 2 2 2 2 2 3 2 3" xfId="23604"/>
    <cellStyle name="Normal 2 5 2 2 2 2 2 3 2 3 2" xfId="23605"/>
    <cellStyle name="Normal 2 5 2 2 2 2 2 3 2 4" xfId="23606"/>
    <cellStyle name="Normal 2 5 2 2 2 2 2 3 3" xfId="23607"/>
    <cellStyle name="Normal 2 5 2 2 2 2 2 3 3 2" xfId="23608"/>
    <cellStyle name="Normal 2 5 2 2 2 2 2 3 3 2 2" xfId="23609"/>
    <cellStyle name="Normal 2 5 2 2 2 2 2 3 3 3" xfId="23610"/>
    <cellStyle name="Normal 2 5 2 2 2 2 2 3 4" xfId="23611"/>
    <cellStyle name="Normal 2 5 2 2 2 2 2 3 4 2" xfId="23612"/>
    <cellStyle name="Normal 2 5 2 2 2 2 2 3 5" xfId="23613"/>
    <cellStyle name="Normal 2 5 2 2 2 2 2 4" xfId="3276"/>
    <cellStyle name="Normal 2 5 2 2 2 2 2 4 2" xfId="23614"/>
    <cellStyle name="Normal 2 5 2 2 2 2 2 4 2 2" xfId="23615"/>
    <cellStyle name="Normal 2 5 2 2 2 2 2 4 2 2 2" xfId="23616"/>
    <cellStyle name="Normal 2 5 2 2 2 2 2 4 2 3" xfId="23617"/>
    <cellStyle name="Normal 2 5 2 2 2 2 2 4 3" xfId="23618"/>
    <cellStyle name="Normal 2 5 2 2 2 2 2 4 3 2" xfId="23619"/>
    <cellStyle name="Normal 2 5 2 2 2 2 2 4 4" xfId="23620"/>
    <cellStyle name="Normal 2 5 2 2 2 2 2 5" xfId="23621"/>
    <cellStyle name="Normal 2 5 2 2 2 2 2 5 2" xfId="23622"/>
    <cellStyle name="Normal 2 5 2 2 2 2 2 5 2 2" xfId="23623"/>
    <cellStyle name="Normal 2 5 2 2 2 2 2 5 3" xfId="23624"/>
    <cellStyle name="Normal 2 5 2 2 2 2 2 6" xfId="23625"/>
    <cellStyle name="Normal 2 5 2 2 2 2 2 6 2" xfId="23626"/>
    <cellStyle name="Normal 2 5 2 2 2 2 2 7" xfId="23627"/>
    <cellStyle name="Normal 2 5 2 2 2 2 3" xfId="964"/>
    <cellStyle name="Normal 2 5 2 2 2 2 3 2" xfId="2324"/>
    <cellStyle name="Normal 2 5 2 2 2 2 3 2 2" xfId="5044"/>
    <cellStyle name="Normal 2 5 2 2 2 2 3 2 2 2" xfId="23628"/>
    <cellStyle name="Normal 2 5 2 2 2 2 3 2 2 2 2" xfId="23629"/>
    <cellStyle name="Normal 2 5 2 2 2 2 3 2 2 2 2 2" xfId="23630"/>
    <cellStyle name="Normal 2 5 2 2 2 2 3 2 2 2 3" xfId="23631"/>
    <cellStyle name="Normal 2 5 2 2 2 2 3 2 2 3" xfId="23632"/>
    <cellStyle name="Normal 2 5 2 2 2 2 3 2 2 3 2" xfId="23633"/>
    <cellStyle name="Normal 2 5 2 2 2 2 3 2 2 4" xfId="23634"/>
    <cellStyle name="Normal 2 5 2 2 2 2 3 2 3" xfId="23635"/>
    <cellStyle name="Normal 2 5 2 2 2 2 3 2 3 2" xfId="23636"/>
    <cellStyle name="Normal 2 5 2 2 2 2 3 2 3 2 2" xfId="23637"/>
    <cellStyle name="Normal 2 5 2 2 2 2 3 2 3 3" xfId="23638"/>
    <cellStyle name="Normal 2 5 2 2 2 2 3 2 4" xfId="23639"/>
    <cellStyle name="Normal 2 5 2 2 2 2 3 2 4 2" xfId="23640"/>
    <cellStyle name="Normal 2 5 2 2 2 2 3 2 5" xfId="23641"/>
    <cellStyle name="Normal 2 5 2 2 2 2 3 3" xfId="3684"/>
    <cellStyle name="Normal 2 5 2 2 2 2 3 3 2" xfId="23642"/>
    <cellStyle name="Normal 2 5 2 2 2 2 3 3 2 2" xfId="23643"/>
    <cellStyle name="Normal 2 5 2 2 2 2 3 3 2 2 2" xfId="23644"/>
    <cellStyle name="Normal 2 5 2 2 2 2 3 3 2 3" xfId="23645"/>
    <cellStyle name="Normal 2 5 2 2 2 2 3 3 3" xfId="23646"/>
    <cellStyle name="Normal 2 5 2 2 2 2 3 3 3 2" xfId="23647"/>
    <cellStyle name="Normal 2 5 2 2 2 2 3 3 4" xfId="23648"/>
    <cellStyle name="Normal 2 5 2 2 2 2 3 4" xfId="23649"/>
    <cellStyle name="Normal 2 5 2 2 2 2 3 4 2" xfId="23650"/>
    <cellStyle name="Normal 2 5 2 2 2 2 3 4 2 2" xfId="23651"/>
    <cellStyle name="Normal 2 5 2 2 2 2 3 4 3" xfId="23652"/>
    <cellStyle name="Normal 2 5 2 2 2 2 3 5" xfId="23653"/>
    <cellStyle name="Normal 2 5 2 2 2 2 3 5 2" xfId="23654"/>
    <cellStyle name="Normal 2 5 2 2 2 2 3 6" xfId="23655"/>
    <cellStyle name="Normal 2 5 2 2 2 2 4" xfId="1644"/>
    <cellStyle name="Normal 2 5 2 2 2 2 4 2" xfId="4364"/>
    <cellStyle name="Normal 2 5 2 2 2 2 4 2 2" xfId="23656"/>
    <cellStyle name="Normal 2 5 2 2 2 2 4 2 2 2" xfId="23657"/>
    <cellStyle name="Normal 2 5 2 2 2 2 4 2 2 2 2" xfId="23658"/>
    <cellStyle name="Normal 2 5 2 2 2 2 4 2 2 3" xfId="23659"/>
    <cellStyle name="Normal 2 5 2 2 2 2 4 2 3" xfId="23660"/>
    <cellStyle name="Normal 2 5 2 2 2 2 4 2 3 2" xfId="23661"/>
    <cellStyle name="Normal 2 5 2 2 2 2 4 2 4" xfId="23662"/>
    <cellStyle name="Normal 2 5 2 2 2 2 4 3" xfId="23663"/>
    <cellStyle name="Normal 2 5 2 2 2 2 4 3 2" xfId="23664"/>
    <cellStyle name="Normal 2 5 2 2 2 2 4 3 2 2" xfId="23665"/>
    <cellStyle name="Normal 2 5 2 2 2 2 4 3 3" xfId="23666"/>
    <cellStyle name="Normal 2 5 2 2 2 2 4 4" xfId="23667"/>
    <cellStyle name="Normal 2 5 2 2 2 2 4 4 2" xfId="23668"/>
    <cellStyle name="Normal 2 5 2 2 2 2 4 5" xfId="23669"/>
    <cellStyle name="Normal 2 5 2 2 2 2 5" xfId="3004"/>
    <cellStyle name="Normal 2 5 2 2 2 2 5 2" xfId="23670"/>
    <cellStyle name="Normal 2 5 2 2 2 2 5 2 2" xfId="23671"/>
    <cellStyle name="Normal 2 5 2 2 2 2 5 2 2 2" xfId="23672"/>
    <cellStyle name="Normal 2 5 2 2 2 2 5 2 3" xfId="23673"/>
    <cellStyle name="Normal 2 5 2 2 2 2 5 3" xfId="23674"/>
    <cellStyle name="Normal 2 5 2 2 2 2 5 3 2" xfId="23675"/>
    <cellStyle name="Normal 2 5 2 2 2 2 5 4" xfId="23676"/>
    <cellStyle name="Normal 2 5 2 2 2 2 6" xfId="23677"/>
    <cellStyle name="Normal 2 5 2 2 2 2 6 2" xfId="23678"/>
    <cellStyle name="Normal 2 5 2 2 2 2 6 2 2" xfId="23679"/>
    <cellStyle name="Normal 2 5 2 2 2 2 6 3" xfId="23680"/>
    <cellStyle name="Normal 2 5 2 2 2 2 7" xfId="23681"/>
    <cellStyle name="Normal 2 5 2 2 2 2 7 2" xfId="23682"/>
    <cellStyle name="Normal 2 5 2 2 2 2 8" xfId="23683"/>
    <cellStyle name="Normal 2 5 2 2 2 3" xfId="420"/>
    <cellStyle name="Normal 2 5 2 2 2 3 2" xfId="1100"/>
    <cellStyle name="Normal 2 5 2 2 2 3 2 2" xfId="2460"/>
    <cellStyle name="Normal 2 5 2 2 2 3 2 2 2" xfId="5180"/>
    <cellStyle name="Normal 2 5 2 2 2 3 2 2 2 2" xfId="23684"/>
    <cellStyle name="Normal 2 5 2 2 2 3 2 2 2 2 2" xfId="23685"/>
    <cellStyle name="Normal 2 5 2 2 2 3 2 2 2 2 2 2" xfId="23686"/>
    <cellStyle name="Normal 2 5 2 2 2 3 2 2 2 2 3" xfId="23687"/>
    <cellStyle name="Normal 2 5 2 2 2 3 2 2 2 3" xfId="23688"/>
    <cellStyle name="Normal 2 5 2 2 2 3 2 2 2 3 2" xfId="23689"/>
    <cellStyle name="Normal 2 5 2 2 2 3 2 2 2 4" xfId="23690"/>
    <cellStyle name="Normal 2 5 2 2 2 3 2 2 3" xfId="23691"/>
    <cellStyle name="Normal 2 5 2 2 2 3 2 2 3 2" xfId="23692"/>
    <cellStyle name="Normal 2 5 2 2 2 3 2 2 3 2 2" xfId="23693"/>
    <cellStyle name="Normal 2 5 2 2 2 3 2 2 3 3" xfId="23694"/>
    <cellStyle name="Normal 2 5 2 2 2 3 2 2 4" xfId="23695"/>
    <cellStyle name="Normal 2 5 2 2 2 3 2 2 4 2" xfId="23696"/>
    <cellStyle name="Normal 2 5 2 2 2 3 2 2 5" xfId="23697"/>
    <cellStyle name="Normal 2 5 2 2 2 3 2 3" xfId="3820"/>
    <cellStyle name="Normal 2 5 2 2 2 3 2 3 2" xfId="23698"/>
    <cellStyle name="Normal 2 5 2 2 2 3 2 3 2 2" xfId="23699"/>
    <cellStyle name="Normal 2 5 2 2 2 3 2 3 2 2 2" xfId="23700"/>
    <cellStyle name="Normal 2 5 2 2 2 3 2 3 2 3" xfId="23701"/>
    <cellStyle name="Normal 2 5 2 2 2 3 2 3 3" xfId="23702"/>
    <cellStyle name="Normal 2 5 2 2 2 3 2 3 3 2" xfId="23703"/>
    <cellStyle name="Normal 2 5 2 2 2 3 2 3 4" xfId="23704"/>
    <cellStyle name="Normal 2 5 2 2 2 3 2 4" xfId="23705"/>
    <cellStyle name="Normal 2 5 2 2 2 3 2 4 2" xfId="23706"/>
    <cellStyle name="Normal 2 5 2 2 2 3 2 4 2 2" xfId="23707"/>
    <cellStyle name="Normal 2 5 2 2 2 3 2 4 3" xfId="23708"/>
    <cellStyle name="Normal 2 5 2 2 2 3 2 5" xfId="23709"/>
    <cellStyle name="Normal 2 5 2 2 2 3 2 5 2" xfId="23710"/>
    <cellStyle name="Normal 2 5 2 2 2 3 2 6" xfId="23711"/>
    <cellStyle name="Normal 2 5 2 2 2 3 3" xfId="1780"/>
    <cellStyle name="Normal 2 5 2 2 2 3 3 2" xfId="4500"/>
    <cellStyle name="Normal 2 5 2 2 2 3 3 2 2" xfId="23712"/>
    <cellStyle name="Normal 2 5 2 2 2 3 3 2 2 2" xfId="23713"/>
    <cellStyle name="Normal 2 5 2 2 2 3 3 2 2 2 2" xfId="23714"/>
    <cellStyle name="Normal 2 5 2 2 2 3 3 2 2 3" xfId="23715"/>
    <cellStyle name="Normal 2 5 2 2 2 3 3 2 3" xfId="23716"/>
    <cellStyle name="Normal 2 5 2 2 2 3 3 2 3 2" xfId="23717"/>
    <cellStyle name="Normal 2 5 2 2 2 3 3 2 4" xfId="23718"/>
    <cellStyle name="Normal 2 5 2 2 2 3 3 3" xfId="23719"/>
    <cellStyle name="Normal 2 5 2 2 2 3 3 3 2" xfId="23720"/>
    <cellStyle name="Normal 2 5 2 2 2 3 3 3 2 2" xfId="23721"/>
    <cellStyle name="Normal 2 5 2 2 2 3 3 3 3" xfId="23722"/>
    <cellStyle name="Normal 2 5 2 2 2 3 3 4" xfId="23723"/>
    <cellStyle name="Normal 2 5 2 2 2 3 3 4 2" xfId="23724"/>
    <cellStyle name="Normal 2 5 2 2 2 3 3 5" xfId="23725"/>
    <cellStyle name="Normal 2 5 2 2 2 3 4" xfId="3140"/>
    <cellStyle name="Normal 2 5 2 2 2 3 4 2" xfId="23726"/>
    <cellStyle name="Normal 2 5 2 2 2 3 4 2 2" xfId="23727"/>
    <cellStyle name="Normal 2 5 2 2 2 3 4 2 2 2" xfId="23728"/>
    <cellStyle name="Normal 2 5 2 2 2 3 4 2 3" xfId="23729"/>
    <cellStyle name="Normal 2 5 2 2 2 3 4 3" xfId="23730"/>
    <cellStyle name="Normal 2 5 2 2 2 3 4 3 2" xfId="23731"/>
    <cellStyle name="Normal 2 5 2 2 2 3 4 4" xfId="23732"/>
    <cellStyle name="Normal 2 5 2 2 2 3 5" xfId="23733"/>
    <cellStyle name="Normal 2 5 2 2 2 3 5 2" xfId="23734"/>
    <cellStyle name="Normal 2 5 2 2 2 3 5 2 2" xfId="23735"/>
    <cellStyle name="Normal 2 5 2 2 2 3 5 3" xfId="23736"/>
    <cellStyle name="Normal 2 5 2 2 2 3 6" xfId="23737"/>
    <cellStyle name="Normal 2 5 2 2 2 3 6 2" xfId="23738"/>
    <cellStyle name="Normal 2 5 2 2 2 3 7" xfId="23739"/>
    <cellStyle name="Normal 2 5 2 2 2 4" xfId="692"/>
    <cellStyle name="Normal 2 5 2 2 2 4 2" xfId="1372"/>
    <cellStyle name="Normal 2 5 2 2 2 4 2 2" xfId="2732"/>
    <cellStyle name="Normal 2 5 2 2 2 4 2 2 2" xfId="5452"/>
    <cellStyle name="Normal 2 5 2 2 2 4 2 2 2 2" xfId="23740"/>
    <cellStyle name="Normal 2 5 2 2 2 4 2 2 2 2 2" xfId="23741"/>
    <cellStyle name="Normal 2 5 2 2 2 4 2 2 2 2 2 2" xfId="23742"/>
    <cellStyle name="Normal 2 5 2 2 2 4 2 2 2 2 3" xfId="23743"/>
    <cellStyle name="Normal 2 5 2 2 2 4 2 2 2 3" xfId="23744"/>
    <cellStyle name="Normal 2 5 2 2 2 4 2 2 2 3 2" xfId="23745"/>
    <cellStyle name="Normal 2 5 2 2 2 4 2 2 2 4" xfId="23746"/>
    <cellStyle name="Normal 2 5 2 2 2 4 2 2 3" xfId="23747"/>
    <cellStyle name="Normal 2 5 2 2 2 4 2 2 3 2" xfId="23748"/>
    <cellStyle name="Normal 2 5 2 2 2 4 2 2 3 2 2" xfId="23749"/>
    <cellStyle name="Normal 2 5 2 2 2 4 2 2 3 3" xfId="23750"/>
    <cellStyle name="Normal 2 5 2 2 2 4 2 2 4" xfId="23751"/>
    <cellStyle name="Normal 2 5 2 2 2 4 2 2 4 2" xfId="23752"/>
    <cellStyle name="Normal 2 5 2 2 2 4 2 2 5" xfId="23753"/>
    <cellStyle name="Normal 2 5 2 2 2 4 2 3" xfId="4092"/>
    <cellStyle name="Normal 2 5 2 2 2 4 2 3 2" xfId="23754"/>
    <cellStyle name="Normal 2 5 2 2 2 4 2 3 2 2" xfId="23755"/>
    <cellStyle name="Normal 2 5 2 2 2 4 2 3 2 2 2" xfId="23756"/>
    <cellStyle name="Normal 2 5 2 2 2 4 2 3 2 3" xfId="23757"/>
    <cellStyle name="Normal 2 5 2 2 2 4 2 3 3" xfId="23758"/>
    <cellStyle name="Normal 2 5 2 2 2 4 2 3 3 2" xfId="23759"/>
    <cellStyle name="Normal 2 5 2 2 2 4 2 3 4" xfId="23760"/>
    <cellStyle name="Normal 2 5 2 2 2 4 2 4" xfId="23761"/>
    <cellStyle name="Normal 2 5 2 2 2 4 2 4 2" xfId="23762"/>
    <cellStyle name="Normal 2 5 2 2 2 4 2 4 2 2" xfId="23763"/>
    <cellStyle name="Normal 2 5 2 2 2 4 2 4 3" xfId="23764"/>
    <cellStyle name="Normal 2 5 2 2 2 4 2 5" xfId="23765"/>
    <cellStyle name="Normal 2 5 2 2 2 4 2 5 2" xfId="23766"/>
    <cellStyle name="Normal 2 5 2 2 2 4 2 6" xfId="23767"/>
    <cellStyle name="Normal 2 5 2 2 2 4 3" xfId="2052"/>
    <cellStyle name="Normal 2 5 2 2 2 4 3 2" xfId="4772"/>
    <cellStyle name="Normal 2 5 2 2 2 4 3 2 2" xfId="23768"/>
    <cellStyle name="Normal 2 5 2 2 2 4 3 2 2 2" xfId="23769"/>
    <cellStyle name="Normal 2 5 2 2 2 4 3 2 2 2 2" xfId="23770"/>
    <cellStyle name="Normal 2 5 2 2 2 4 3 2 2 3" xfId="23771"/>
    <cellStyle name="Normal 2 5 2 2 2 4 3 2 3" xfId="23772"/>
    <cellStyle name="Normal 2 5 2 2 2 4 3 2 3 2" xfId="23773"/>
    <cellStyle name="Normal 2 5 2 2 2 4 3 2 4" xfId="23774"/>
    <cellStyle name="Normal 2 5 2 2 2 4 3 3" xfId="23775"/>
    <cellStyle name="Normal 2 5 2 2 2 4 3 3 2" xfId="23776"/>
    <cellStyle name="Normal 2 5 2 2 2 4 3 3 2 2" xfId="23777"/>
    <cellStyle name="Normal 2 5 2 2 2 4 3 3 3" xfId="23778"/>
    <cellStyle name="Normal 2 5 2 2 2 4 3 4" xfId="23779"/>
    <cellStyle name="Normal 2 5 2 2 2 4 3 4 2" xfId="23780"/>
    <cellStyle name="Normal 2 5 2 2 2 4 3 5" xfId="23781"/>
    <cellStyle name="Normal 2 5 2 2 2 4 4" xfId="3412"/>
    <cellStyle name="Normal 2 5 2 2 2 4 4 2" xfId="23782"/>
    <cellStyle name="Normal 2 5 2 2 2 4 4 2 2" xfId="23783"/>
    <cellStyle name="Normal 2 5 2 2 2 4 4 2 2 2" xfId="23784"/>
    <cellStyle name="Normal 2 5 2 2 2 4 4 2 3" xfId="23785"/>
    <cellStyle name="Normal 2 5 2 2 2 4 4 3" xfId="23786"/>
    <cellStyle name="Normal 2 5 2 2 2 4 4 3 2" xfId="23787"/>
    <cellStyle name="Normal 2 5 2 2 2 4 4 4" xfId="23788"/>
    <cellStyle name="Normal 2 5 2 2 2 4 5" xfId="23789"/>
    <cellStyle name="Normal 2 5 2 2 2 4 5 2" xfId="23790"/>
    <cellStyle name="Normal 2 5 2 2 2 4 5 2 2" xfId="23791"/>
    <cellStyle name="Normal 2 5 2 2 2 4 5 3" xfId="23792"/>
    <cellStyle name="Normal 2 5 2 2 2 4 6" xfId="23793"/>
    <cellStyle name="Normal 2 5 2 2 2 4 6 2" xfId="23794"/>
    <cellStyle name="Normal 2 5 2 2 2 4 7" xfId="23795"/>
    <cellStyle name="Normal 2 5 2 2 2 5" xfId="828"/>
    <cellStyle name="Normal 2 5 2 2 2 5 2" xfId="2188"/>
    <cellStyle name="Normal 2 5 2 2 2 5 2 2" xfId="4908"/>
    <cellStyle name="Normal 2 5 2 2 2 5 2 2 2" xfId="23796"/>
    <cellStyle name="Normal 2 5 2 2 2 5 2 2 2 2" xfId="23797"/>
    <cellStyle name="Normal 2 5 2 2 2 5 2 2 2 2 2" xfId="23798"/>
    <cellStyle name="Normal 2 5 2 2 2 5 2 2 2 3" xfId="23799"/>
    <cellStyle name="Normal 2 5 2 2 2 5 2 2 3" xfId="23800"/>
    <cellStyle name="Normal 2 5 2 2 2 5 2 2 3 2" xfId="23801"/>
    <cellStyle name="Normal 2 5 2 2 2 5 2 2 4" xfId="23802"/>
    <cellStyle name="Normal 2 5 2 2 2 5 2 3" xfId="23803"/>
    <cellStyle name="Normal 2 5 2 2 2 5 2 3 2" xfId="23804"/>
    <cellStyle name="Normal 2 5 2 2 2 5 2 3 2 2" xfId="23805"/>
    <cellStyle name="Normal 2 5 2 2 2 5 2 3 3" xfId="23806"/>
    <cellStyle name="Normal 2 5 2 2 2 5 2 4" xfId="23807"/>
    <cellStyle name="Normal 2 5 2 2 2 5 2 4 2" xfId="23808"/>
    <cellStyle name="Normal 2 5 2 2 2 5 2 5" xfId="23809"/>
    <cellStyle name="Normal 2 5 2 2 2 5 3" xfId="3548"/>
    <cellStyle name="Normal 2 5 2 2 2 5 3 2" xfId="23810"/>
    <cellStyle name="Normal 2 5 2 2 2 5 3 2 2" xfId="23811"/>
    <cellStyle name="Normal 2 5 2 2 2 5 3 2 2 2" xfId="23812"/>
    <cellStyle name="Normal 2 5 2 2 2 5 3 2 3" xfId="23813"/>
    <cellStyle name="Normal 2 5 2 2 2 5 3 3" xfId="23814"/>
    <cellStyle name="Normal 2 5 2 2 2 5 3 3 2" xfId="23815"/>
    <cellStyle name="Normal 2 5 2 2 2 5 3 4" xfId="23816"/>
    <cellStyle name="Normal 2 5 2 2 2 5 4" xfId="23817"/>
    <cellStyle name="Normal 2 5 2 2 2 5 4 2" xfId="23818"/>
    <cellStyle name="Normal 2 5 2 2 2 5 4 2 2" xfId="23819"/>
    <cellStyle name="Normal 2 5 2 2 2 5 4 3" xfId="23820"/>
    <cellStyle name="Normal 2 5 2 2 2 5 5" xfId="23821"/>
    <cellStyle name="Normal 2 5 2 2 2 5 5 2" xfId="23822"/>
    <cellStyle name="Normal 2 5 2 2 2 5 6" xfId="23823"/>
    <cellStyle name="Normal 2 5 2 2 2 6" xfId="1508"/>
    <cellStyle name="Normal 2 5 2 2 2 6 2" xfId="4228"/>
    <cellStyle name="Normal 2 5 2 2 2 6 2 2" xfId="23824"/>
    <cellStyle name="Normal 2 5 2 2 2 6 2 2 2" xfId="23825"/>
    <cellStyle name="Normal 2 5 2 2 2 6 2 2 2 2" xfId="23826"/>
    <cellStyle name="Normal 2 5 2 2 2 6 2 2 3" xfId="23827"/>
    <cellStyle name="Normal 2 5 2 2 2 6 2 3" xfId="23828"/>
    <cellStyle name="Normal 2 5 2 2 2 6 2 3 2" xfId="23829"/>
    <cellStyle name="Normal 2 5 2 2 2 6 2 4" xfId="23830"/>
    <cellStyle name="Normal 2 5 2 2 2 6 3" xfId="23831"/>
    <cellStyle name="Normal 2 5 2 2 2 6 3 2" xfId="23832"/>
    <cellStyle name="Normal 2 5 2 2 2 6 3 2 2" xfId="23833"/>
    <cellStyle name="Normal 2 5 2 2 2 6 3 3" xfId="23834"/>
    <cellStyle name="Normal 2 5 2 2 2 6 4" xfId="23835"/>
    <cellStyle name="Normal 2 5 2 2 2 6 4 2" xfId="23836"/>
    <cellStyle name="Normal 2 5 2 2 2 6 5" xfId="23837"/>
    <cellStyle name="Normal 2 5 2 2 2 7" xfId="2868"/>
    <cellStyle name="Normal 2 5 2 2 2 7 2" xfId="23838"/>
    <cellStyle name="Normal 2 5 2 2 2 7 2 2" xfId="23839"/>
    <cellStyle name="Normal 2 5 2 2 2 7 2 2 2" xfId="23840"/>
    <cellStyle name="Normal 2 5 2 2 2 7 2 3" xfId="23841"/>
    <cellStyle name="Normal 2 5 2 2 2 7 3" xfId="23842"/>
    <cellStyle name="Normal 2 5 2 2 2 7 3 2" xfId="23843"/>
    <cellStyle name="Normal 2 5 2 2 2 7 4" xfId="23844"/>
    <cellStyle name="Normal 2 5 2 2 2 8" xfId="23845"/>
    <cellStyle name="Normal 2 5 2 2 2 8 2" xfId="23846"/>
    <cellStyle name="Normal 2 5 2 2 2 8 2 2" xfId="23847"/>
    <cellStyle name="Normal 2 5 2 2 2 8 3" xfId="23848"/>
    <cellStyle name="Normal 2 5 2 2 2 9" xfId="23849"/>
    <cellStyle name="Normal 2 5 2 2 2 9 2" xfId="23850"/>
    <cellStyle name="Normal 2 5 2 2 3" xfId="216"/>
    <cellStyle name="Normal 2 5 2 2 3 2" xfId="488"/>
    <cellStyle name="Normal 2 5 2 2 3 2 2" xfId="1168"/>
    <cellStyle name="Normal 2 5 2 2 3 2 2 2" xfId="2528"/>
    <cellStyle name="Normal 2 5 2 2 3 2 2 2 2" xfId="5248"/>
    <cellStyle name="Normal 2 5 2 2 3 2 2 2 2 2" xfId="23851"/>
    <cellStyle name="Normal 2 5 2 2 3 2 2 2 2 2 2" xfId="23852"/>
    <cellStyle name="Normal 2 5 2 2 3 2 2 2 2 2 2 2" xfId="23853"/>
    <cellStyle name="Normal 2 5 2 2 3 2 2 2 2 2 3" xfId="23854"/>
    <cellStyle name="Normal 2 5 2 2 3 2 2 2 2 3" xfId="23855"/>
    <cellStyle name="Normal 2 5 2 2 3 2 2 2 2 3 2" xfId="23856"/>
    <cellStyle name="Normal 2 5 2 2 3 2 2 2 2 4" xfId="23857"/>
    <cellStyle name="Normal 2 5 2 2 3 2 2 2 3" xfId="23858"/>
    <cellStyle name="Normal 2 5 2 2 3 2 2 2 3 2" xfId="23859"/>
    <cellStyle name="Normal 2 5 2 2 3 2 2 2 3 2 2" xfId="23860"/>
    <cellStyle name="Normal 2 5 2 2 3 2 2 2 3 3" xfId="23861"/>
    <cellStyle name="Normal 2 5 2 2 3 2 2 2 4" xfId="23862"/>
    <cellStyle name="Normal 2 5 2 2 3 2 2 2 4 2" xfId="23863"/>
    <cellStyle name="Normal 2 5 2 2 3 2 2 2 5" xfId="23864"/>
    <cellStyle name="Normal 2 5 2 2 3 2 2 3" xfId="3888"/>
    <cellStyle name="Normal 2 5 2 2 3 2 2 3 2" xfId="23865"/>
    <cellStyle name="Normal 2 5 2 2 3 2 2 3 2 2" xfId="23866"/>
    <cellStyle name="Normal 2 5 2 2 3 2 2 3 2 2 2" xfId="23867"/>
    <cellStyle name="Normal 2 5 2 2 3 2 2 3 2 3" xfId="23868"/>
    <cellStyle name="Normal 2 5 2 2 3 2 2 3 3" xfId="23869"/>
    <cellStyle name="Normal 2 5 2 2 3 2 2 3 3 2" xfId="23870"/>
    <cellStyle name="Normal 2 5 2 2 3 2 2 3 4" xfId="23871"/>
    <cellStyle name="Normal 2 5 2 2 3 2 2 4" xfId="23872"/>
    <cellStyle name="Normal 2 5 2 2 3 2 2 4 2" xfId="23873"/>
    <cellStyle name="Normal 2 5 2 2 3 2 2 4 2 2" xfId="23874"/>
    <cellStyle name="Normal 2 5 2 2 3 2 2 4 3" xfId="23875"/>
    <cellStyle name="Normal 2 5 2 2 3 2 2 5" xfId="23876"/>
    <cellStyle name="Normal 2 5 2 2 3 2 2 5 2" xfId="23877"/>
    <cellStyle name="Normal 2 5 2 2 3 2 2 6" xfId="23878"/>
    <cellStyle name="Normal 2 5 2 2 3 2 3" xfId="1848"/>
    <cellStyle name="Normal 2 5 2 2 3 2 3 2" xfId="4568"/>
    <cellStyle name="Normal 2 5 2 2 3 2 3 2 2" xfId="23879"/>
    <cellStyle name="Normal 2 5 2 2 3 2 3 2 2 2" xfId="23880"/>
    <cellStyle name="Normal 2 5 2 2 3 2 3 2 2 2 2" xfId="23881"/>
    <cellStyle name="Normal 2 5 2 2 3 2 3 2 2 3" xfId="23882"/>
    <cellStyle name="Normal 2 5 2 2 3 2 3 2 3" xfId="23883"/>
    <cellStyle name="Normal 2 5 2 2 3 2 3 2 3 2" xfId="23884"/>
    <cellStyle name="Normal 2 5 2 2 3 2 3 2 4" xfId="23885"/>
    <cellStyle name="Normal 2 5 2 2 3 2 3 3" xfId="23886"/>
    <cellStyle name="Normal 2 5 2 2 3 2 3 3 2" xfId="23887"/>
    <cellStyle name="Normal 2 5 2 2 3 2 3 3 2 2" xfId="23888"/>
    <cellStyle name="Normal 2 5 2 2 3 2 3 3 3" xfId="23889"/>
    <cellStyle name="Normal 2 5 2 2 3 2 3 4" xfId="23890"/>
    <cellStyle name="Normal 2 5 2 2 3 2 3 4 2" xfId="23891"/>
    <cellStyle name="Normal 2 5 2 2 3 2 3 5" xfId="23892"/>
    <cellStyle name="Normal 2 5 2 2 3 2 4" xfId="3208"/>
    <cellStyle name="Normal 2 5 2 2 3 2 4 2" xfId="23893"/>
    <cellStyle name="Normal 2 5 2 2 3 2 4 2 2" xfId="23894"/>
    <cellStyle name="Normal 2 5 2 2 3 2 4 2 2 2" xfId="23895"/>
    <cellStyle name="Normal 2 5 2 2 3 2 4 2 3" xfId="23896"/>
    <cellStyle name="Normal 2 5 2 2 3 2 4 3" xfId="23897"/>
    <cellStyle name="Normal 2 5 2 2 3 2 4 3 2" xfId="23898"/>
    <cellStyle name="Normal 2 5 2 2 3 2 4 4" xfId="23899"/>
    <cellStyle name="Normal 2 5 2 2 3 2 5" xfId="23900"/>
    <cellStyle name="Normal 2 5 2 2 3 2 5 2" xfId="23901"/>
    <cellStyle name="Normal 2 5 2 2 3 2 5 2 2" xfId="23902"/>
    <cellStyle name="Normal 2 5 2 2 3 2 5 3" xfId="23903"/>
    <cellStyle name="Normal 2 5 2 2 3 2 6" xfId="23904"/>
    <cellStyle name="Normal 2 5 2 2 3 2 6 2" xfId="23905"/>
    <cellStyle name="Normal 2 5 2 2 3 2 7" xfId="23906"/>
    <cellStyle name="Normal 2 5 2 2 3 3" xfId="896"/>
    <cellStyle name="Normal 2 5 2 2 3 3 2" xfId="2256"/>
    <cellStyle name="Normal 2 5 2 2 3 3 2 2" xfId="4976"/>
    <cellStyle name="Normal 2 5 2 2 3 3 2 2 2" xfId="23907"/>
    <cellStyle name="Normal 2 5 2 2 3 3 2 2 2 2" xfId="23908"/>
    <cellStyle name="Normal 2 5 2 2 3 3 2 2 2 2 2" xfId="23909"/>
    <cellStyle name="Normal 2 5 2 2 3 3 2 2 2 3" xfId="23910"/>
    <cellStyle name="Normal 2 5 2 2 3 3 2 2 3" xfId="23911"/>
    <cellStyle name="Normal 2 5 2 2 3 3 2 2 3 2" xfId="23912"/>
    <cellStyle name="Normal 2 5 2 2 3 3 2 2 4" xfId="23913"/>
    <cellStyle name="Normal 2 5 2 2 3 3 2 3" xfId="23914"/>
    <cellStyle name="Normal 2 5 2 2 3 3 2 3 2" xfId="23915"/>
    <cellStyle name="Normal 2 5 2 2 3 3 2 3 2 2" xfId="23916"/>
    <cellStyle name="Normal 2 5 2 2 3 3 2 3 3" xfId="23917"/>
    <cellStyle name="Normal 2 5 2 2 3 3 2 4" xfId="23918"/>
    <cellStyle name="Normal 2 5 2 2 3 3 2 4 2" xfId="23919"/>
    <cellStyle name="Normal 2 5 2 2 3 3 2 5" xfId="23920"/>
    <cellStyle name="Normal 2 5 2 2 3 3 3" xfId="3616"/>
    <cellStyle name="Normal 2 5 2 2 3 3 3 2" xfId="23921"/>
    <cellStyle name="Normal 2 5 2 2 3 3 3 2 2" xfId="23922"/>
    <cellStyle name="Normal 2 5 2 2 3 3 3 2 2 2" xfId="23923"/>
    <cellStyle name="Normal 2 5 2 2 3 3 3 2 3" xfId="23924"/>
    <cellStyle name="Normal 2 5 2 2 3 3 3 3" xfId="23925"/>
    <cellStyle name="Normal 2 5 2 2 3 3 3 3 2" xfId="23926"/>
    <cellStyle name="Normal 2 5 2 2 3 3 3 4" xfId="23927"/>
    <cellStyle name="Normal 2 5 2 2 3 3 4" xfId="23928"/>
    <cellStyle name="Normal 2 5 2 2 3 3 4 2" xfId="23929"/>
    <cellStyle name="Normal 2 5 2 2 3 3 4 2 2" xfId="23930"/>
    <cellStyle name="Normal 2 5 2 2 3 3 4 3" xfId="23931"/>
    <cellStyle name="Normal 2 5 2 2 3 3 5" xfId="23932"/>
    <cellStyle name="Normal 2 5 2 2 3 3 5 2" xfId="23933"/>
    <cellStyle name="Normal 2 5 2 2 3 3 6" xfId="23934"/>
    <cellStyle name="Normal 2 5 2 2 3 4" xfId="1576"/>
    <cellStyle name="Normal 2 5 2 2 3 4 2" xfId="4296"/>
    <cellStyle name="Normal 2 5 2 2 3 4 2 2" xfId="23935"/>
    <cellStyle name="Normal 2 5 2 2 3 4 2 2 2" xfId="23936"/>
    <cellStyle name="Normal 2 5 2 2 3 4 2 2 2 2" xfId="23937"/>
    <cellStyle name="Normal 2 5 2 2 3 4 2 2 3" xfId="23938"/>
    <cellStyle name="Normal 2 5 2 2 3 4 2 3" xfId="23939"/>
    <cellStyle name="Normal 2 5 2 2 3 4 2 3 2" xfId="23940"/>
    <cellStyle name="Normal 2 5 2 2 3 4 2 4" xfId="23941"/>
    <cellStyle name="Normal 2 5 2 2 3 4 3" xfId="23942"/>
    <cellStyle name="Normal 2 5 2 2 3 4 3 2" xfId="23943"/>
    <cellStyle name="Normal 2 5 2 2 3 4 3 2 2" xfId="23944"/>
    <cellStyle name="Normal 2 5 2 2 3 4 3 3" xfId="23945"/>
    <cellStyle name="Normal 2 5 2 2 3 4 4" xfId="23946"/>
    <cellStyle name="Normal 2 5 2 2 3 4 4 2" xfId="23947"/>
    <cellStyle name="Normal 2 5 2 2 3 4 5" xfId="23948"/>
    <cellStyle name="Normal 2 5 2 2 3 5" xfId="2936"/>
    <cellStyle name="Normal 2 5 2 2 3 5 2" xfId="23949"/>
    <cellStyle name="Normal 2 5 2 2 3 5 2 2" xfId="23950"/>
    <cellStyle name="Normal 2 5 2 2 3 5 2 2 2" xfId="23951"/>
    <cellStyle name="Normal 2 5 2 2 3 5 2 3" xfId="23952"/>
    <cellStyle name="Normal 2 5 2 2 3 5 3" xfId="23953"/>
    <cellStyle name="Normal 2 5 2 2 3 5 3 2" xfId="23954"/>
    <cellStyle name="Normal 2 5 2 2 3 5 4" xfId="23955"/>
    <cellStyle name="Normal 2 5 2 2 3 6" xfId="23956"/>
    <cellStyle name="Normal 2 5 2 2 3 6 2" xfId="23957"/>
    <cellStyle name="Normal 2 5 2 2 3 6 2 2" xfId="23958"/>
    <cellStyle name="Normal 2 5 2 2 3 6 3" xfId="23959"/>
    <cellStyle name="Normal 2 5 2 2 3 7" xfId="23960"/>
    <cellStyle name="Normal 2 5 2 2 3 7 2" xfId="23961"/>
    <cellStyle name="Normal 2 5 2 2 3 8" xfId="23962"/>
    <cellStyle name="Normal 2 5 2 2 4" xfId="352"/>
    <cellStyle name="Normal 2 5 2 2 4 2" xfId="1032"/>
    <cellStyle name="Normal 2 5 2 2 4 2 2" xfId="2392"/>
    <cellStyle name="Normal 2 5 2 2 4 2 2 2" xfId="5112"/>
    <cellStyle name="Normal 2 5 2 2 4 2 2 2 2" xfId="23963"/>
    <cellStyle name="Normal 2 5 2 2 4 2 2 2 2 2" xfId="23964"/>
    <cellStyle name="Normal 2 5 2 2 4 2 2 2 2 2 2" xfId="23965"/>
    <cellStyle name="Normal 2 5 2 2 4 2 2 2 2 3" xfId="23966"/>
    <cellStyle name="Normal 2 5 2 2 4 2 2 2 3" xfId="23967"/>
    <cellStyle name="Normal 2 5 2 2 4 2 2 2 3 2" xfId="23968"/>
    <cellStyle name="Normal 2 5 2 2 4 2 2 2 4" xfId="23969"/>
    <cellStyle name="Normal 2 5 2 2 4 2 2 3" xfId="23970"/>
    <cellStyle name="Normal 2 5 2 2 4 2 2 3 2" xfId="23971"/>
    <cellStyle name="Normal 2 5 2 2 4 2 2 3 2 2" xfId="23972"/>
    <cellStyle name="Normal 2 5 2 2 4 2 2 3 3" xfId="23973"/>
    <cellStyle name="Normal 2 5 2 2 4 2 2 4" xfId="23974"/>
    <cellStyle name="Normal 2 5 2 2 4 2 2 4 2" xfId="23975"/>
    <cellStyle name="Normal 2 5 2 2 4 2 2 5" xfId="23976"/>
    <cellStyle name="Normal 2 5 2 2 4 2 3" xfId="3752"/>
    <cellStyle name="Normal 2 5 2 2 4 2 3 2" xfId="23977"/>
    <cellStyle name="Normal 2 5 2 2 4 2 3 2 2" xfId="23978"/>
    <cellStyle name="Normal 2 5 2 2 4 2 3 2 2 2" xfId="23979"/>
    <cellStyle name="Normal 2 5 2 2 4 2 3 2 3" xfId="23980"/>
    <cellStyle name="Normal 2 5 2 2 4 2 3 3" xfId="23981"/>
    <cellStyle name="Normal 2 5 2 2 4 2 3 3 2" xfId="23982"/>
    <cellStyle name="Normal 2 5 2 2 4 2 3 4" xfId="23983"/>
    <cellStyle name="Normal 2 5 2 2 4 2 4" xfId="23984"/>
    <cellStyle name="Normal 2 5 2 2 4 2 4 2" xfId="23985"/>
    <cellStyle name="Normal 2 5 2 2 4 2 4 2 2" xfId="23986"/>
    <cellStyle name="Normal 2 5 2 2 4 2 4 3" xfId="23987"/>
    <cellStyle name="Normal 2 5 2 2 4 2 5" xfId="23988"/>
    <cellStyle name="Normal 2 5 2 2 4 2 5 2" xfId="23989"/>
    <cellStyle name="Normal 2 5 2 2 4 2 6" xfId="23990"/>
    <cellStyle name="Normal 2 5 2 2 4 3" xfId="1712"/>
    <cellStyle name="Normal 2 5 2 2 4 3 2" xfId="4432"/>
    <cellStyle name="Normal 2 5 2 2 4 3 2 2" xfId="23991"/>
    <cellStyle name="Normal 2 5 2 2 4 3 2 2 2" xfId="23992"/>
    <cellStyle name="Normal 2 5 2 2 4 3 2 2 2 2" xfId="23993"/>
    <cellStyle name="Normal 2 5 2 2 4 3 2 2 3" xfId="23994"/>
    <cellStyle name="Normal 2 5 2 2 4 3 2 3" xfId="23995"/>
    <cellStyle name="Normal 2 5 2 2 4 3 2 3 2" xfId="23996"/>
    <cellStyle name="Normal 2 5 2 2 4 3 2 4" xfId="23997"/>
    <cellStyle name="Normal 2 5 2 2 4 3 3" xfId="23998"/>
    <cellStyle name="Normal 2 5 2 2 4 3 3 2" xfId="23999"/>
    <cellStyle name="Normal 2 5 2 2 4 3 3 2 2" xfId="24000"/>
    <cellStyle name="Normal 2 5 2 2 4 3 3 3" xfId="24001"/>
    <cellStyle name="Normal 2 5 2 2 4 3 4" xfId="24002"/>
    <cellStyle name="Normal 2 5 2 2 4 3 4 2" xfId="24003"/>
    <cellStyle name="Normal 2 5 2 2 4 3 5" xfId="24004"/>
    <cellStyle name="Normal 2 5 2 2 4 4" xfId="3072"/>
    <cellStyle name="Normal 2 5 2 2 4 4 2" xfId="24005"/>
    <cellStyle name="Normal 2 5 2 2 4 4 2 2" xfId="24006"/>
    <cellStyle name="Normal 2 5 2 2 4 4 2 2 2" xfId="24007"/>
    <cellStyle name="Normal 2 5 2 2 4 4 2 3" xfId="24008"/>
    <cellStyle name="Normal 2 5 2 2 4 4 3" xfId="24009"/>
    <cellStyle name="Normal 2 5 2 2 4 4 3 2" xfId="24010"/>
    <cellStyle name="Normal 2 5 2 2 4 4 4" xfId="24011"/>
    <cellStyle name="Normal 2 5 2 2 4 5" xfId="24012"/>
    <cellStyle name="Normal 2 5 2 2 4 5 2" xfId="24013"/>
    <cellStyle name="Normal 2 5 2 2 4 5 2 2" xfId="24014"/>
    <cellStyle name="Normal 2 5 2 2 4 5 3" xfId="24015"/>
    <cellStyle name="Normal 2 5 2 2 4 6" xfId="24016"/>
    <cellStyle name="Normal 2 5 2 2 4 6 2" xfId="24017"/>
    <cellStyle name="Normal 2 5 2 2 4 7" xfId="24018"/>
    <cellStyle name="Normal 2 5 2 2 5" xfId="624"/>
    <cellStyle name="Normal 2 5 2 2 5 2" xfId="1304"/>
    <cellStyle name="Normal 2 5 2 2 5 2 2" xfId="2664"/>
    <cellStyle name="Normal 2 5 2 2 5 2 2 2" xfId="5384"/>
    <cellStyle name="Normal 2 5 2 2 5 2 2 2 2" xfId="24019"/>
    <cellStyle name="Normal 2 5 2 2 5 2 2 2 2 2" xfId="24020"/>
    <cellStyle name="Normal 2 5 2 2 5 2 2 2 2 2 2" xfId="24021"/>
    <cellStyle name="Normal 2 5 2 2 5 2 2 2 2 3" xfId="24022"/>
    <cellStyle name="Normal 2 5 2 2 5 2 2 2 3" xfId="24023"/>
    <cellStyle name="Normal 2 5 2 2 5 2 2 2 3 2" xfId="24024"/>
    <cellStyle name="Normal 2 5 2 2 5 2 2 2 4" xfId="24025"/>
    <cellStyle name="Normal 2 5 2 2 5 2 2 3" xfId="24026"/>
    <cellStyle name="Normal 2 5 2 2 5 2 2 3 2" xfId="24027"/>
    <cellStyle name="Normal 2 5 2 2 5 2 2 3 2 2" xfId="24028"/>
    <cellStyle name="Normal 2 5 2 2 5 2 2 3 3" xfId="24029"/>
    <cellStyle name="Normal 2 5 2 2 5 2 2 4" xfId="24030"/>
    <cellStyle name="Normal 2 5 2 2 5 2 2 4 2" xfId="24031"/>
    <cellStyle name="Normal 2 5 2 2 5 2 2 5" xfId="24032"/>
    <cellStyle name="Normal 2 5 2 2 5 2 3" xfId="4024"/>
    <cellStyle name="Normal 2 5 2 2 5 2 3 2" xfId="24033"/>
    <cellStyle name="Normal 2 5 2 2 5 2 3 2 2" xfId="24034"/>
    <cellStyle name="Normal 2 5 2 2 5 2 3 2 2 2" xfId="24035"/>
    <cellStyle name="Normal 2 5 2 2 5 2 3 2 3" xfId="24036"/>
    <cellStyle name="Normal 2 5 2 2 5 2 3 3" xfId="24037"/>
    <cellStyle name="Normal 2 5 2 2 5 2 3 3 2" xfId="24038"/>
    <cellStyle name="Normal 2 5 2 2 5 2 3 4" xfId="24039"/>
    <cellStyle name="Normal 2 5 2 2 5 2 4" xfId="24040"/>
    <cellStyle name="Normal 2 5 2 2 5 2 4 2" xfId="24041"/>
    <cellStyle name="Normal 2 5 2 2 5 2 4 2 2" xfId="24042"/>
    <cellStyle name="Normal 2 5 2 2 5 2 4 3" xfId="24043"/>
    <cellStyle name="Normal 2 5 2 2 5 2 5" xfId="24044"/>
    <cellStyle name="Normal 2 5 2 2 5 2 5 2" xfId="24045"/>
    <cellStyle name="Normal 2 5 2 2 5 2 6" xfId="24046"/>
    <cellStyle name="Normal 2 5 2 2 5 3" xfId="1984"/>
    <cellStyle name="Normal 2 5 2 2 5 3 2" xfId="4704"/>
    <cellStyle name="Normal 2 5 2 2 5 3 2 2" xfId="24047"/>
    <cellStyle name="Normal 2 5 2 2 5 3 2 2 2" xfId="24048"/>
    <cellStyle name="Normal 2 5 2 2 5 3 2 2 2 2" xfId="24049"/>
    <cellStyle name="Normal 2 5 2 2 5 3 2 2 3" xfId="24050"/>
    <cellStyle name="Normal 2 5 2 2 5 3 2 3" xfId="24051"/>
    <cellStyle name="Normal 2 5 2 2 5 3 2 3 2" xfId="24052"/>
    <cellStyle name="Normal 2 5 2 2 5 3 2 4" xfId="24053"/>
    <cellStyle name="Normal 2 5 2 2 5 3 3" xfId="24054"/>
    <cellStyle name="Normal 2 5 2 2 5 3 3 2" xfId="24055"/>
    <cellStyle name="Normal 2 5 2 2 5 3 3 2 2" xfId="24056"/>
    <cellStyle name="Normal 2 5 2 2 5 3 3 3" xfId="24057"/>
    <cellStyle name="Normal 2 5 2 2 5 3 4" xfId="24058"/>
    <cellStyle name="Normal 2 5 2 2 5 3 4 2" xfId="24059"/>
    <cellStyle name="Normal 2 5 2 2 5 3 5" xfId="24060"/>
    <cellStyle name="Normal 2 5 2 2 5 4" xfId="3344"/>
    <cellStyle name="Normal 2 5 2 2 5 4 2" xfId="24061"/>
    <cellStyle name="Normal 2 5 2 2 5 4 2 2" xfId="24062"/>
    <cellStyle name="Normal 2 5 2 2 5 4 2 2 2" xfId="24063"/>
    <cellStyle name="Normal 2 5 2 2 5 4 2 3" xfId="24064"/>
    <cellStyle name="Normal 2 5 2 2 5 4 3" xfId="24065"/>
    <cellStyle name="Normal 2 5 2 2 5 4 3 2" xfId="24066"/>
    <cellStyle name="Normal 2 5 2 2 5 4 4" xfId="24067"/>
    <cellStyle name="Normal 2 5 2 2 5 5" xfId="24068"/>
    <cellStyle name="Normal 2 5 2 2 5 5 2" xfId="24069"/>
    <cellStyle name="Normal 2 5 2 2 5 5 2 2" xfId="24070"/>
    <cellStyle name="Normal 2 5 2 2 5 5 3" xfId="24071"/>
    <cellStyle name="Normal 2 5 2 2 5 6" xfId="24072"/>
    <cellStyle name="Normal 2 5 2 2 5 6 2" xfId="24073"/>
    <cellStyle name="Normal 2 5 2 2 5 7" xfId="24074"/>
    <cellStyle name="Normal 2 5 2 2 6" xfId="760"/>
    <cellStyle name="Normal 2 5 2 2 6 2" xfId="2120"/>
    <cellStyle name="Normal 2 5 2 2 6 2 2" xfId="4840"/>
    <cellStyle name="Normal 2 5 2 2 6 2 2 2" xfId="24075"/>
    <cellStyle name="Normal 2 5 2 2 6 2 2 2 2" xfId="24076"/>
    <cellStyle name="Normal 2 5 2 2 6 2 2 2 2 2" xfId="24077"/>
    <cellStyle name="Normal 2 5 2 2 6 2 2 2 3" xfId="24078"/>
    <cellStyle name="Normal 2 5 2 2 6 2 2 3" xfId="24079"/>
    <cellStyle name="Normal 2 5 2 2 6 2 2 3 2" xfId="24080"/>
    <cellStyle name="Normal 2 5 2 2 6 2 2 4" xfId="24081"/>
    <cellStyle name="Normal 2 5 2 2 6 2 3" xfId="24082"/>
    <cellStyle name="Normal 2 5 2 2 6 2 3 2" xfId="24083"/>
    <cellStyle name="Normal 2 5 2 2 6 2 3 2 2" xfId="24084"/>
    <cellStyle name="Normal 2 5 2 2 6 2 3 3" xfId="24085"/>
    <cellStyle name="Normal 2 5 2 2 6 2 4" xfId="24086"/>
    <cellStyle name="Normal 2 5 2 2 6 2 4 2" xfId="24087"/>
    <cellStyle name="Normal 2 5 2 2 6 2 5" xfId="24088"/>
    <cellStyle name="Normal 2 5 2 2 6 3" xfId="3480"/>
    <cellStyle name="Normal 2 5 2 2 6 3 2" xfId="24089"/>
    <cellStyle name="Normal 2 5 2 2 6 3 2 2" xfId="24090"/>
    <cellStyle name="Normal 2 5 2 2 6 3 2 2 2" xfId="24091"/>
    <cellStyle name="Normal 2 5 2 2 6 3 2 3" xfId="24092"/>
    <cellStyle name="Normal 2 5 2 2 6 3 3" xfId="24093"/>
    <cellStyle name="Normal 2 5 2 2 6 3 3 2" xfId="24094"/>
    <cellStyle name="Normal 2 5 2 2 6 3 4" xfId="24095"/>
    <cellStyle name="Normal 2 5 2 2 6 4" xfId="24096"/>
    <cellStyle name="Normal 2 5 2 2 6 4 2" xfId="24097"/>
    <cellStyle name="Normal 2 5 2 2 6 4 2 2" xfId="24098"/>
    <cellStyle name="Normal 2 5 2 2 6 4 3" xfId="24099"/>
    <cellStyle name="Normal 2 5 2 2 6 5" xfId="24100"/>
    <cellStyle name="Normal 2 5 2 2 6 5 2" xfId="24101"/>
    <cellStyle name="Normal 2 5 2 2 6 6" xfId="24102"/>
    <cellStyle name="Normal 2 5 2 2 7" xfId="1440"/>
    <cellStyle name="Normal 2 5 2 2 7 2" xfId="4160"/>
    <cellStyle name="Normal 2 5 2 2 7 2 2" xfId="24103"/>
    <cellStyle name="Normal 2 5 2 2 7 2 2 2" xfId="24104"/>
    <cellStyle name="Normal 2 5 2 2 7 2 2 2 2" xfId="24105"/>
    <cellStyle name="Normal 2 5 2 2 7 2 2 3" xfId="24106"/>
    <cellStyle name="Normal 2 5 2 2 7 2 3" xfId="24107"/>
    <cellStyle name="Normal 2 5 2 2 7 2 3 2" xfId="24108"/>
    <cellStyle name="Normal 2 5 2 2 7 2 4" xfId="24109"/>
    <cellStyle name="Normal 2 5 2 2 7 3" xfId="24110"/>
    <cellStyle name="Normal 2 5 2 2 7 3 2" xfId="24111"/>
    <cellStyle name="Normal 2 5 2 2 7 3 2 2" xfId="24112"/>
    <cellStyle name="Normal 2 5 2 2 7 3 3" xfId="24113"/>
    <cellStyle name="Normal 2 5 2 2 7 4" xfId="24114"/>
    <cellStyle name="Normal 2 5 2 2 7 4 2" xfId="24115"/>
    <cellStyle name="Normal 2 5 2 2 7 5" xfId="24116"/>
    <cellStyle name="Normal 2 5 2 2 8" xfId="2800"/>
    <cellStyle name="Normal 2 5 2 2 8 2" xfId="24117"/>
    <cellStyle name="Normal 2 5 2 2 8 2 2" xfId="24118"/>
    <cellStyle name="Normal 2 5 2 2 8 2 2 2" xfId="24119"/>
    <cellStyle name="Normal 2 5 2 2 8 2 3" xfId="24120"/>
    <cellStyle name="Normal 2 5 2 2 8 3" xfId="24121"/>
    <cellStyle name="Normal 2 5 2 2 8 3 2" xfId="24122"/>
    <cellStyle name="Normal 2 5 2 2 8 4" xfId="24123"/>
    <cellStyle name="Normal 2 5 2 2 9" xfId="24124"/>
    <cellStyle name="Normal 2 5 2 2 9 2" xfId="24125"/>
    <cellStyle name="Normal 2 5 2 2 9 2 2" xfId="24126"/>
    <cellStyle name="Normal 2 5 2 2 9 3" xfId="24127"/>
    <cellStyle name="Normal 2 5 2 3" xfId="113"/>
    <cellStyle name="Normal 2 5 2 3 10" xfId="24128"/>
    <cellStyle name="Normal 2 5 2 3 2" xfId="250"/>
    <cellStyle name="Normal 2 5 2 3 2 2" xfId="522"/>
    <cellStyle name="Normal 2 5 2 3 2 2 2" xfId="1202"/>
    <cellStyle name="Normal 2 5 2 3 2 2 2 2" xfId="2562"/>
    <cellStyle name="Normal 2 5 2 3 2 2 2 2 2" xfId="5282"/>
    <cellStyle name="Normal 2 5 2 3 2 2 2 2 2 2" xfId="24129"/>
    <cellStyle name="Normal 2 5 2 3 2 2 2 2 2 2 2" xfId="24130"/>
    <cellStyle name="Normal 2 5 2 3 2 2 2 2 2 2 2 2" xfId="24131"/>
    <cellStyle name="Normal 2 5 2 3 2 2 2 2 2 2 3" xfId="24132"/>
    <cellStyle name="Normal 2 5 2 3 2 2 2 2 2 3" xfId="24133"/>
    <cellStyle name="Normal 2 5 2 3 2 2 2 2 2 3 2" xfId="24134"/>
    <cellStyle name="Normal 2 5 2 3 2 2 2 2 2 4" xfId="24135"/>
    <cellStyle name="Normal 2 5 2 3 2 2 2 2 3" xfId="24136"/>
    <cellStyle name="Normal 2 5 2 3 2 2 2 2 3 2" xfId="24137"/>
    <cellStyle name="Normal 2 5 2 3 2 2 2 2 3 2 2" xfId="24138"/>
    <cellStyle name="Normal 2 5 2 3 2 2 2 2 3 3" xfId="24139"/>
    <cellStyle name="Normal 2 5 2 3 2 2 2 2 4" xfId="24140"/>
    <cellStyle name="Normal 2 5 2 3 2 2 2 2 4 2" xfId="24141"/>
    <cellStyle name="Normal 2 5 2 3 2 2 2 2 5" xfId="24142"/>
    <cellStyle name="Normal 2 5 2 3 2 2 2 3" xfId="3922"/>
    <cellStyle name="Normal 2 5 2 3 2 2 2 3 2" xfId="24143"/>
    <cellStyle name="Normal 2 5 2 3 2 2 2 3 2 2" xfId="24144"/>
    <cellStyle name="Normal 2 5 2 3 2 2 2 3 2 2 2" xfId="24145"/>
    <cellStyle name="Normal 2 5 2 3 2 2 2 3 2 3" xfId="24146"/>
    <cellStyle name="Normal 2 5 2 3 2 2 2 3 3" xfId="24147"/>
    <cellStyle name="Normal 2 5 2 3 2 2 2 3 3 2" xfId="24148"/>
    <cellStyle name="Normal 2 5 2 3 2 2 2 3 4" xfId="24149"/>
    <cellStyle name="Normal 2 5 2 3 2 2 2 4" xfId="24150"/>
    <cellStyle name="Normal 2 5 2 3 2 2 2 4 2" xfId="24151"/>
    <cellStyle name="Normal 2 5 2 3 2 2 2 4 2 2" xfId="24152"/>
    <cellStyle name="Normal 2 5 2 3 2 2 2 4 3" xfId="24153"/>
    <cellStyle name="Normal 2 5 2 3 2 2 2 5" xfId="24154"/>
    <cellStyle name="Normal 2 5 2 3 2 2 2 5 2" xfId="24155"/>
    <cellStyle name="Normal 2 5 2 3 2 2 2 6" xfId="24156"/>
    <cellStyle name="Normal 2 5 2 3 2 2 3" xfId="1882"/>
    <cellStyle name="Normal 2 5 2 3 2 2 3 2" xfId="4602"/>
    <cellStyle name="Normal 2 5 2 3 2 2 3 2 2" xfId="24157"/>
    <cellStyle name="Normal 2 5 2 3 2 2 3 2 2 2" xfId="24158"/>
    <cellStyle name="Normal 2 5 2 3 2 2 3 2 2 2 2" xfId="24159"/>
    <cellStyle name="Normal 2 5 2 3 2 2 3 2 2 3" xfId="24160"/>
    <cellStyle name="Normal 2 5 2 3 2 2 3 2 3" xfId="24161"/>
    <cellStyle name="Normal 2 5 2 3 2 2 3 2 3 2" xfId="24162"/>
    <cellStyle name="Normal 2 5 2 3 2 2 3 2 4" xfId="24163"/>
    <cellStyle name="Normal 2 5 2 3 2 2 3 3" xfId="24164"/>
    <cellStyle name="Normal 2 5 2 3 2 2 3 3 2" xfId="24165"/>
    <cellStyle name="Normal 2 5 2 3 2 2 3 3 2 2" xfId="24166"/>
    <cellStyle name="Normal 2 5 2 3 2 2 3 3 3" xfId="24167"/>
    <cellStyle name="Normal 2 5 2 3 2 2 3 4" xfId="24168"/>
    <cellStyle name="Normal 2 5 2 3 2 2 3 4 2" xfId="24169"/>
    <cellStyle name="Normal 2 5 2 3 2 2 3 5" xfId="24170"/>
    <cellStyle name="Normal 2 5 2 3 2 2 4" xfId="3242"/>
    <cellStyle name="Normal 2 5 2 3 2 2 4 2" xfId="24171"/>
    <cellStyle name="Normal 2 5 2 3 2 2 4 2 2" xfId="24172"/>
    <cellStyle name="Normal 2 5 2 3 2 2 4 2 2 2" xfId="24173"/>
    <cellStyle name="Normal 2 5 2 3 2 2 4 2 3" xfId="24174"/>
    <cellStyle name="Normal 2 5 2 3 2 2 4 3" xfId="24175"/>
    <cellStyle name="Normal 2 5 2 3 2 2 4 3 2" xfId="24176"/>
    <cellStyle name="Normal 2 5 2 3 2 2 4 4" xfId="24177"/>
    <cellStyle name="Normal 2 5 2 3 2 2 5" xfId="24178"/>
    <cellStyle name="Normal 2 5 2 3 2 2 5 2" xfId="24179"/>
    <cellStyle name="Normal 2 5 2 3 2 2 5 2 2" xfId="24180"/>
    <cellStyle name="Normal 2 5 2 3 2 2 5 3" xfId="24181"/>
    <cellStyle name="Normal 2 5 2 3 2 2 6" xfId="24182"/>
    <cellStyle name="Normal 2 5 2 3 2 2 6 2" xfId="24183"/>
    <cellStyle name="Normal 2 5 2 3 2 2 7" xfId="24184"/>
    <cellStyle name="Normal 2 5 2 3 2 3" xfId="930"/>
    <cellStyle name="Normal 2 5 2 3 2 3 2" xfId="2290"/>
    <cellStyle name="Normal 2 5 2 3 2 3 2 2" xfId="5010"/>
    <cellStyle name="Normal 2 5 2 3 2 3 2 2 2" xfId="24185"/>
    <cellStyle name="Normal 2 5 2 3 2 3 2 2 2 2" xfId="24186"/>
    <cellStyle name="Normal 2 5 2 3 2 3 2 2 2 2 2" xfId="24187"/>
    <cellStyle name="Normal 2 5 2 3 2 3 2 2 2 3" xfId="24188"/>
    <cellStyle name="Normal 2 5 2 3 2 3 2 2 3" xfId="24189"/>
    <cellStyle name="Normal 2 5 2 3 2 3 2 2 3 2" xfId="24190"/>
    <cellStyle name="Normal 2 5 2 3 2 3 2 2 4" xfId="24191"/>
    <cellStyle name="Normal 2 5 2 3 2 3 2 3" xfId="24192"/>
    <cellStyle name="Normal 2 5 2 3 2 3 2 3 2" xfId="24193"/>
    <cellStyle name="Normal 2 5 2 3 2 3 2 3 2 2" xfId="24194"/>
    <cellStyle name="Normal 2 5 2 3 2 3 2 3 3" xfId="24195"/>
    <cellStyle name="Normal 2 5 2 3 2 3 2 4" xfId="24196"/>
    <cellStyle name="Normal 2 5 2 3 2 3 2 4 2" xfId="24197"/>
    <cellStyle name="Normal 2 5 2 3 2 3 2 5" xfId="24198"/>
    <cellStyle name="Normal 2 5 2 3 2 3 3" xfId="3650"/>
    <cellStyle name="Normal 2 5 2 3 2 3 3 2" xfId="24199"/>
    <cellStyle name="Normal 2 5 2 3 2 3 3 2 2" xfId="24200"/>
    <cellStyle name="Normal 2 5 2 3 2 3 3 2 2 2" xfId="24201"/>
    <cellStyle name="Normal 2 5 2 3 2 3 3 2 3" xfId="24202"/>
    <cellStyle name="Normal 2 5 2 3 2 3 3 3" xfId="24203"/>
    <cellStyle name="Normal 2 5 2 3 2 3 3 3 2" xfId="24204"/>
    <cellStyle name="Normal 2 5 2 3 2 3 3 4" xfId="24205"/>
    <cellStyle name="Normal 2 5 2 3 2 3 4" xfId="24206"/>
    <cellStyle name="Normal 2 5 2 3 2 3 4 2" xfId="24207"/>
    <cellStyle name="Normal 2 5 2 3 2 3 4 2 2" xfId="24208"/>
    <cellStyle name="Normal 2 5 2 3 2 3 4 3" xfId="24209"/>
    <cellStyle name="Normal 2 5 2 3 2 3 5" xfId="24210"/>
    <cellStyle name="Normal 2 5 2 3 2 3 5 2" xfId="24211"/>
    <cellStyle name="Normal 2 5 2 3 2 3 6" xfId="24212"/>
    <cellStyle name="Normal 2 5 2 3 2 4" xfId="1610"/>
    <cellStyle name="Normal 2 5 2 3 2 4 2" xfId="4330"/>
    <cellStyle name="Normal 2 5 2 3 2 4 2 2" xfId="24213"/>
    <cellStyle name="Normal 2 5 2 3 2 4 2 2 2" xfId="24214"/>
    <cellStyle name="Normal 2 5 2 3 2 4 2 2 2 2" xfId="24215"/>
    <cellStyle name="Normal 2 5 2 3 2 4 2 2 3" xfId="24216"/>
    <cellStyle name="Normal 2 5 2 3 2 4 2 3" xfId="24217"/>
    <cellStyle name="Normal 2 5 2 3 2 4 2 3 2" xfId="24218"/>
    <cellStyle name="Normal 2 5 2 3 2 4 2 4" xfId="24219"/>
    <cellStyle name="Normal 2 5 2 3 2 4 3" xfId="24220"/>
    <cellStyle name="Normal 2 5 2 3 2 4 3 2" xfId="24221"/>
    <cellStyle name="Normal 2 5 2 3 2 4 3 2 2" xfId="24222"/>
    <cellStyle name="Normal 2 5 2 3 2 4 3 3" xfId="24223"/>
    <cellStyle name="Normal 2 5 2 3 2 4 4" xfId="24224"/>
    <cellStyle name="Normal 2 5 2 3 2 4 4 2" xfId="24225"/>
    <cellStyle name="Normal 2 5 2 3 2 4 5" xfId="24226"/>
    <cellStyle name="Normal 2 5 2 3 2 5" xfId="2970"/>
    <cellStyle name="Normal 2 5 2 3 2 5 2" xfId="24227"/>
    <cellStyle name="Normal 2 5 2 3 2 5 2 2" xfId="24228"/>
    <cellStyle name="Normal 2 5 2 3 2 5 2 2 2" xfId="24229"/>
    <cellStyle name="Normal 2 5 2 3 2 5 2 3" xfId="24230"/>
    <cellStyle name="Normal 2 5 2 3 2 5 3" xfId="24231"/>
    <cellStyle name="Normal 2 5 2 3 2 5 3 2" xfId="24232"/>
    <cellStyle name="Normal 2 5 2 3 2 5 4" xfId="24233"/>
    <cellStyle name="Normal 2 5 2 3 2 6" xfId="24234"/>
    <cellStyle name="Normal 2 5 2 3 2 6 2" xfId="24235"/>
    <cellStyle name="Normal 2 5 2 3 2 6 2 2" xfId="24236"/>
    <cellStyle name="Normal 2 5 2 3 2 6 3" xfId="24237"/>
    <cellStyle name="Normal 2 5 2 3 2 7" xfId="24238"/>
    <cellStyle name="Normal 2 5 2 3 2 7 2" xfId="24239"/>
    <cellStyle name="Normal 2 5 2 3 2 8" xfId="24240"/>
    <cellStyle name="Normal 2 5 2 3 3" xfId="386"/>
    <cellStyle name="Normal 2 5 2 3 3 2" xfId="1066"/>
    <cellStyle name="Normal 2 5 2 3 3 2 2" xfId="2426"/>
    <cellStyle name="Normal 2 5 2 3 3 2 2 2" xfId="5146"/>
    <cellStyle name="Normal 2 5 2 3 3 2 2 2 2" xfId="24241"/>
    <cellStyle name="Normal 2 5 2 3 3 2 2 2 2 2" xfId="24242"/>
    <cellStyle name="Normal 2 5 2 3 3 2 2 2 2 2 2" xfId="24243"/>
    <cellStyle name="Normal 2 5 2 3 3 2 2 2 2 3" xfId="24244"/>
    <cellStyle name="Normal 2 5 2 3 3 2 2 2 3" xfId="24245"/>
    <cellStyle name="Normal 2 5 2 3 3 2 2 2 3 2" xfId="24246"/>
    <cellStyle name="Normal 2 5 2 3 3 2 2 2 4" xfId="24247"/>
    <cellStyle name="Normal 2 5 2 3 3 2 2 3" xfId="24248"/>
    <cellStyle name="Normal 2 5 2 3 3 2 2 3 2" xfId="24249"/>
    <cellStyle name="Normal 2 5 2 3 3 2 2 3 2 2" xfId="24250"/>
    <cellStyle name="Normal 2 5 2 3 3 2 2 3 3" xfId="24251"/>
    <cellStyle name="Normal 2 5 2 3 3 2 2 4" xfId="24252"/>
    <cellStyle name="Normal 2 5 2 3 3 2 2 4 2" xfId="24253"/>
    <cellStyle name="Normal 2 5 2 3 3 2 2 5" xfId="24254"/>
    <cellStyle name="Normal 2 5 2 3 3 2 3" xfId="3786"/>
    <cellStyle name="Normal 2 5 2 3 3 2 3 2" xfId="24255"/>
    <cellStyle name="Normal 2 5 2 3 3 2 3 2 2" xfId="24256"/>
    <cellStyle name="Normal 2 5 2 3 3 2 3 2 2 2" xfId="24257"/>
    <cellStyle name="Normal 2 5 2 3 3 2 3 2 3" xfId="24258"/>
    <cellStyle name="Normal 2 5 2 3 3 2 3 3" xfId="24259"/>
    <cellStyle name="Normal 2 5 2 3 3 2 3 3 2" xfId="24260"/>
    <cellStyle name="Normal 2 5 2 3 3 2 3 4" xfId="24261"/>
    <cellStyle name="Normal 2 5 2 3 3 2 4" xfId="24262"/>
    <cellStyle name="Normal 2 5 2 3 3 2 4 2" xfId="24263"/>
    <cellStyle name="Normal 2 5 2 3 3 2 4 2 2" xfId="24264"/>
    <cellStyle name="Normal 2 5 2 3 3 2 4 3" xfId="24265"/>
    <cellStyle name="Normal 2 5 2 3 3 2 5" xfId="24266"/>
    <cellStyle name="Normal 2 5 2 3 3 2 5 2" xfId="24267"/>
    <cellStyle name="Normal 2 5 2 3 3 2 6" xfId="24268"/>
    <cellStyle name="Normal 2 5 2 3 3 3" xfId="1746"/>
    <cellStyle name="Normal 2 5 2 3 3 3 2" xfId="4466"/>
    <cellStyle name="Normal 2 5 2 3 3 3 2 2" xfId="24269"/>
    <cellStyle name="Normal 2 5 2 3 3 3 2 2 2" xfId="24270"/>
    <cellStyle name="Normal 2 5 2 3 3 3 2 2 2 2" xfId="24271"/>
    <cellStyle name="Normal 2 5 2 3 3 3 2 2 3" xfId="24272"/>
    <cellStyle name="Normal 2 5 2 3 3 3 2 3" xfId="24273"/>
    <cellStyle name="Normal 2 5 2 3 3 3 2 3 2" xfId="24274"/>
    <cellStyle name="Normal 2 5 2 3 3 3 2 4" xfId="24275"/>
    <cellStyle name="Normal 2 5 2 3 3 3 3" xfId="24276"/>
    <cellStyle name="Normal 2 5 2 3 3 3 3 2" xfId="24277"/>
    <cellStyle name="Normal 2 5 2 3 3 3 3 2 2" xfId="24278"/>
    <cellStyle name="Normal 2 5 2 3 3 3 3 3" xfId="24279"/>
    <cellStyle name="Normal 2 5 2 3 3 3 4" xfId="24280"/>
    <cellStyle name="Normal 2 5 2 3 3 3 4 2" xfId="24281"/>
    <cellStyle name="Normal 2 5 2 3 3 3 5" xfId="24282"/>
    <cellStyle name="Normal 2 5 2 3 3 4" xfId="3106"/>
    <cellStyle name="Normal 2 5 2 3 3 4 2" xfId="24283"/>
    <cellStyle name="Normal 2 5 2 3 3 4 2 2" xfId="24284"/>
    <cellStyle name="Normal 2 5 2 3 3 4 2 2 2" xfId="24285"/>
    <cellStyle name="Normal 2 5 2 3 3 4 2 3" xfId="24286"/>
    <cellStyle name="Normal 2 5 2 3 3 4 3" xfId="24287"/>
    <cellStyle name="Normal 2 5 2 3 3 4 3 2" xfId="24288"/>
    <cellStyle name="Normal 2 5 2 3 3 4 4" xfId="24289"/>
    <cellStyle name="Normal 2 5 2 3 3 5" xfId="24290"/>
    <cellStyle name="Normal 2 5 2 3 3 5 2" xfId="24291"/>
    <cellStyle name="Normal 2 5 2 3 3 5 2 2" xfId="24292"/>
    <cellStyle name="Normal 2 5 2 3 3 5 3" xfId="24293"/>
    <cellStyle name="Normal 2 5 2 3 3 6" xfId="24294"/>
    <cellStyle name="Normal 2 5 2 3 3 6 2" xfId="24295"/>
    <cellStyle name="Normal 2 5 2 3 3 7" xfId="24296"/>
    <cellStyle name="Normal 2 5 2 3 4" xfId="658"/>
    <cellStyle name="Normal 2 5 2 3 4 2" xfId="1338"/>
    <cellStyle name="Normal 2 5 2 3 4 2 2" xfId="2698"/>
    <cellStyle name="Normal 2 5 2 3 4 2 2 2" xfId="5418"/>
    <cellStyle name="Normal 2 5 2 3 4 2 2 2 2" xfId="24297"/>
    <cellStyle name="Normal 2 5 2 3 4 2 2 2 2 2" xfId="24298"/>
    <cellStyle name="Normal 2 5 2 3 4 2 2 2 2 2 2" xfId="24299"/>
    <cellStyle name="Normal 2 5 2 3 4 2 2 2 2 3" xfId="24300"/>
    <cellStyle name="Normal 2 5 2 3 4 2 2 2 3" xfId="24301"/>
    <cellStyle name="Normal 2 5 2 3 4 2 2 2 3 2" xfId="24302"/>
    <cellStyle name="Normal 2 5 2 3 4 2 2 2 4" xfId="24303"/>
    <cellStyle name="Normal 2 5 2 3 4 2 2 3" xfId="24304"/>
    <cellStyle name="Normal 2 5 2 3 4 2 2 3 2" xfId="24305"/>
    <cellStyle name="Normal 2 5 2 3 4 2 2 3 2 2" xfId="24306"/>
    <cellStyle name="Normal 2 5 2 3 4 2 2 3 3" xfId="24307"/>
    <cellStyle name="Normal 2 5 2 3 4 2 2 4" xfId="24308"/>
    <cellStyle name="Normal 2 5 2 3 4 2 2 4 2" xfId="24309"/>
    <cellStyle name="Normal 2 5 2 3 4 2 2 5" xfId="24310"/>
    <cellStyle name="Normal 2 5 2 3 4 2 3" xfId="4058"/>
    <cellStyle name="Normal 2 5 2 3 4 2 3 2" xfId="24311"/>
    <cellStyle name="Normal 2 5 2 3 4 2 3 2 2" xfId="24312"/>
    <cellStyle name="Normal 2 5 2 3 4 2 3 2 2 2" xfId="24313"/>
    <cellStyle name="Normal 2 5 2 3 4 2 3 2 3" xfId="24314"/>
    <cellStyle name="Normal 2 5 2 3 4 2 3 3" xfId="24315"/>
    <cellStyle name="Normal 2 5 2 3 4 2 3 3 2" xfId="24316"/>
    <cellStyle name="Normal 2 5 2 3 4 2 3 4" xfId="24317"/>
    <cellStyle name="Normal 2 5 2 3 4 2 4" xfId="24318"/>
    <cellStyle name="Normal 2 5 2 3 4 2 4 2" xfId="24319"/>
    <cellStyle name="Normal 2 5 2 3 4 2 4 2 2" xfId="24320"/>
    <cellStyle name="Normal 2 5 2 3 4 2 4 3" xfId="24321"/>
    <cellStyle name="Normal 2 5 2 3 4 2 5" xfId="24322"/>
    <cellStyle name="Normal 2 5 2 3 4 2 5 2" xfId="24323"/>
    <cellStyle name="Normal 2 5 2 3 4 2 6" xfId="24324"/>
    <cellStyle name="Normal 2 5 2 3 4 3" xfId="2018"/>
    <cellStyle name="Normal 2 5 2 3 4 3 2" xfId="4738"/>
    <cellStyle name="Normal 2 5 2 3 4 3 2 2" xfId="24325"/>
    <cellStyle name="Normal 2 5 2 3 4 3 2 2 2" xfId="24326"/>
    <cellStyle name="Normal 2 5 2 3 4 3 2 2 2 2" xfId="24327"/>
    <cellStyle name="Normal 2 5 2 3 4 3 2 2 3" xfId="24328"/>
    <cellStyle name="Normal 2 5 2 3 4 3 2 3" xfId="24329"/>
    <cellStyle name="Normal 2 5 2 3 4 3 2 3 2" xfId="24330"/>
    <cellStyle name="Normal 2 5 2 3 4 3 2 4" xfId="24331"/>
    <cellStyle name="Normal 2 5 2 3 4 3 3" xfId="24332"/>
    <cellStyle name="Normal 2 5 2 3 4 3 3 2" xfId="24333"/>
    <cellStyle name="Normal 2 5 2 3 4 3 3 2 2" xfId="24334"/>
    <cellStyle name="Normal 2 5 2 3 4 3 3 3" xfId="24335"/>
    <cellStyle name="Normal 2 5 2 3 4 3 4" xfId="24336"/>
    <cellStyle name="Normal 2 5 2 3 4 3 4 2" xfId="24337"/>
    <cellStyle name="Normal 2 5 2 3 4 3 5" xfId="24338"/>
    <cellStyle name="Normal 2 5 2 3 4 4" xfId="3378"/>
    <cellStyle name="Normal 2 5 2 3 4 4 2" xfId="24339"/>
    <cellStyle name="Normal 2 5 2 3 4 4 2 2" xfId="24340"/>
    <cellStyle name="Normal 2 5 2 3 4 4 2 2 2" xfId="24341"/>
    <cellStyle name="Normal 2 5 2 3 4 4 2 3" xfId="24342"/>
    <cellStyle name="Normal 2 5 2 3 4 4 3" xfId="24343"/>
    <cellStyle name="Normal 2 5 2 3 4 4 3 2" xfId="24344"/>
    <cellStyle name="Normal 2 5 2 3 4 4 4" xfId="24345"/>
    <cellStyle name="Normal 2 5 2 3 4 5" xfId="24346"/>
    <cellStyle name="Normal 2 5 2 3 4 5 2" xfId="24347"/>
    <cellStyle name="Normal 2 5 2 3 4 5 2 2" xfId="24348"/>
    <cellStyle name="Normal 2 5 2 3 4 5 3" xfId="24349"/>
    <cellStyle name="Normal 2 5 2 3 4 6" xfId="24350"/>
    <cellStyle name="Normal 2 5 2 3 4 6 2" xfId="24351"/>
    <cellStyle name="Normal 2 5 2 3 4 7" xfId="24352"/>
    <cellStyle name="Normal 2 5 2 3 5" xfId="794"/>
    <cellStyle name="Normal 2 5 2 3 5 2" xfId="2154"/>
    <cellStyle name="Normal 2 5 2 3 5 2 2" xfId="4874"/>
    <cellStyle name="Normal 2 5 2 3 5 2 2 2" xfId="24353"/>
    <cellStyle name="Normal 2 5 2 3 5 2 2 2 2" xfId="24354"/>
    <cellStyle name="Normal 2 5 2 3 5 2 2 2 2 2" xfId="24355"/>
    <cellStyle name="Normal 2 5 2 3 5 2 2 2 3" xfId="24356"/>
    <cellStyle name="Normal 2 5 2 3 5 2 2 3" xfId="24357"/>
    <cellStyle name="Normal 2 5 2 3 5 2 2 3 2" xfId="24358"/>
    <cellStyle name="Normal 2 5 2 3 5 2 2 4" xfId="24359"/>
    <cellStyle name="Normal 2 5 2 3 5 2 3" xfId="24360"/>
    <cellStyle name="Normal 2 5 2 3 5 2 3 2" xfId="24361"/>
    <cellStyle name="Normal 2 5 2 3 5 2 3 2 2" xfId="24362"/>
    <cellStyle name="Normal 2 5 2 3 5 2 3 3" xfId="24363"/>
    <cellStyle name="Normal 2 5 2 3 5 2 4" xfId="24364"/>
    <cellStyle name="Normal 2 5 2 3 5 2 4 2" xfId="24365"/>
    <cellStyle name="Normal 2 5 2 3 5 2 5" xfId="24366"/>
    <cellStyle name="Normal 2 5 2 3 5 3" xfId="3514"/>
    <cellStyle name="Normal 2 5 2 3 5 3 2" xfId="24367"/>
    <cellStyle name="Normal 2 5 2 3 5 3 2 2" xfId="24368"/>
    <cellStyle name="Normal 2 5 2 3 5 3 2 2 2" xfId="24369"/>
    <cellStyle name="Normal 2 5 2 3 5 3 2 3" xfId="24370"/>
    <cellStyle name="Normal 2 5 2 3 5 3 3" xfId="24371"/>
    <cellStyle name="Normal 2 5 2 3 5 3 3 2" xfId="24372"/>
    <cellStyle name="Normal 2 5 2 3 5 3 4" xfId="24373"/>
    <cellStyle name="Normal 2 5 2 3 5 4" xfId="24374"/>
    <cellStyle name="Normal 2 5 2 3 5 4 2" xfId="24375"/>
    <cellStyle name="Normal 2 5 2 3 5 4 2 2" xfId="24376"/>
    <cellStyle name="Normal 2 5 2 3 5 4 3" xfId="24377"/>
    <cellStyle name="Normal 2 5 2 3 5 5" xfId="24378"/>
    <cellStyle name="Normal 2 5 2 3 5 5 2" xfId="24379"/>
    <cellStyle name="Normal 2 5 2 3 5 6" xfId="24380"/>
    <cellStyle name="Normal 2 5 2 3 6" xfId="1474"/>
    <cellStyle name="Normal 2 5 2 3 6 2" xfId="4194"/>
    <cellStyle name="Normal 2 5 2 3 6 2 2" xfId="24381"/>
    <cellStyle name="Normal 2 5 2 3 6 2 2 2" xfId="24382"/>
    <cellStyle name="Normal 2 5 2 3 6 2 2 2 2" xfId="24383"/>
    <cellStyle name="Normal 2 5 2 3 6 2 2 3" xfId="24384"/>
    <cellStyle name="Normal 2 5 2 3 6 2 3" xfId="24385"/>
    <cellStyle name="Normal 2 5 2 3 6 2 3 2" xfId="24386"/>
    <cellStyle name="Normal 2 5 2 3 6 2 4" xfId="24387"/>
    <cellStyle name="Normal 2 5 2 3 6 3" xfId="24388"/>
    <cellStyle name="Normal 2 5 2 3 6 3 2" xfId="24389"/>
    <cellStyle name="Normal 2 5 2 3 6 3 2 2" xfId="24390"/>
    <cellStyle name="Normal 2 5 2 3 6 3 3" xfId="24391"/>
    <cellStyle name="Normal 2 5 2 3 6 4" xfId="24392"/>
    <cellStyle name="Normal 2 5 2 3 6 4 2" xfId="24393"/>
    <cellStyle name="Normal 2 5 2 3 6 5" xfId="24394"/>
    <cellStyle name="Normal 2 5 2 3 7" xfId="2834"/>
    <cellStyle name="Normal 2 5 2 3 7 2" xfId="24395"/>
    <cellStyle name="Normal 2 5 2 3 7 2 2" xfId="24396"/>
    <cellStyle name="Normal 2 5 2 3 7 2 2 2" xfId="24397"/>
    <cellStyle name="Normal 2 5 2 3 7 2 3" xfId="24398"/>
    <cellStyle name="Normal 2 5 2 3 7 3" xfId="24399"/>
    <cellStyle name="Normal 2 5 2 3 7 3 2" xfId="24400"/>
    <cellStyle name="Normal 2 5 2 3 7 4" xfId="24401"/>
    <cellStyle name="Normal 2 5 2 3 8" xfId="24402"/>
    <cellStyle name="Normal 2 5 2 3 8 2" xfId="24403"/>
    <cellStyle name="Normal 2 5 2 3 8 2 2" xfId="24404"/>
    <cellStyle name="Normal 2 5 2 3 8 3" xfId="24405"/>
    <cellStyle name="Normal 2 5 2 3 9" xfId="24406"/>
    <cellStyle name="Normal 2 5 2 3 9 2" xfId="24407"/>
    <cellStyle name="Normal 2 5 2 4" xfId="182"/>
    <cellStyle name="Normal 2 5 2 4 2" xfId="454"/>
    <cellStyle name="Normal 2 5 2 4 2 2" xfId="1134"/>
    <cellStyle name="Normal 2 5 2 4 2 2 2" xfId="2494"/>
    <cellStyle name="Normal 2 5 2 4 2 2 2 2" xfId="5214"/>
    <cellStyle name="Normal 2 5 2 4 2 2 2 2 2" xfId="24408"/>
    <cellStyle name="Normal 2 5 2 4 2 2 2 2 2 2" xfId="24409"/>
    <cellStyle name="Normal 2 5 2 4 2 2 2 2 2 2 2" xfId="24410"/>
    <cellStyle name="Normal 2 5 2 4 2 2 2 2 2 3" xfId="24411"/>
    <cellStyle name="Normal 2 5 2 4 2 2 2 2 3" xfId="24412"/>
    <cellStyle name="Normal 2 5 2 4 2 2 2 2 3 2" xfId="24413"/>
    <cellStyle name="Normal 2 5 2 4 2 2 2 2 4" xfId="24414"/>
    <cellStyle name="Normal 2 5 2 4 2 2 2 3" xfId="24415"/>
    <cellStyle name="Normal 2 5 2 4 2 2 2 3 2" xfId="24416"/>
    <cellStyle name="Normal 2 5 2 4 2 2 2 3 2 2" xfId="24417"/>
    <cellStyle name="Normal 2 5 2 4 2 2 2 3 3" xfId="24418"/>
    <cellStyle name="Normal 2 5 2 4 2 2 2 4" xfId="24419"/>
    <cellStyle name="Normal 2 5 2 4 2 2 2 4 2" xfId="24420"/>
    <cellStyle name="Normal 2 5 2 4 2 2 2 5" xfId="24421"/>
    <cellStyle name="Normal 2 5 2 4 2 2 3" xfId="3854"/>
    <cellStyle name="Normal 2 5 2 4 2 2 3 2" xfId="24422"/>
    <cellStyle name="Normal 2 5 2 4 2 2 3 2 2" xfId="24423"/>
    <cellStyle name="Normal 2 5 2 4 2 2 3 2 2 2" xfId="24424"/>
    <cellStyle name="Normal 2 5 2 4 2 2 3 2 3" xfId="24425"/>
    <cellStyle name="Normal 2 5 2 4 2 2 3 3" xfId="24426"/>
    <cellStyle name="Normal 2 5 2 4 2 2 3 3 2" xfId="24427"/>
    <cellStyle name="Normal 2 5 2 4 2 2 3 4" xfId="24428"/>
    <cellStyle name="Normal 2 5 2 4 2 2 4" xfId="24429"/>
    <cellStyle name="Normal 2 5 2 4 2 2 4 2" xfId="24430"/>
    <cellStyle name="Normal 2 5 2 4 2 2 4 2 2" xfId="24431"/>
    <cellStyle name="Normal 2 5 2 4 2 2 4 3" xfId="24432"/>
    <cellStyle name="Normal 2 5 2 4 2 2 5" xfId="24433"/>
    <cellStyle name="Normal 2 5 2 4 2 2 5 2" xfId="24434"/>
    <cellStyle name="Normal 2 5 2 4 2 2 6" xfId="24435"/>
    <cellStyle name="Normal 2 5 2 4 2 3" xfId="1814"/>
    <cellStyle name="Normal 2 5 2 4 2 3 2" xfId="4534"/>
    <cellStyle name="Normal 2 5 2 4 2 3 2 2" xfId="24436"/>
    <cellStyle name="Normal 2 5 2 4 2 3 2 2 2" xfId="24437"/>
    <cellStyle name="Normal 2 5 2 4 2 3 2 2 2 2" xfId="24438"/>
    <cellStyle name="Normal 2 5 2 4 2 3 2 2 3" xfId="24439"/>
    <cellStyle name="Normal 2 5 2 4 2 3 2 3" xfId="24440"/>
    <cellStyle name="Normal 2 5 2 4 2 3 2 3 2" xfId="24441"/>
    <cellStyle name="Normal 2 5 2 4 2 3 2 4" xfId="24442"/>
    <cellStyle name="Normal 2 5 2 4 2 3 3" xfId="24443"/>
    <cellStyle name="Normal 2 5 2 4 2 3 3 2" xfId="24444"/>
    <cellStyle name="Normal 2 5 2 4 2 3 3 2 2" xfId="24445"/>
    <cellStyle name="Normal 2 5 2 4 2 3 3 3" xfId="24446"/>
    <cellStyle name="Normal 2 5 2 4 2 3 4" xfId="24447"/>
    <cellStyle name="Normal 2 5 2 4 2 3 4 2" xfId="24448"/>
    <cellStyle name="Normal 2 5 2 4 2 3 5" xfId="24449"/>
    <cellStyle name="Normal 2 5 2 4 2 4" xfId="3174"/>
    <cellStyle name="Normal 2 5 2 4 2 4 2" xfId="24450"/>
    <cellStyle name="Normal 2 5 2 4 2 4 2 2" xfId="24451"/>
    <cellStyle name="Normal 2 5 2 4 2 4 2 2 2" xfId="24452"/>
    <cellStyle name="Normal 2 5 2 4 2 4 2 3" xfId="24453"/>
    <cellStyle name="Normal 2 5 2 4 2 4 3" xfId="24454"/>
    <cellStyle name="Normal 2 5 2 4 2 4 3 2" xfId="24455"/>
    <cellStyle name="Normal 2 5 2 4 2 4 4" xfId="24456"/>
    <cellStyle name="Normal 2 5 2 4 2 5" xfId="24457"/>
    <cellStyle name="Normal 2 5 2 4 2 5 2" xfId="24458"/>
    <cellStyle name="Normal 2 5 2 4 2 5 2 2" xfId="24459"/>
    <cellStyle name="Normal 2 5 2 4 2 5 3" xfId="24460"/>
    <cellStyle name="Normal 2 5 2 4 2 6" xfId="24461"/>
    <cellStyle name="Normal 2 5 2 4 2 6 2" xfId="24462"/>
    <cellStyle name="Normal 2 5 2 4 2 7" xfId="24463"/>
    <cellStyle name="Normal 2 5 2 4 3" xfId="862"/>
    <cellStyle name="Normal 2 5 2 4 3 2" xfId="2222"/>
    <cellStyle name="Normal 2 5 2 4 3 2 2" xfId="4942"/>
    <cellStyle name="Normal 2 5 2 4 3 2 2 2" xfId="24464"/>
    <cellStyle name="Normal 2 5 2 4 3 2 2 2 2" xfId="24465"/>
    <cellStyle name="Normal 2 5 2 4 3 2 2 2 2 2" xfId="24466"/>
    <cellStyle name="Normal 2 5 2 4 3 2 2 2 3" xfId="24467"/>
    <cellStyle name="Normal 2 5 2 4 3 2 2 3" xfId="24468"/>
    <cellStyle name="Normal 2 5 2 4 3 2 2 3 2" xfId="24469"/>
    <cellStyle name="Normal 2 5 2 4 3 2 2 4" xfId="24470"/>
    <cellStyle name="Normal 2 5 2 4 3 2 3" xfId="24471"/>
    <cellStyle name="Normal 2 5 2 4 3 2 3 2" xfId="24472"/>
    <cellStyle name="Normal 2 5 2 4 3 2 3 2 2" xfId="24473"/>
    <cellStyle name="Normal 2 5 2 4 3 2 3 3" xfId="24474"/>
    <cellStyle name="Normal 2 5 2 4 3 2 4" xfId="24475"/>
    <cellStyle name="Normal 2 5 2 4 3 2 4 2" xfId="24476"/>
    <cellStyle name="Normal 2 5 2 4 3 2 5" xfId="24477"/>
    <cellStyle name="Normal 2 5 2 4 3 3" xfId="3582"/>
    <cellStyle name="Normal 2 5 2 4 3 3 2" xfId="24478"/>
    <cellStyle name="Normal 2 5 2 4 3 3 2 2" xfId="24479"/>
    <cellStyle name="Normal 2 5 2 4 3 3 2 2 2" xfId="24480"/>
    <cellStyle name="Normal 2 5 2 4 3 3 2 3" xfId="24481"/>
    <cellStyle name="Normal 2 5 2 4 3 3 3" xfId="24482"/>
    <cellStyle name="Normal 2 5 2 4 3 3 3 2" xfId="24483"/>
    <cellStyle name="Normal 2 5 2 4 3 3 4" xfId="24484"/>
    <cellStyle name="Normal 2 5 2 4 3 4" xfId="24485"/>
    <cellStyle name="Normal 2 5 2 4 3 4 2" xfId="24486"/>
    <cellStyle name="Normal 2 5 2 4 3 4 2 2" xfId="24487"/>
    <cellStyle name="Normal 2 5 2 4 3 4 3" xfId="24488"/>
    <cellStyle name="Normal 2 5 2 4 3 5" xfId="24489"/>
    <cellStyle name="Normal 2 5 2 4 3 5 2" xfId="24490"/>
    <cellStyle name="Normal 2 5 2 4 3 6" xfId="24491"/>
    <cellStyle name="Normal 2 5 2 4 4" xfId="1542"/>
    <cellStyle name="Normal 2 5 2 4 4 2" xfId="4262"/>
    <cellStyle name="Normal 2 5 2 4 4 2 2" xfId="24492"/>
    <cellStyle name="Normal 2 5 2 4 4 2 2 2" xfId="24493"/>
    <cellStyle name="Normal 2 5 2 4 4 2 2 2 2" xfId="24494"/>
    <cellStyle name="Normal 2 5 2 4 4 2 2 3" xfId="24495"/>
    <cellStyle name="Normal 2 5 2 4 4 2 3" xfId="24496"/>
    <cellStyle name="Normal 2 5 2 4 4 2 3 2" xfId="24497"/>
    <cellStyle name="Normal 2 5 2 4 4 2 4" xfId="24498"/>
    <cellStyle name="Normal 2 5 2 4 4 3" xfId="24499"/>
    <cellStyle name="Normal 2 5 2 4 4 3 2" xfId="24500"/>
    <cellStyle name="Normal 2 5 2 4 4 3 2 2" xfId="24501"/>
    <cellStyle name="Normal 2 5 2 4 4 3 3" xfId="24502"/>
    <cellStyle name="Normal 2 5 2 4 4 4" xfId="24503"/>
    <cellStyle name="Normal 2 5 2 4 4 4 2" xfId="24504"/>
    <cellStyle name="Normal 2 5 2 4 4 5" xfId="24505"/>
    <cellStyle name="Normal 2 5 2 4 5" xfId="2902"/>
    <cellStyle name="Normal 2 5 2 4 5 2" xfId="24506"/>
    <cellStyle name="Normal 2 5 2 4 5 2 2" xfId="24507"/>
    <cellStyle name="Normal 2 5 2 4 5 2 2 2" xfId="24508"/>
    <cellStyle name="Normal 2 5 2 4 5 2 3" xfId="24509"/>
    <cellStyle name="Normal 2 5 2 4 5 3" xfId="24510"/>
    <cellStyle name="Normal 2 5 2 4 5 3 2" xfId="24511"/>
    <cellStyle name="Normal 2 5 2 4 5 4" xfId="24512"/>
    <cellStyle name="Normal 2 5 2 4 6" xfId="24513"/>
    <cellStyle name="Normal 2 5 2 4 6 2" xfId="24514"/>
    <cellStyle name="Normal 2 5 2 4 6 2 2" xfId="24515"/>
    <cellStyle name="Normal 2 5 2 4 6 3" xfId="24516"/>
    <cellStyle name="Normal 2 5 2 4 7" xfId="24517"/>
    <cellStyle name="Normal 2 5 2 4 7 2" xfId="24518"/>
    <cellStyle name="Normal 2 5 2 4 8" xfId="24519"/>
    <cellStyle name="Normal 2 5 2 5" xfId="318"/>
    <cellStyle name="Normal 2 5 2 5 2" xfId="998"/>
    <cellStyle name="Normal 2 5 2 5 2 2" xfId="2358"/>
    <cellStyle name="Normal 2 5 2 5 2 2 2" xfId="5078"/>
    <cellStyle name="Normal 2 5 2 5 2 2 2 2" xfId="24520"/>
    <cellStyle name="Normal 2 5 2 5 2 2 2 2 2" xfId="24521"/>
    <cellStyle name="Normal 2 5 2 5 2 2 2 2 2 2" xfId="24522"/>
    <cellStyle name="Normal 2 5 2 5 2 2 2 2 3" xfId="24523"/>
    <cellStyle name="Normal 2 5 2 5 2 2 2 3" xfId="24524"/>
    <cellStyle name="Normal 2 5 2 5 2 2 2 3 2" xfId="24525"/>
    <cellStyle name="Normal 2 5 2 5 2 2 2 4" xfId="24526"/>
    <cellStyle name="Normal 2 5 2 5 2 2 3" xfId="24527"/>
    <cellStyle name="Normal 2 5 2 5 2 2 3 2" xfId="24528"/>
    <cellStyle name="Normal 2 5 2 5 2 2 3 2 2" xfId="24529"/>
    <cellStyle name="Normal 2 5 2 5 2 2 3 3" xfId="24530"/>
    <cellStyle name="Normal 2 5 2 5 2 2 4" xfId="24531"/>
    <cellStyle name="Normal 2 5 2 5 2 2 4 2" xfId="24532"/>
    <cellStyle name="Normal 2 5 2 5 2 2 5" xfId="24533"/>
    <cellStyle name="Normal 2 5 2 5 2 3" xfId="3718"/>
    <cellStyle name="Normal 2 5 2 5 2 3 2" xfId="24534"/>
    <cellStyle name="Normal 2 5 2 5 2 3 2 2" xfId="24535"/>
    <cellStyle name="Normal 2 5 2 5 2 3 2 2 2" xfId="24536"/>
    <cellStyle name="Normal 2 5 2 5 2 3 2 3" xfId="24537"/>
    <cellStyle name="Normal 2 5 2 5 2 3 3" xfId="24538"/>
    <cellStyle name="Normal 2 5 2 5 2 3 3 2" xfId="24539"/>
    <cellStyle name="Normal 2 5 2 5 2 3 4" xfId="24540"/>
    <cellStyle name="Normal 2 5 2 5 2 4" xfId="24541"/>
    <cellStyle name="Normal 2 5 2 5 2 4 2" xfId="24542"/>
    <cellStyle name="Normal 2 5 2 5 2 4 2 2" xfId="24543"/>
    <cellStyle name="Normal 2 5 2 5 2 4 3" xfId="24544"/>
    <cellStyle name="Normal 2 5 2 5 2 5" xfId="24545"/>
    <cellStyle name="Normal 2 5 2 5 2 5 2" xfId="24546"/>
    <cellStyle name="Normal 2 5 2 5 2 6" xfId="24547"/>
    <cellStyle name="Normal 2 5 2 5 3" xfId="1678"/>
    <cellStyle name="Normal 2 5 2 5 3 2" xfId="4398"/>
    <cellStyle name="Normal 2 5 2 5 3 2 2" xfId="24548"/>
    <cellStyle name="Normal 2 5 2 5 3 2 2 2" xfId="24549"/>
    <cellStyle name="Normal 2 5 2 5 3 2 2 2 2" xfId="24550"/>
    <cellStyle name="Normal 2 5 2 5 3 2 2 3" xfId="24551"/>
    <cellStyle name="Normal 2 5 2 5 3 2 3" xfId="24552"/>
    <cellStyle name="Normal 2 5 2 5 3 2 3 2" xfId="24553"/>
    <cellStyle name="Normal 2 5 2 5 3 2 4" xfId="24554"/>
    <cellStyle name="Normal 2 5 2 5 3 3" xfId="24555"/>
    <cellStyle name="Normal 2 5 2 5 3 3 2" xfId="24556"/>
    <cellStyle name="Normal 2 5 2 5 3 3 2 2" xfId="24557"/>
    <cellStyle name="Normal 2 5 2 5 3 3 3" xfId="24558"/>
    <cellStyle name="Normal 2 5 2 5 3 4" xfId="24559"/>
    <cellStyle name="Normal 2 5 2 5 3 4 2" xfId="24560"/>
    <cellStyle name="Normal 2 5 2 5 3 5" xfId="24561"/>
    <cellStyle name="Normal 2 5 2 5 4" xfId="3038"/>
    <cellStyle name="Normal 2 5 2 5 4 2" xfId="24562"/>
    <cellStyle name="Normal 2 5 2 5 4 2 2" xfId="24563"/>
    <cellStyle name="Normal 2 5 2 5 4 2 2 2" xfId="24564"/>
    <cellStyle name="Normal 2 5 2 5 4 2 3" xfId="24565"/>
    <cellStyle name="Normal 2 5 2 5 4 3" xfId="24566"/>
    <cellStyle name="Normal 2 5 2 5 4 3 2" xfId="24567"/>
    <cellStyle name="Normal 2 5 2 5 4 4" xfId="24568"/>
    <cellStyle name="Normal 2 5 2 5 5" xfId="24569"/>
    <cellStyle name="Normal 2 5 2 5 5 2" xfId="24570"/>
    <cellStyle name="Normal 2 5 2 5 5 2 2" xfId="24571"/>
    <cellStyle name="Normal 2 5 2 5 5 3" xfId="24572"/>
    <cellStyle name="Normal 2 5 2 5 6" xfId="24573"/>
    <cellStyle name="Normal 2 5 2 5 6 2" xfId="24574"/>
    <cellStyle name="Normal 2 5 2 5 7" xfId="24575"/>
    <cellStyle name="Normal 2 5 2 6" xfId="590"/>
    <cellStyle name="Normal 2 5 2 6 2" xfId="1270"/>
    <cellStyle name="Normal 2 5 2 6 2 2" xfId="2630"/>
    <cellStyle name="Normal 2 5 2 6 2 2 2" xfId="5350"/>
    <cellStyle name="Normal 2 5 2 6 2 2 2 2" xfId="24576"/>
    <cellStyle name="Normal 2 5 2 6 2 2 2 2 2" xfId="24577"/>
    <cellStyle name="Normal 2 5 2 6 2 2 2 2 2 2" xfId="24578"/>
    <cellStyle name="Normal 2 5 2 6 2 2 2 2 3" xfId="24579"/>
    <cellStyle name="Normal 2 5 2 6 2 2 2 3" xfId="24580"/>
    <cellStyle name="Normal 2 5 2 6 2 2 2 3 2" xfId="24581"/>
    <cellStyle name="Normal 2 5 2 6 2 2 2 4" xfId="24582"/>
    <cellStyle name="Normal 2 5 2 6 2 2 3" xfId="24583"/>
    <cellStyle name="Normal 2 5 2 6 2 2 3 2" xfId="24584"/>
    <cellStyle name="Normal 2 5 2 6 2 2 3 2 2" xfId="24585"/>
    <cellStyle name="Normal 2 5 2 6 2 2 3 3" xfId="24586"/>
    <cellStyle name="Normal 2 5 2 6 2 2 4" xfId="24587"/>
    <cellStyle name="Normal 2 5 2 6 2 2 4 2" xfId="24588"/>
    <cellStyle name="Normal 2 5 2 6 2 2 5" xfId="24589"/>
    <cellStyle name="Normal 2 5 2 6 2 3" xfId="3990"/>
    <cellStyle name="Normal 2 5 2 6 2 3 2" xfId="24590"/>
    <cellStyle name="Normal 2 5 2 6 2 3 2 2" xfId="24591"/>
    <cellStyle name="Normal 2 5 2 6 2 3 2 2 2" xfId="24592"/>
    <cellStyle name="Normal 2 5 2 6 2 3 2 3" xfId="24593"/>
    <cellStyle name="Normal 2 5 2 6 2 3 3" xfId="24594"/>
    <cellStyle name="Normal 2 5 2 6 2 3 3 2" xfId="24595"/>
    <cellStyle name="Normal 2 5 2 6 2 3 4" xfId="24596"/>
    <cellStyle name="Normal 2 5 2 6 2 4" xfId="24597"/>
    <cellStyle name="Normal 2 5 2 6 2 4 2" xfId="24598"/>
    <cellStyle name="Normal 2 5 2 6 2 4 2 2" xfId="24599"/>
    <cellStyle name="Normal 2 5 2 6 2 4 3" xfId="24600"/>
    <cellStyle name="Normal 2 5 2 6 2 5" xfId="24601"/>
    <cellStyle name="Normal 2 5 2 6 2 5 2" xfId="24602"/>
    <cellStyle name="Normal 2 5 2 6 2 6" xfId="24603"/>
    <cellStyle name="Normal 2 5 2 6 3" xfId="1950"/>
    <cellStyle name="Normal 2 5 2 6 3 2" xfId="4670"/>
    <cellStyle name="Normal 2 5 2 6 3 2 2" xfId="24604"/>
    <cellStyle name="Normal 2 5 2 6 3 2 2 2" xfId="24605"/>
    <cellStyle name="Normal 2 5 2 6 3 2 2 2 2" xfId="24606"/>
    <cellStyle name="Normal 2 5 2 6 3 2 2 3" xfId="24607"/>
    <cellStyle name="Normal 2 5 2 6 3 2 3" xfId="24608"/>
    <cellStyle name="Normal 2 5 2 6 3 2 3 2" xfId="24609"/>
    <cellStyle name="Normal 2 5 2 6 3 2 4" xfId="24610"/>
    <cellStyle name="Normal 2 5 2 6 3 3" xfId="24611"/>
    <cellStyle name="Normal 2 5 2 6 3 3 2" xfId="24612"/>
    <cellStyle name="Normal 2 5 2 6 3 3 2 2" xfId="24613"/>
    <cellStyle name="Normal 2 5 2 6 3 3 3" xfId="24614"/>
    <cellStyle name="Normal 2 5 2 6 3 4" xfId="24615"/>
    <cellStyle name="Normal 2 5 2 6 3 4 2" xfId="24616"/>
    <cellStyle name="Normal 2 5 2 6 3 5" xfId="24617"/>
    <cellStyle name="Normal 2 5 2 6 4" xfId="3310"/>
    <cellStyle name="Normal 2 5 2 6 4 2" xfId="24618"/>
    <cellStyle name="Normal 2 5 2 6 4 2 2" xfId="24619"/>
    <cellStyle name="Normal 2 5 2 6 4 2 2 2" xfId="24620"/>
    <cellStyle name="Normal 2 5 2 6 4 2 3" xfId="24621"/>
    <cellStyle name="Normal 2 5 2 6 4 3" xfId="24622"/>
    <cellStyle name="Normal 2 5 2 6 4 3 2" xfId="24623"/>
    <cellStyle name="Normal 2 5 2 6 4 4" xfId="24624"/>
    <cellStyle name="Normal 2 5 2 6 5" xfId="24625"/>
    <cellStyle name="Normal 2 5 2 6 5 2" xfId="24626"/>
    <cellStyle name="Normal 2 5 2 6 5 2 2" xfId="24627"/>
    <cellStyle name="Normal 2 5 2 6 5 3" xfId="24628"/>
    <cellStyle name="Normal 2 5 2 6 6" xfId="24629"/>
    <cellStyle name="Normal 2 5 2 6 6 2" xfId="24630"/>
    <cellStyle name="Normal 2 5 2 6 7" xfId="24631"/>
    <cellStyle name="Normal 2 5 2 7" xfId="726"/>
    <cellStyle name="Normal 2 5 2 7 2" xfId="2086"/>
    <cellStyle name="Normal 2 5 2 7 2 2" xfId="4806"/>
    <cellStyle name="Normal 2 5 2 7 2 2 2" xfId="24632"/>
    <cellStyle name="Normal 2 5 2 7 2 2 2 2" xfId="24633"/>
    <cellStyle name="Normal 2 5 2 7 2 2 2 2 2" xfId="24634"/>
    <cellStyle name="Normal 2 5 2 7 2 2 2 3" xfId="24635"/>
    <cellStyle name="Normal 2 5 2 7 2 2 3" xfId="24636"/>
    <cellStyle name="Normal 2 5 2 7 2 2 3 2" xfId="24637"/>
    <cellStyle name="Normal 2 5 2 7 2 2 4" xfId="24638"/>
    <cellStyle name="Normal 2 5 2 7 2 3" xfId="24639"/>
    <cellStyle name="Normal 2 5 2 7 2 3 2" xfId="24640"/>
    <cellStyle name="Normal 2 5 2 7 2 3 2 2" xfId="24641"/>
    <cellStyle name="Normal 2 5 2 7 2 3 3" xfId="24642"/>
    <cellStyle name="Normal 2 5 2 7 2 4" xfId="24643"/>
    <cellStyle name="Normal 2 5 2 7 2 4 2" xfId="24644"/>
    <cellStyle name="Normal 2 5 2 7 2 5" xfId="24645"/>
    <cellStyle name="Normal 2 5 2 7 3" xfId="3446"/>
    <cellStyle name="Normal 2 5 2 7 3 2" xfId="24646"/>
    <cellStyle name="Normal 2 5 2 7 3 2 2" xfId="24647"/>
    <cellStyle name="Normal 2 5 2 7 3 2 2 2" xfId="24648"/>
    <cellStyle name="Normal 2 5 2 7 3 2 3" xfId="24649"/>
    <cellStyle name="Normal 2 5 2 7 3 3" xfId="24650"/>
    <cellStyle name="Normal 2 5 2 7 3 3 2" xfId="24651"/>
    <cellStyle name="Normal 2 5 2 7 3 4" xfId="24652"/>
    <cellStyle name="Normal 2 5 2 7 4" xfId="24653"/>
    <cellStyle name="Normal 2 5 2 7 4 2" xfId="24654"/>
    <cellStyle name="Normal 2 5 2 7 4 2 2" xfId="24655"/>
    <cellStyle name="Normal 2 5 2 7 4 3" xfId="24656"/>
    <cellStyle name="Normal 2 5 2 7 5" xfId="24657"/>
    <cellStyle name="Normal 2 5 2 7 5 2" xfId="24658"/>
    <cellStyle name="Normal 2 5 2 7 6" xfId="24659"/>
    <cellStyle name="Normal 2 5 2 8" xfId="1406"/>
    <cellStyle name="Normal 2 5 2 8 2" xfId="4126"/>
    <cellStyle name="Normal 2 5 2 8 2 2" xfId="24660"/>
    <cellStyle name="Normal 2 5 2 8 2 2 2" xfId="24661"/>
    <cellStyle name="Normal 2 5 2 8 2 2 2 2" xfId="24662"/>
    <cellStyle name="Normal 2 5 2 8 2 2 3" xfId="24663"/>
    <cellStyle name="Normal 2 5 2 8 2 3" xfId="24664"/>
    <cellStyle name="Normal 2 5 2 8 2 3 2" xfId="24665"/>
    <cellStyle name="Normal 2 5 2 8 2 4" xfId="24666"/>
    <cellStyle name="Normal 2 5 2 8 3" xfId="24667"/>
    <cellStyle name="Normal 2 5 2 8 3 2" xfId="24668"/>
    <cellStyle name="Normal 2 5 2 8 3 2 2" xfId="24669"/>
    <cellStyle name="Normal 2 5 2 8 3 3" xfId="24670"/>
    <cellStyle name="Normal 2 5 2 8 4" xfId="24671"/>
    <cellStyle name="Normal 2 5 2 8 4 2" xfId="24672"/>
    <cellStyle name="Normal 2 5 2 8 5" xfId="24673"/>
    <cellStyle name="Normal 2 5 2 9" xfId="2766"/>
    <cellStyle name="Normal 2 5 2 9 2" xfId="24674"/>
    <cellStyle name="Normal 2 5 2 9 2 2" xfId="24675"/>
    <cellStyle name="Normal 2 5 2 9 2 2 2" xfId="24676"/>
    <cellStyle name="Normal 2 5 2 9 2 3" xfId="24677"/>
    <cellStyle name="Normal 2 5 2 9 3" xfId="24678"/>
    <cellStyle name="Normal 2 5 2 9 3 2" xfId="24679"/>
    <cellStyle name="Normal 2 5 2 9 4" xfId="24680"/>
    <cellStyle name="Normal 2 5 3" xfId="62"/>
    <cellStyle name="Normal 2 5 3 10" xfId="24681"/>
    <cellStyle name="Normal 2 5 3 10 2" xfId="24682"/>
    <cellStyle name="Normal 2 5 3 11" xfId="24683"/>
    <cellStyle name="Normal 2 5 3 2" xfId="130"/>
    <cellStyle name="Normal 2 5 3 2 10" xfId="24684"/>
    <cellStyle name="Normal 2 5 3 2 2" xfId="267"/>
    <cellStyle name="Normal 2 5 3 2 2 2" xfId="539"/>
    <cellStyle name="Normal 2 5 3 2 2 2 2" xfId="1219"/>
    <cellStyle name="Normal 2 5 3 2 2 2 2 2" xfId="2579"/>
    <cellStyle name="Normal 2 5 3 2 2 2 2 2 2" xfId="5299"/>
    <cellStyle name="Normal 2 5 3 2 2 2 2 2 2 2" xfId="24685"/>
    <cellStyle name="Normal 2 5 3 2 2 2 2 2 2 2 2" xfId="24686"/>
    <cellStyle name="Normal 2 5 3 2 2 2 2 2 2 2 2 2" xfId="24687"/>
    <cellStyle name="Normal 2 5 3 2 2 2 2 2 2 2 3" xfId="24688"/>
    <cellStyle name="Normal 2 5 3 2 2 2 2 2 2 3" xfId="24689"/>
    <cellStyle name="Normal 2 5 3 2 2 2 2 2 2 3 2" xfId="24690"/>
    <cellStyle name="Normal 2 5 3 2 2 2 2 2 2 4" xfId="24691"/>
    <cellStyle name="Normal 2 5 3 2 2 2 2 2 3" xfId="24692"/>
    <cellStyle name="Normal 2 5 3 2 2 2 2 2 3 2" xfId="24693"/>
    <cellStyle name="Normal 2 5 3 2 2 2 2 2 3 2 2" xfId="24694"/>
    <cellStyle name="Normal 2 5 3 2 2 2 2 2 3 3" xfId="24695"/>
    <cellStyle name="Normal 2 5 3 2 2 2 2 2 4" xfId="24696"/>
    <cellStyle name="Normal 2 5 3 2 2 2 2 2 4 2" xfId="24697"/>
    <cellStyle name="Normal 2 5 3 2 2 2 2 2 5" xfId="24698"/>
    <cellStyle name="Normal 2 5 3 2 2 2 2 3" xfId="3939"/>
    <cellStyle name="Normal 2 5 3 2 2 2 2 3 2" xfId="24699"/>
    <cellStyle name="Normal 2 5 3 2 2 2 2 3 2 2" xfId="24700"/>
    <cellStyle name="Normal 2 5 3 2 2 2 2 3 2 2 2" xfId="24701"/>
    <cellStyle name="Normal 2 5 3 2 2 2 2 3 2 3" xfId="24702"/>
    <cellStyle name="Normal 2 5 3 2 2 2 2 3 3" xfId="24703"/>
    <cellStyle name="Normal 2 5 3 2 2 2 2 3 3 2" xfId="24704"/>
    <cellStyle name="Normal 2 5 3 2 2 2 2 3 4" xfId="24705"/>
    <cellStyle name="Normal 2 5 3 2 2 2 2 4" xfId="24706"/>
    <cellStyle name="Normal 2 5 3 2 2 2 2 4 2" xfId="24707"/>
    <cellStyle name="Normal 2 5 3 2 2 2 2 4 2 2" xfId="24708"/>
    <cellStyle name="Normal 2 5 3 2 2 2 2 4 3" xfId="24709"/>
    <cellStyle name="Normal 2 5 3 2 2 2 2 5" xfId="24710"/>
    <cellStyle name="Normal 2 5 3 2 2 2 2 5 2" xfId="24711"/>
    <cellStyle name="Normal 2 5 3 2 2 2 2 6" xfId="24712"/>
    <cellStyle name="Normal 2 5 3 2 2 2 3" xfId="1899"/>
    <cellStyle name="Normal 2 5 3 2 2 2 3 2" xfId="4619"/>
    <cellStyle name="Normal 2 5 3 2 2 2 3 2 2" xfId="24713"/>
    <cellStyle name="Normal 2 5 3 2 2 2 3 2 2 2" xfId="24714"/>
    <cellStyle name="Normal 2 5 3 2 2 2 3 2 2 2 2" xfId="24715"/>
    <cellStyle name="Normal 2 5 3 2 2 2 3 2 2 3" xfId="24716"/>
    <cellStyle name="Normal 2 5 3 2 2 2 3 2 3" xfId="24717"/>
    <cellStyle name="Normal 2 5 3 2 2 2 3 2 3 2" xfId="24718"/>
    <cellStyle name="Normal 2 5 3 2 2 2 3 2 4" xfId="24719"/>
    <cellStyle name="Normal 2 5 3 2 2 2 3 3" xfId="24720"/>
    <cellStyle name="Normal 2 5 3 2 2 2 3 3 2" xfId="24721"/>
    <cellStyle name="Normal 2 5 3 2 2 2 3 3 2 2" xfId="24722"/>
    <cellStyle name="Normal 2 5 3 2 2 2 3 3 3" xfId="24723"/>
    <cellStyle name="Normal 2 5 3 2 2 2 3 4" xfId="24724"/>
    <cellStyle name="Normal 2 5 3 2 2 2 3 4 2" xfId="24725"/>
    <cellStyle name="Normal 2 5 3 2 2 2 3 5" xfId="24726"/>
    <cellStyle name="Normal 2 5 3 2 2 2 4" xfId="3259"/>
    <cellStyle name="Normal 2 5 3 2 2 2 4 2" xfId="24727"/>
    <cellStyle name="Normal 2 5 3 2 2 2 4 2 2" xfId="24728"/>
    <cellStyle name="Normal 2 5 3 2 2 2 4 2 2 2" xfId="24729"/>
    <cellStyle name="Normal 2 5 3 2 2 2 4 2 3" xfId="24730"/>
    <cellStyle name="Normal 2 5 3 2 2 2 4 3" xfId="24731"/>
    <cellStyle name="Normal 2 5 3 2 2 2 4 3 2" xfId="24732"/>
    <cellStyle name="Normal 2 5 3 2 2 2 4 4" xfId="24733"/>
    <cellStyle name="Normal 2 5 3 2 2 2 5" xfId="24734"/>
    <cellStyle name="Normal 2 5 3 2 2 2 5 2" xfId="24735"/>
    <cellStyle name="Normal 2 5 3 2 2 2 5 2 2" xfId="24736"/>
    <cellStyle name="Normal 2 5 3 2 2 2 5 3" xfId="24737"/>
    <cellStyle name="Normal 2 5 3 2 2 2 6" xfId="24738"/>
    <cellStyle name="Normal 2 5 3 2 2 2 6 2" xfId="24739"/>
    <cellStyle name="Normal 2 5 3 2 2 2 7" xfId="24740"/>
    <cellStyle name="Normal 2 5 3 2 2 3" xfId="947"/>
    <cellStyle name="Normal 2 5 3 2 2 3 2" xfId="2307"/>
    <cellStyle name="Normal 2 5 3 2 2 3 2 2" xfId="5027"/>
    <cellStyle name="Normal 2 5 3 2 2 3 2 2 2" xfId="24741"/>
    <cellStyle name="Normal 2 5 3 2 2 3 2 2 2 2" xfId="24742"/>
    <cellStyle name="Normal 2 5 3 2 2 3 2 2 2 2 2" xfId="24743"/>
    <cellStyle name="Normal 2 5 3 2 2 3 2 2 2 3" xfId="24744"/>
    <cellStyle name="Normal 2 5 3 2 2 3 2 2 3" xfId="24745"/>
    <cellStyle name="Normal 2 5 3 2 2 3 2 2 3 2" xfId="24746"/>
    <cellStyle name="Normal 2 5 3 2 2 3 2 2 4" xfId="24747"/>
    <cellStyle name="Normal 2 5 3 2 2 3 2 3" xfId="24748"/>
    <cellStyle name="Normal 2 5 3 2 2 3 2 3 2" xfId="24749"/>
    <cellStyle name="Normal 2 5 3 2 2 3 2 3 2 2" xfId="24750"/>
    <cellStyle name="Normal 2 5 3 2 2 3 2 3 3" xfId="24751"/>
    <cellStyle name="Normal 2 5 3 2 2 3 2 4" xfId="24752"/>
    <cellStyle name="Normal 2 5 3 2 2 3 2 4 2" xfId="24753"/>
    <cellStyle name="Normal 2 5 3 2 2 3 2 5" xfId="24754"/>
    <cellStyle name="Normal 2 5 3 2 2 3 3" xfId="3667"/>
    <cellStyle name="Normal 2 5 3 2 2 3 3 2" xfId="24755"/>
    <cellStyle name="Normal 2 5 3 2 2 3 3 2 2" xfId="24756"/>
    <cellStyle name="Normal 2 5 3 2 2 3 3 2 2 2" xfId="24757"/>
    <cellStyle name="Normal 2 5 3 2 2 3 3 2 3" xfId="24758"/>
    <cellStyle name="Normal 2 5 3 2 2 3 3 3" xfId="24759"/>
    <cellStyle name="Normal 2 5 3 2 2 3 3 3 2" xfId="24760"/>
    <cellStyle name="Normal 2 5 3 2 2 3 3 4" xfId="24761"/>
    <cellStyle name="Normal 2 5 3 2 2 3 4" xfId="24762"/>
    <cellStyle name="Normal 2 5 3 2 2 3 4 2" xfId="24763"/>
    <cellStyle name="Normal 2 5 3 2 2 3 4 2 2" xfId="24764"/>
    <cellStyle name="Normal 2 5 3 2 2 3 4 3" xfId="24765"/>
    <cellStyle name="Normal 2 5 3 2 2 3 5" xfId="24766"/>
    <cellStyle name="Normal 2 5 3 2 2 3 5 2" xfId="24767"/>
    <cellStyle name="Normal 2 5 3 2 2 3 6" xfId="24768"/>
    <cellStyle name="Normal 2 5 3 2 2 4" xfId="1627"/>
    <cellStyle name="Normal 2 5 3 2 2 4 2" xfId="4347"/>
    <cellStyle name="Normal 2 5 3 2 2 4 2 2" xfId="24769"/>
    <cellStyle name="Normal 2 5 3 2 2 4 2 2 2" xfId="24770"/>
    <cellStyle name="Normal 2 5 3 2 2 4 2 2 2 2" xfId="24771"/>
    <cellStyle name="Normal 2 5 3 2 2 4 2 2 3" xfId="24772"/>
    <cellStyle name="Normal 2 5 3 2 2 4 2 3" xfId="24773"/>
    <cellStyle name="Normal 2 5 3 2 2 4 2 3 2" xfId="24774"/>
    <cellStyle name="Normal 2 5 3 2 2 4 2 4" xfId="24775"/>
    <cellStyle name="Normal 2 5 3 2 2 4 3" xfId="24776"/>
    <cellStyle name="Normal 2 5 3 2 2 4 3 2" xfId="24777"/>
    <cellStyle name="Normal 2 5 3 2 2 4 3 2 2" xfId="24778"/>
    <cellStyle name="Normal 2 5 3 2 2 4 3 3" xfId="24779"/>
    <cellStyle name="Normal 2 5 3 2 2 4 4" xfId="24780"/>
    <cellStyle name="Normal 2 5 3 2 2 4 4 2" xfId="24781"/>
    <cellStyle name="Normal 2 5 3 2 2 4 5" xfId="24782"/>
    <cellStyle name="Normal 2 5 3 2 2 5" xfId="2987"/>
    <cellStyle name="Normal 2 5 3 2 2 5 2" xfId="24783"/>
    <cellStyle name="Normal 2 5 3 2 2 5 2 2" xfId="24784"/>
    <cellStyle name="Normal 2 5 3 2 2 5 2 2 2" xfId="24785"/>
    <cellStyle name="Normal 2 5 3 2 2 5 2 3" xfId="24786"/>
    <cellStyle name="Normal 2 5 3 2 2 5 3" xfId="24787"/>
    <cellStyle name="Normal 2 5 3 2 2 5 3 2" xfId="24788"/>
    <cellStyle name="Normal 2 5 3 2 2 5 4" xfId="24789"/>
    <cellStyle name="Normal 2 5 3 2 2 6" xfId="24790"/>
    <cellStyle name="Normal 2 5 3 2 2 6 2" xfId="24791"/>
    <cellStyle name="Normal 2 5 3 2 2 6 2 2" xfId="24792"/>
    <cellStyle name="Normal 2 5 3 2 2 6 3" xfId="24793"/>
    <cellStyle name="Normal 2 5 3 2 2 7" xfId="24794"/>
    <cellStyle name="Normal 2 5 3 2 2 7 2" xfId="24795"/>
    <cellStyle name="Normal 2 5 3 2 2 8" xfId="24796"/>
    <cellStyle name="Normal 2 5 3 2 3" xfId="403"/>
    <cellStyle name="Normal 2 5 3 2 3 2" xfId="1083"/>
    <cellStyle name="Normal 2 5 3 2 3 2 2" xfId="2443"/>
    <cellStyle name="Normal 2 5 3 2 3 2 2 2" xfId="5163"/>
    <cellStyle name="Normal 2 5 3 2 3 2 2 2 2" xfId="24797"/>
    <cellStyle name="Normal 2 5 3 2 3 2 2 2 2 2" xfId="24798"/>
    <cellStyle name="Normal 2 5 3 2 3 2 2 2 2 2 2" xfId="24799"/>
    <cellStyle name="Normal 2 5 3 2 3 2 2 2 2 3" xfId="24800"/>
    <cellStyle name="Normal 2 5 3 2 3 2 2 2 3" xfId="24801"/>
    <cellStyle name="Normal 2 5 3 2 3 2 2 2 3 2" xfId="24802"/>
    <cellStyle name="Normal 2 5 3 2 3 2 2 2 4" xfId="24803"/>
    <cellStyle name="Normal 2 5 3 2 3 2 2 3" xfId="24804"/>
    <cellStyle name="Normal 2 5 3 2 3 2 2 3 2" xfId="24805"/>
    <cellStyle name="Normal 2 5 3 2 3 2 2 3 2 2" xfId="24806"/>
    <cellStyle name="Normal 2 5 3 2 3 2 2 3 3" xfId="24807"/>
    <cellStyle name="Normal 2 5 3 2 3 2 2 4" xfId="24808"/>
    <cellStyle name="Normal 2 5 3 2 3 2 2 4 2" xfId="24809"/>
    <cellStyle name="Normal 2 5 3 2 3 2 2 5" xfId="24810"/>
    <cellStyle name="Normal 2 5 3 2 3 2 3" xfId="3803"/>
    <cellStyle name="Normal 2 5 3 2 3 2 3 2" xfId="24811"/>
    <cellStyle name="Normal 2 5 3 2 3 2 3 2 2" xfId="24812"/>
    <cellStyle name="Normal 2 5 3 2 3 2 3 2 2 2" xfId="24813"/>
    <cellStyle name="Normal 2 5 3 2 3 2 3 2 3" xfId="24814"/>
    <cellStyle name="Normal 2 5 3 2 3 2 3 3" xfId="24815"/>
    <cellStyle name="Normal 2 5 3 2 3 2 3 3 2" xfId="24816"/>
    <cellStyle name="Normal 2 5 3 2 3 2 3 4" xfId="24817"/>
    <cellStyle name="Normal 2 5 3 2 3 2 4" xfId="24818"/>
    <cellStyle name="Normal 2 5 3 2 3 2 4 2" xfId="24819"/>
    <cellStyle name="Normal 2 5 3 2 3 2 4 2 2" xfId="24820"/>
    <cellStyle name="Normal 2 5 3 2 3 2 4 3" xfId="24821"/>
    <cellStyle name="Normal 2 5 3 2 3 2 5" xfId="24822"/>
    <cellStyle name="Normal 2 5 3 2 3 2 5 2" xfId="24823"/>
    <cellStyle name="Normal 2 5 3 2 3 2 6" xfId="24824"/>
    <cellStyle name="Normal 2 5 3 2 3 3" xfId="1763"/>
    <cellStyle name="Normal 2 5 3 2 3 3 2" xfId="4483"/>
    <cellStyle name="Normal 2 5 3 2 3 3 2 2" xfId="24825"/>
    <cellStyle name="Normal 2 5 3 2 3 3 2 2 2" xfId="24826"/>
    <cellStyle name="Normal 2 5 3 2 3 3 2 2 2 2" xfId="24827"/>
    <cellStyle name="Normal 2 5 3 2 3 3 2 2 3" xfId="24828"/>
    <cellStyle name="Normal 2 5 3 2 3 3 2 3" xfId="24829"/>
    <cellStyle name="Normal 2 5 3 2 3 3 2 3 2" xfId="24830"/>
    <cellStyle name="Normal 2 5 3 2 3 3 2 4" xfId="24831"/>
    <cellStyle name="Normal 2 5 3 2 3 3 3" xfId="24832"/>
    <cellStyle name="Normal 2 5 3 2 3 3 3 2" xfId="24833"/>
    <cellStyle name="Normal 2 5 3 2 3 3 3 2 2" xfId="24834"/>
    <cellStyle name="Normal 2 5 3 2 3 3 3 3" xfId="24835"/>
    <cellStyle name="Normal 2 5 3 2 3 3 4" xfId="24836"/>
    <cellStyle name="Normal 2 5 3 2 3 3 4 2" xfId="24837"/>
    <cellStyle name="Normal 2 5 3 2 3 3 5" xfId="24838"/>
    <cellStyle name="Normal 2 5 3 2 3 4" xfId="3123"/>
    <cellStyle name="Normal 2 5 3 2 3 4 2" xfId="24839"/>
    <cellStyle name="Normal 2 5 3 2 3 4 2 2" xfId="24840"/>
    <cellStyle name="Normal 2 5 3 2 3 4 2 2 2" xfId="24841"/>
    <cellStyle name="Normal 2 5 3 2 3 4 2 3" xfId="24842"/>
    <cellStyle name="Normal 2 5 3 2 3 4 3" xfId="24843"/>
    <cellStyle name="Normal 2 5 3 2 3 4 3 2" xfId="24844"/>
    <cellStyle name="Normal 2 5 3 2 3 4 4" xfId="24845"/>
    <cellStyle name="Normal 2 5 3 2 3 5" xfId="24846"/>
    <cellStyle name="Normal 2 5 3 2 3 5 2" xfId="24847"/>
    <cellStyle name="Normal 2 5 3 2 3 5 2 2" xfId="24848"/>
    <cellStyle name="Normal 2 5 3 2 3 5 3" xfId="24849"/>
    <cellStyle name="Normal 2 5 3 2 3 6" xfId="24850"/>
    <cellStyle name="Normal 2 5 3 2 3 6 2" xfId="24851"/>
    <cellStyle name="Normal 2 5 3 2 3 7" xfId="24852"/>
    <cellStyle name="Normal 2 5 3 2 4" xfId="675"/>
    <cellStyle name="Normal 2 5 3 2 4 2" xfId="1355"/>
    <cellStyle name="Normal 2 5 3 2 4 2 2" xfId="2715"/>
    <cellStyle name="Normal 2 5 3 2 4 2 2 2" xfId="5435"/>
    <cellStyle name="Normal 2 5 3 2 4 2 2 2 2" xfId="24853"/>
    <cellStyle name="Normal 2 5 3 2 4 2 2 2 2 2" xfId="24854"/>
    <cellStyle name="Normal 2 5 3 2 4 2 2 2 2 2 2" xfId="24855"/>
    <cellStyle name="Normal 2 5 3 2 4 2 2 2 2 3" xfId="24856"/>
    <cellStyle name="Normal 2 5 3 2 4 2 2 2 3" xfId="24857"/>
    <cellStyle name="Normal 2 5 3 2 4 2 2 2 3 2" xfId="24858"/>
    <cellStyle name="Normal 2 5 3 2 4 2 2 2 4" xfId="24859"/>
    <cellStyle name="Normal 2 5 3 2 4 2 2 3" xfId="24860"/>
    <cellStyle name="Normal 2 5 3 2 4 2 2 3 2" xfId="24861"/>
    <cellStyle name="Normal 2 5 3 2 4 2 2 3 2 2" xfId="24862"/>
    <cellStyle name="Normal 2 5 3 2 4 2 2 3 3" xfId="24863"/>
    <cellStyle name="Normal 2 5 3 2 4 2 2 4" xfId="24864"/>
    <cellStyle name="Normal 2 5 3 2 4 2 2 4 2" xfId="24865"/>
    <cellStyle name="Normal 2 5 3 2 4 2 2 5" xfId="24866"/>
    <cellStyle name="Normal 2 5 3 2 4 2 3" xfId="4075"/>
    <cellStyle name="Normal 2 5 3 2 4 2 3 2" xfId="24867"/>
    <cellStyle name="Normal 2 5 3 2 4 2 3 2 2" xfId="24868"/>
    <cellStyle name="Normal 2 5 3 2 4 2 3 2 2 2" xfId="24869"/>
    <cellStyle name="Normal 2 5 3 2 4 2 3 2 3" xfId="24870"/>
    <cellStyle name="Normal 2 5 3 2 4 2 3 3" xfId="24871"/>
    <cellStyle name="Normal 2 5 3 2 4 2 3 3 2" xfId="24872"/>
    <cellStyle name="Normal 2 5 3 2 4 2 3 4" xfId="24873"/>
    <cellStyle name="Normal 2 5 3 2 4 2 4" xfId="24874"/>
    <cellStyle name="Normal 2 5 3 2 4 2 4 2" xfId="24875"/>
    <cellStyle name="Normal 2 5 3 2 4 2 4 2 2" xfId="24876"/>
    <cellStyle name="Normal 2 5 3 2 4 2 4 3" xfId="24877"/>
    <cellStyle name="Normal 2 5 3 2 4 2 5" xfId="24878"/>
    <cellStyle name="Normal 2 5 3 2 4 2 5 2" xfId="24879"/>
    <cellStyle name="Normal 2 5 3 2 4 2 6" xfId="24880"/>
    <cellStyle name="Normal 2 5 3 2 4 3" xfId="2035"/>
    <cellStyle name="Normal 2 5 3 2 4 3 2" xfId="4755"/>
    <cellStyle name="Normal 2 5 3 2 4 3 2 2" xfId="24881"/>
    <cellStyle name="Normal 2 5 3 2 4 3 2 2 2" xfId="24882"/>
    <cellStyle name="Normal 2 5 3 2 4 3 2 2 2 2" xfId="24883"/>
    <cellStyle name="Normal 2 5 3 2 4 3 2 2 3" xfId="24884"/>
    <cellStyle name="Normal 2 5 3 2 4 3 2 3" xfId="24885"/>
    <cellStyle name="Normal 2 5 3 2 4 3 2 3 2" xfId="24886"/>
    <cellStyle name="Normal 2 5 3 2 4 3 2 4" xfId="24887"/>
    <cellStyle name="Normal 2 5 3 2 4 3 3" xfId="24888"/>
    <cellStyle name="Normal 2 5 3 2 4 3 3 2" xfId="24889"/>
    <cellStyle name="Normal 2 5 3 2 4 3 3 2 2" xfId="24890"/>
    <cellStyle name="Normal 2 5 3 2 4 3 3 3" xfId="24891"/>
    <cellStyle name="Normal 2 5 3 2 4 3 4" xfId="24892"/>
    <cellStyle name="Normal 2 5 3 2 4 3 4 2" xfId="24893"/>
    <cellStyle name="Normal 2 5 3 2 4 3 5" xfId="24894"/>
    <cellStyle name="Normal 2 5 3 2 4 4" xfId="3395"/>
    <cellStyle name="Normal 2 5 3 2 4 4 2" xfId="24895"/>
    <cellStyle name="Normal 2 5 3 2 4 4 2 2" xfId="24896"/>
    <cellStyle name="Normal 2 5 3 2 4 4 2 2 2" xfId="24897"/>
    <cellStyle name="Normal 2 5 3 2 4 4 2 3" xfId="24898"/>
    <cellStyle name="Normal 2 5 3 2 4 4 3" xfId="24899"/>
    <cellStyle name="Normal 2 5 3 2 4 4 3 2" xfId="24900"/>
    <cellStyle name="Normal 2 5 3 2 4 4 4" xfId="24901"/>
    <cellStyle name="Normal 2 5 3 2 4 5" xfId="24902"/>
    <cellStyle name="Normal 2 5 3 2 4 5 2" xfId="24903"/>
    <cellStyle name="Normal 2 5 3 2 4 5 2 2" xfId="24904"/>
    <cellStyle name="Normal 2 5 3 2 4 5 3" xfId="24905"/>
    <cellStyle name="Normal 2 5 3 2 4 6" xfId="24906"/>
    <cellStyle name="Normal 2 5 3 2 4 6 2" xfId="24907"/>
    <cellStyle name="Normal 2 5 3 2 4 7" xfId="24908"/>
    <cellStyle name="Normal 2 5 3 2 5" xfId="811"/>
    <cellStyle name="Normal 2 5 3 2 5 2" xfId="2171"/>
    <cellStyle name="Normal 2 5 3 2 5 2 2" xfId="4891"/>
    <cellStyle name="Normal 2 5 3 2 5 2 2 2" xfId="24909"/>
    <cellStyle name="Normal 2 5 3 2 5 2 2 2 2" xfId="24910"/>
    <cellStyle name="Normal 2 5 3 2 5 2 2 2 2 2" xfId="24911"/>
    <cellStyle name="Normal 2 5 3 2 5 2 2 2 3" xfId="24912"/>
    <cellStyle name="Normal 2 5 3 2 5 2 2 3" xfId="24913"/>
    <cellStyle name="Normal 2 5 3 2 5 2 2 3 2" xfId="24914"/>
    <cellStyle name="Normal 2 5 3 2 5 2 2 4" xfId="24915"/>
    <cellStyle name="Normal 2 5 3 2 5 2 3" xfId="24916"/>
    <cellStyle name="Normal 2 5 3 2 5 2 3 2" xfId="24917"/>
    <cellStyle name="Normal 2 5 3 2 5 2 3 2 2" xfId="24918"/>
    <cellStyle name="Normal 2 5 3 2 5 2 3 3" xfId="24919"/>
    <cellStyle name="Normal 2 5 3 2 5 2 4" xfId="24920"/>
    <cellStyle name="Normal 2 5 3 2 5 2 4 2" xfId="24921"/>
    <cellStyle name="Normal 2 5 3 2 5 2 5" xfId="24922"/>
    <cellStyle name="Normal 2 5 3 2 5 3" xfId="3531"/>
    <cellStyle name="Normal 2 5 3 2 5 3 2" xfId="24923"/>
    <cellStyle name="Normal 2 5 3 2 5 3 2 2" xfId="24924"/>
    <cellStyle name="Normal 2 5 3 2 5 3 2 2 2" xfId="24925"/>
    <cellStyle name="Normal 2 5 3 2 5 3 2 3" xfId="24926"/>
    <cellStyle name="Normal 2 5 3 2 5 3 3" xfId="24927"/>
    <cellStyle name="Normal 2 5 3 2 5 3 3 2" xfId="24928"/>
    <cellStyle name="Normal 2 5 3 2 5 3 4" xfId="24929"/>
    <cellStyle name="Normal 2 5 3 2 5 4" xfId="24930"/>
    <cellStyle name="Normal 2 5 3 2 5 4 2" xfId="24931"/>
    <cellStyle name="Normal 2 5 3 2 5 4 2 2" xfId="24932"/>
    <cellStyle name="Normal 2 5 3 2 5 4 3" xfId="24933"/>
    <cellStyle name="Normal 2 5 3 2 5 5" xfId="24934"/>
    <cellStyle name="Normal 2 5 3 2 5 5 2" xfId="24935"/>
    <cellStyle name="Normal 2 5 3 2 5 6" xfId="24936"/>
    <cellStyle name="Normal 2 5 3 2 6" xfId="1491"/>
    <cellStyle name="Normal 2 5 3 2 6 2" xfId="4211"/>
    <cellStyle name="Normal 2 5 3 2 6 2 2" xfId="24937"/>
    <cellStyle name="Normal 2 5 3 2 6 2 2 2" xfId="24938"/>
    <cellStyle name="Normal 2 5 3 2 6 2 2 2 2" xfId="24939"/>
    <cellStyle name="Normal 2 5 3 2 6 2 2 3" xfId="24940"/>
    <cellStyle name="Normal 2 5 3 2 6 2 3" xfId="24941"/>
    <cellStyle name="Normal 2 5 3 2 6 2 3 2" xfId="24942"/>
    <cellStyle name="Normal 2 5 3 2 6 2 4" xfId="24943"/>
    <cellStyle name="Normal 2 5 3 2 6 3" xfId="24944"/>
    <cellStyle name="Normal 2 5 3 2 6 3 2" xfId="24945"/>
    <cellStyle name="Normal 2 5 3 2 6 3 2 2" xfId="24946"/>
    <cellStyle name="Normal 2 5 3 2 6 3 3" xfId="24947"/>
    <cellStyle name="Normal 2 5 3 2 6 4" xfId="24948"/>
    <cellStyle name="Normal 2 5 3 2 6 4 2" xfId="24949"/>
    <cellStyle name="Normal 2 5 3 2 6 5" xfId="24950"/>
    <cellStyle name="Normal 2 5 3 2 7" xfId="2851"/>
    <cellStyle name="Normal 2 5 3 2 7 2" xfId="24951"/>
    <cellStyle name="Normal 2 5 3 2 7 2 2" xfId="24952"/>
    <cellStyle name="Normal 2 5 3 2 7 2 2 2" xfId="24953"/>
    <cellStyle name="Normal 2 5 3 2 7 2 3" xfId="24954"/>
    <cellStyle name="Normal 2 5 3 2 7 3" xfId="24955"/>
    <cellStyle name="Normal 2 5 3 2 7 3 2" xfId="24956"/>
    <cellStyle name="Normal 2 5 3 2 7 4" xfId="24957"/>
    <cellStyle name="Normal 2 5 3 2 8" xfId="24958"/>
    <cellStyle name="Normal 2 5 3 2 8 2" xfId="24959"/>
    <cellStyle name="Normal 2 5 3 2 8 2 2" xfId="24960"/>
    <cellStyle name="Normal 2 5 3 2 8 3" xfId="24961"/>
    <cellStyle name="Normal 2 5 3 2 9" xfId="24962"/>
    <cellStyle name="Normal 2 5 3 2 9 2" xfId="24963"/>
    <cellStyle name="Normal 2 5 3 3" xfId="199"/>
    <cellStyle name="Normal 2 5 3 3 2" xfId="471"/>
    <cellStyle name="Normal 2 5 3 3 2 2" xfId="1151"/>
    <cellStyle name="Normal 2 5 3 3 2 2 2" xfId="2511"/>
    <cellStyle name="Normal 2 5 3 3 2 2 2 2" xfId="5231"/>
    <cellStyle name="Normal 2 5 3 3 2 2 2 2 2" xfId="24964"/>
    <cellStyle name="Normal 2 5 3 3 2 2 2 2 2 2" xfId="24965"/>
    <cellStyle name="Normal 2 5 3 3 2 2 2 2 2 2 2" xfId="24966"/>
    <cellStyle name="Normal 2 5 3 3 2 2 2 2 2 3" xfId="24967"/>
    <cellStyle name="Normal 2 5 3 3 2 2 2 2 3" xfId="24968"/>
    <cellStyle name="Normal 2 5 3 3 2 2 2 2 3 2" xfId="24969"/>
    <cellStyle name="Normal 2 5 3 3 2 2 2 2 4" xfId="24970"/>
    <cellStyle name="Normal 2 5 3 3 2 2 2 3" xfId="24971"/>
    <cellStyle name="Normal 2 5 3 3 2 2 2 3 2" xfId="24972"/>
    <cellStyle name="Normal 2 5 3 3 2 2 2 3 2 2" xfId="24973"/>
    <cellStyle name="Normal 2 5 3 3 2 2 2 3 3" xfId="24974"/>
    <cellStyle name="Normal 2 5 3 3 2 2 2 4" xfId="24975"/>
    <cellStyle name="Normal 2 5 3 3 2 2 2 4 2" xfId="24976"/>
    <cellStyle name="Normal 2 5 3 3 2 2 2 5" xfId="24977"/>
    <cellStyle name="Normal 2 5 3 3 2 2 3" xfId="3871"/>
    <cellStyle name="Normal 2 5 3 3 2 2 3 2" xfId="24978"/>
    <cellStyle name="Normal 2 5 3 3 2 2 3 2 2" xfId="24979"/>
    <cellStyle name="Normal 2 5 3 3 2 2 3 2 2 2" xfId="24980"/>
    <cellStyle name="Normal 2 5 3 3 2 2 3 2 3" xfId="24981"/>
    <cellStyle name="Normal 2 5 3 3 2 2 3 3" xfId="24982"/>
    <cellStyle name="Normal 2 5 3 3 2 2 3 3 2" xfId="24983"/>
    <cellStyle name="Normal 2 5 3 3 2 2 3 4" xfId="24984"/>
    <cellStyle name="Normal 2 5 3 3 2 2 4" xfId="24985"/>
    <cellStyle name="Normal 2 5 3 3 2 2 4 2" xfId="24986"/>
    <cellStyle name="Normal 2 5 3 3 2 2 4 2 2" xfId="24987"/>
    <cellStyle name="Normal 2 5 3 3 2 2 4 3" xfId="24988"/>
    <cellStyle name="Normal 2 5 3 3 2 2 5" xfId="24989"/>
    <cellStyle name="Normal 2 5 3 3 2 2 5 2" xfId="24990"/>
    <cellStyle name="Normal 2 5 3 3 2 2 6" xfId="24991"/>
    <cellStyle name="Normal 2 5 3 3 2 3" xfId="1831"/>
    <cellStyle name="Normal 2 5 3 3 2 3 2" xfId="4551"/>
    <cellStyle name="Normal 2 5 3 3 2 3 2 2" xfId="24992"/>
    <cellStyle name="Normal 2 5 3 3 2 3 2 2 2" xfId="24993"/>
    <cellStyle name="Normal 2 5 3 3 2 3 2 2 2 2" xfId="24994"/>
    <cellStyle name="Normal 2 5 3 3 2 3 2 2 3" xfId="24995"/>
    <cellStyle name="Normal 2 5 3 3 2 3 2 3" xfId="24996"/>
    <cellStyle name="Normal 2 5 3 3 2 3 2 3 2" xfId="24997"/>
    <cellStyle name="Normal 2 5 3 3 2 3 2 4" xfId="24998"/>
    <cellStyle name="Normal 2 5 3 3 2 3 3" xfId="24999"/>
    <cellStyle name="Normal 2 5 3 3 2 3 3 2" xfId="25000"/>
    <cellStyle name="Normal 2 5 3 3 2 3 3 2 2" xfId="25001"/>
    <cellStyle name="Normal 2 5 3 3 2 3 3 3" xfId="25002"/>
    <cellStyle name="Normal 2 5 3 3 2 3 4" xfId="25003"/>
    <cellStyle name="Normal 2 5 3 3 2 3 4 2" xfId="25004"/>
    <cellStyle name="Normal 2 5 3 3 2 3 5" xfId="25005"/>
    <cellStyle name="Normal 2 5 3 3 2 4" xfId="3191"/>
    <cellStyle name="Normal 2 5 3 3 2 4 2" xfId="25006"/>
    <cellStyle name="Normal 2 5 3 3 2 4 2 2" xfId="25007"/>
    <cellStyle name="Normal 2 5 3 3 2 4 2 2 2" xfId="25008"/>
    <cellStyle name="Normal 2 5 3 3 2 4 2 3" xfId="25009"/>
    <cellStyle name="Normal 2 5 3 3 2 4 3" xfId="25010"/>
    <cellStyle name="Normal 2 5 3 3 2 4 3 2" xfId="25011"/>
    <cellStyle name="Normal 2 5 3 3 2 4 4" xfId="25012"/>
    <cellStyle name="Normal 2 5 3 3 2 5" xfId="25013"/>
    <cellStyle name="Normal 2 5 3 3 2 5 2" xfId="25014"/>
    <cellStyle name="Normal 2 5 3 3 2 5 2 2" xfId="25015"/>
    <cellStyle name="Normal 2 5 3 3 2 5 3" xfId="25016"/>
    <cellStyle name="Normal 2 5 3 3 2 6" xfId="25017"/>
    <cellStyle name="Normal 2 5 3 3 2 6 2" xfId="25018"/>
    <cellStyle name="Normal 2 5 3 3 2 7" xfId="25019"/>
    <cellStyle name="Normal 2 5 3 3 3" xfId="879"/>
    <cellStyle name="Normal 2 5 3 3 3 2" xfId="2239"/>
    <cellStyle name="Normal 2 5 3 3 3 2 2" xfId="4959"/>
    <cellStyle name="Normal 2 5 3 3 3 2 2 2" xfId="25020"/>
    <cellStyle name="Normal 2 5 3 3 3 2 2 2 2" xfId="25021"/>
    <cellStyle name="Normal 2 5 3 3 3 2 2 2 2 2" xfId="25022"/>
    <cellStyle name="Normal 2 5 3 3 3 2 2 2 3" xfId="25023"/>
    <cellStyle name="Normal 2 5 3 3 3 2 2 3" xfId="25024"/>
    <cellStyle name="Normal 2 5 3 3 3 2 2 3 2" xfId="25025"/>
    <cellStyle name="Normal 2 5 3 3 3 2 2 4" xfId="25026"/>
    <cellStyle name="Normal 2 5 3 3 3 2 3" xfId="25027"/>
    <cellStyle name="Normal 2 5 3 3 3 2 3 2" xfId="25028"/>
    <cellStyle name="Normal 2 5 3 3 3 2 3 2 2" xfId="25029"/>
    <cellStyle name="Normal 2 5 3 3 3 2 3 3" xfId="25030"/>
    <cellStyle name="Normal 2 5 3 3 3 2 4" xfId="25031"/>
    <cellStyle name="Normal 2 5 3 3 3 2 4 2" xfId="25032"/>
    <cellStyle name="Normal 2 5 3 3 3 2 5" xfId="25033"/>
    <cellStyle name="Normal 2 5 3 3 3 3" xfId="3599"/>
    <cellStyle name="Normal 2 5 3 3 3 3 2" xfId="25034"/>
    <cellStyle name="Normal 2 5 3 3 3 3 2 2" xfId="25035"/>
    <cellStyle name="Normal 2 5 3 3 3 3 2 2 2" xfId="25036"/>
    <cellStyle name="Normal 2 5 3 3 3 3 2 3" xfId="25037"/>
    <cellStyle name="Normal 2 5 3 3 3 3 3" xfId="25038"/>
    <cellStyle name="Normal 2 5 3 3 3 3 3 2" xfId="25039"/>
    <cellStyle name="Normal 2 5 3 3 3 3 4" xfId="25040"/>
    <cellStyle name="Normal 2 5 3 3 3 4" xfId="25041"/>
    <cellStyle name="Normal 2 5 3 3 3 4 2" xfId="25042"/>
    <cellStyle name="Normal 2 5 3 3 3 4 2 2" xfId="25043"/>
    <cellStyle name="Normal 2 5 3 3 3 4 3" xfId="25044"/>
    <cellStyle name="Normal 2 5 3 3 3 5" xfId="25045"/>
    <cellStyle name="Normal 2 5 3 3 3 5 2" xfId="25046"/>
    <cellStyle name="Normal 2 5 3 3 3 6" xfId="25047"/>
    <cellStyle name="Normal 2 5 3 3 4" xfId="1559"/>
    <cellStyle name="Normal 2 5 3 3 4 2" xfId="4279"/>
    <cellStyle name="Normal 2 5 3 3 4 2 2" xfId="25048"/>
    <cellStyle name="Normal 2 5 3 3 4 2 2 2" xfId="25049"/>
    <cellStyle name="Normal 2 5 3 3 4 2 2 2 2" xfId="25050"/>
    <cellStyle name="Normal 2 5 3 3 4 2 2 3" xfId="25051"/>
    <cellStyle name="Normal 2 5 3 3 4 2 3" xfId="25052"/>
    <cellStyle name="Normal 2 5 3 3 4 2 3 2" xfId="25053"/>
    <cellStyle name="Normal 2 5 3 3 4 2 4" xfId="25054"/>
    <cellStyle name="Normal 2 5 3 3 4 3" xfId="25055"/>
    <cellStyle name="Normal 2 5 3 3 4 3 2" xfId="25056"/>
    <cellStyle name="Normal 2 5 3 3 4 3 2 2" xfId="25057"/>
    <cellStyle name="Normal 2 5 3 3 4 3 3" xfId="25058"/>
    <cellStyle name="Normal 2 5 3 3 4 4" xfId="25059"/>
    <cellStyle name="Normal 2 5 3 3 4 4 2" xfId="25060"/>
    <cellStyle name="Normal 2 5 3 3 4 5" xfId="25061"/>
    <cellStyle name="Normal 2 5 3 3 5" xfId="2919"/>
    <cellStyle name="Normal 2 5 3 3 5 2" xfId="25062"/>
    <cellStyle name="Normal 2 5 3 3 5 2 2" xfId="25063"/>
    <cellStyle name="Normal 2 5 3 3 5 2 2 2" xfId="25064"/>
    <cellStyle name="Normal 2 5 3 3 5 2 3" xfId="25065"/>
    <cellStyle name="Normal 2 5 3 3 5 3" xfId="25066"/>
    <cellStyle name="Normal 2 5 3 3 5 3 2" xfId="25067"/>
    <cellStyle name="Normal 2 5 3 3 5 4" xfId="25068"/>
    <cellStyle name="Normal 2 5 3 3 6" xfId="25069"/>
    <cellStyle name="Normal 2 5 3 3 6 2" xfId="25070"/>
    <cellStyle name="Normal 2 5 3 3 6 2 2" xfId="25071"/>
    <cellStyle name="Normal 2 5 3 3 6 3" xfId="25072"/>
    <cellStyle name="Normal 2 5 3 3 7" xfId="25073"/>
    <cellStyle name="Normal 2 5 3 3 7 2" xfId="25074"/>
    <cellStyle name="Normal 2 5 3 3 8" xfId="25075"/>
    <cellStyle name="Normal 2 5 3 4" xfId="335"/>
    <cellStyle name="Normal 2 5 3 4 2" xfId="1015"/>
    <cellStyle name="Normal 2 5 3 4 2 2" xfId="2375"/>
    <cellStyle name="Normal 2 5 3 4 2 2 2" xfId="5095"/>
    <cellStyle name="Normal 2 5 3 4 2 2 2 2" xfId="25076"/>
    <cellStyle name="Normal 2 5 3 4 2 2 2 2 2" xfId="25077"/>
    <cellStyle name="Normal 2 5 3 4 2 2 2 2 2 2" xfId="25078"/>
    <cellStyle name="Normal 2 5 3 4 2 2 2 2 3" xfId="25079"/>
    <cellStyle name="Normal 2 5 3 4 2 2 2 3" xfId="25080"/>
    <cellStyle name="Normal 2 5 3 4 2 2 2 3 2" xfId="25081"/>
    <cellStyle name="Normal 2 5 3 4 2 2 2 4" xfId="25082"/>
    <cellStyle name="Normal 2 5 3 4 2 2 3" xfId="25083"/>
    <cellStyle name="Normal 2 5 3 4 2 2 3 2" xfId="25084"/>
    <cellStyle name="Normal 2 5 3 4 2 2 3 2 2" xfId="25085"/>
    <cellStyle name="Normal 2 5 3 4 2 2 3 3" xfId="25086"/>
    <cellStyle name="Normal 2 5 3 4 2 2 4" xfId="25087"/>
    <cellStyle name="Normal 2 5 3 4 2 2 4 2" xfId="25088"/>
    <cellStyle name="Normal 2 5 3 4 2 2 5" xfId="25089"/>
    <cellStyle name="Normal 2 5 3 4 2 3" xfId="3735"/>
    <cellStyle name="Normal 2 5 3 4 2 3 2" xfId="25090"/>
    <cellStyle name="Normal 2 5 3 4 2 3 2 2" xfId="25091"/>
    <cellStyle name="Normal 2 5 3 4 2 3 2 2 2" xfId="25092"/>
    <cellStyle name="Normal 2 5 3 4 2 3 2 3" xfId="25093"/>
    <cellStyle name="Normal 2 5 3 4 2 3 3" xfId="25094"/>
    <cellStyle name="Normal 2 5 3 4 2 3 3 2" xfId="25095"/>
    <cellStyle name="Normal 2 5 3 4 2 3 4" xfId="25096"/>
    <cellStyle name="Normal 2 5 3 4 2 4" xfId="25097"/>
    <cellStyle name="Normal 2 5 3 4 2 4 2" xfId="25098"/>
    <cellStyle name="Normal 2 5 3 4 2 4 2 2" xfId="25099"/>
    <cellStyle name="Normal 2 5 3 4 2 4 3" xfId="25100"/>
    <cellStyle name="Normal 2 5 3 4 2 5" xfId="25101"/>
    <cellStyle name="Normal 2 5 3 4 2 5 2" xfId="25102"/>
    <cellStyle name="Normal 2 5 3 4 2 6" xfId="25103"/>
    <cellStyle name="Normal 2 5 3 4 3" xfId="1695"/>
    <cellStyle name="Normal 2 5 3 4 3 2" xfId="4415"/>
    <cellStyle name="Normal 2 5 3 4 3 2 2" xfId="25104"/>
    <cellStyle name="Normal 2 5 3 4 3 2 2 2" xfId="25105"/>
    <cellStyle name="Normal 2 5 3 4 3 2 2 2 2" xfId="25106"/>
    <cellStyle name="Normal 2 5 3 4 3 2 2 3" xfId="25107"/>
    <cellStyle name="Normal 2 5 3 4 3 2 3" xfId="25108"/>
    <cellStyle name="Normal 2 5 3 4 3 2 3 2" xfId="25109"/>
    <cellStyle name="Normal 2 5 3 4 3 2 4" xfId="25110"/>
    <cellStyle name="Normal 2 5 3 4 3 3" xfId="25111"/>
    <cellStyle name="Normal 2 5 3 4 3 3 2" xfId="25112"/>
    <cellStyle name="Normal 2 5 3 4 3 3 2 2" xfId="25113"/>
    <cellStyle name="Normal 2 5 3 4 3 3 3" xfId="25114"/>
    <cellStyle name="Normal 2 5 3 4 3 4" xfId="25115"/>
    <cellStyle name="Normal 2 5 3 4 3 4 2" xfId="25116"/>
    <cellStyle name="Normal 2 5 3 4 3 5" xfId="25117"/>
    <cellStyle name="Normal 2 5 3 4 4" xfId="3055"/>
    <cellStyle name="Normal 2 5 3 4 4 2" xfId="25118"/>
    <cellStyle name="Normal 2 5 3 4 4 2 2" xfId="25119"/>
    <cellStyle name="Normal 2 5 3 4 4 2 2 2" xfId="25120"/>
    <cellStyle name="Normal 2 5 3 4 4 2 3" xfId="25121"/>
    <cellStyle name="Normal 2 5 3 4 4 3" xfId="25122"/>
    <cellStyle name="Normal 2 5 3 4 4 3 2" xfId="25123"/>
    <cellStyle name="Normal 2 5 3 4 4 4" xfId="25124"/>
    <cellStyle name="Normal 2 5 3 4 5" xfId="25125"/>
    <cellStyle name="Normal 2 5 3 4 5 2" xfId="25126"/>
    <cellStyle name="Normal 2 5 3 4 5 2 2" xfId="25127"/>
    <cellStyle name="Normal 2 5 3 4 5 3" xfId="25128"/>
    <cellStyle name="Normal 2 5 3 4 6" xfId="25129"/>
    <cellStyle name="Normal 2 5 3 4 6 2" xfId="25130"/>
    <cellStyle name="Normal 2 5 3 4 7" xfId="25131"/>
    <cellStyle name="Normal 2 5 3 5" xfId="607"/>
    <cellStyle name="Normal 2 5 3 5 2" xfId="1287"/>
    <cellStyle name="Normal 2 5 3 5 2 2" xfId="2647"/>
    <cellStyle name="Normal 2 5 3 5 2 2 2" xfId="5367"/>
    <cellStyle name="Normal 2 5 3 5 2 2 2 2" xfId="25132"/>
    <cellStyle name="Normal 2 5 3 5 2 2 2 2 2" xfId="25133"/>
    <cellStyle name="Normal 2 5 3 5 2 2 2 2 2 2" xfId="25134"/>
    <cellStyle name="Normal 2 5 3 5 2 2 2 2 3" xfId="25135"/>
    <cellStyle name="Normal 2 5 3 5 2 2 2 3" xfId="25136"/>
    <cellStyle name="Normal 2 5 3 5 2 2 2 3 2" xfId="25137"/>
    <cellStyle name="Normal 2 5 3 5 2 2 2 4" xfId="25138"/>
    <cellStyle name="Normal 2 5 3 5 2 2 3" xfId="25139"/>
    <cellStyle name="Normal 2 5 3 5 2 2 3 2" xfId="25140"/>
    <cellStyle name="Normal 2 5 3 5 2 2 3 2 2" xfId="25141"/>
    <cellStyle name="Normal 2 5 3 5 2 2 3 3" xfId="25142"/>
    <cellStyle name="Normal 2 5 3 5 2 2 4" xfId="25143"/>
    <cellStyle name="Normal 2 5 3 5 2 2 4 2" xfId="25144"/>
    <cellStyle name="Normal 2 5 3 5 2 2 5" xfId="25145"/>
    <cellStyle name="Normal 2 5 3 5 2 3" xfId="4007"/>
    <cellStyle name="Normal 2 5 3 5 2 3 2" xfId="25146"/>
    <cellStyle name="Normal 2 5 3 5 2 3 2 2" xfId="25147"/>
    <cellStyle name="Normal 2 5 3 5 2 3 2 2 2" xfId="25148"/>
    <cellStyle name="Normal 2 5 3 5 2 3 2 3" xfId="25149"/>
    <cellStyle name="Normal 2 5 3 5 2 3 3" xfId="25150"/>
    <cellStyle name="Normal 2 5 3 5 2 3 3 2" xfId="25151"/>
    <cellStyle name="Normal 2 5 3 5 2 3 4" xfId="25152"/>
    <cellStyle name="Normal 2 5 3 5 2 4" xfId="25153"/>
    <cellStyle name="Normal 2 5 3 5 2 4 2" xfId="25154"/>
    <cellStyle name="Normal 2 5 3 5 2 4 2 2" xfId="25155"/>
    <cellStyle name="Normal 2 5 3 5 2 4 3" xfId="25156"/>
    <cellStyle name="Normal 2 5 3 5 2 5" xfId="25157"/>
    <cellStyle name="Normal 2 5 3 5 2 5 2" xfId="25158"/>
    <cellStyle name="Normal 2 5 3 5 2 6" xfId="25159"/>
    <cellStyle name="Normal 2 5 3 5 3" xfId="1967"/>
    <cellStyle name="Normal 2 5 3 5 3 2" xfId="4687"/>
    <cellStyle name="Normal 2 5 3 5 3 2 2" xfId="25160"/>
    <cellStyle name="Normal 2 5 3 5 3 2 2 2" xfId="25161"/>
    <cellStyle name="Normal 2 5 3 5 3 2 2 2 2" xfId="25162"/>
    <cellStyle name="Normal 2 5 3 5 3 2 2 3" xfId="25163"/>
    <cellStyle name="Normal 2 5 3 5 3 2 3" xfId="25164"/>
    <cellStyle name="Normal 2 5 3 5 3 2 3 2" xfId="25165"/>
    <cellStyle name="Normal 2 5 3 5 3 2 4" xfId="25166"/>
    <cellStyle name="Normal 2 5 3 5 3 3" xfId="25167"/>
    <cellStyle name="Normal 2 5 3 5 3 3 2" xfId="25168"/>
    <cellStyle name="Normal 2 5 3 5 3 3 2 2" xfId="25169"/>
    <cellStyle name="Normal 2 5 3 5 3 3 3" xfId="25170"/>
    <cellStyle name="Normal 2 5 3 5 3 4" xfId="25171"/>
    <cellStyle name="Normal 2 5 3 5 3 4 2" xfId="25172"/>
    <cellStyle name="Normal 2 5 3 5 3 5" xfId="25173"/>
    <cellStyle name="Normal 2 5 3 5 4" xfId="3327"/>
    <cellStyle name="Normal 2 5 3 5 4 2" xfId="25174"/>
    <cellStyle name="Normal 2 5 3 5 4 2 2" xfId="25175"/>
    <cellStyle name="Normal 2 5 3 5 4 2 2 2" xfId="25176"/>
    <cellStyle name="Normal 2 5 3 5 4 2 3" xfId="25177"/>
    <cellStyle name="Normal 2 5 3 5 4 3" xfId="25178"/>
    <cellStyle name="Normal 2 5 3 5 4 3 2" xfId="25179"/>
    <cellStyle name="Normal 2 5 3 5 4 4" xfId="25180"/>
    <cellStyle name="Normal 2 5 3 5 5" xfId="25181"/>
    <cellStyle name="Normal 2 5 3 5 5 2" xfId="25182"/>
    <cellStyle name="Normal 2 5 3 5 5 2 2" xfId="25183"/>
    <cellStyle name="Normal 2 5 3 5 5 3" xfId="25184"/>
    <cellStyle name="Normal 2 5 3 5 6" xfId="25185"/>
    <cellStyle name="Normal 2 5 3 5 6 2" xfId="25186"/>
    <cellStyle name="Normal 2 5 3 5 7" xfId="25187"/>
    <cellStyle name="Normal 2 5 3 6" xfId="743"/>
    <cellStyle name="Normal 2 5 3 6 2" xfId="2103"/>
    <cellStyle name="Normal 2 5 3 6 2 2" xfId="4823"/>
    <cellStyle name="Normal 2 5 3 6 2 2 2" xfId="25188"/>
    <cellStyle name="Normal 2 5 3 6 2 2 2 2" xfId="25189"/>
    <cellStyle name="Normal 2 5 3 6 2 2 2 2 2" xfId="25190"/>
    <cellStyle name="Normal 2 5 3 6 2 2 2 3" xfId="25191"/>
    <cellStyle name="Normal 2 5 3 6 2 2 3" xfId="25192"/>
    <cellStyle name="Normal 2 5 3 6 2 2 3 2" xfId="25193"/>
    <cellStyle name="Normal 2 5 3 6 2 2 4" xfId="25194"/>
    <cellStyle name="Normal 2 5 3 6 2 3" xfId="25195"/>
    <cellStyle name="Normal 2 5 3 6 2 3 2" xfId="25196"/>
    <cellStyle name="Normal 2 5 3 6 2 3 2 2" xfId="25197"/>
    <cellStyle name="Normal 2 5 3 6 2 3 3" xfId="25198"/>
    <cellStyle name="Normal 2 5 3 6 2 4" xfId="25199"/>
    <cellStyle name="Normal 2 5 3 6 2 4 2" xfId="25200"/>
    <cellStyle name="Normal 2 5 3 6 2 5" xfId="25201"/>
    <cellStyle name="Normal 2 5 3 6 3" xfId="3463"/>
    <cellStyle name="Normal 2 5 3 6 3 2" xfId="25202"/>
    <cellStyle name="Normal 2 5 3 6 3 2 2" xfId="25203"/>
    <cellStyle name="Normal 2 5 3 6 3 2 2 2" xfId="25204"/>
    <cellStyle name="Normal 2 5 3 6 3 2 3" xfId="25205"/>
    <cellStyle name="Normal 2 5 3 6 3 3" xfId="25206"/>
    <cellStyle name="Normal 2 5 3 6 3 3 2" xfId="25207"/>
    <cellStyle name="Normal 2 5 3 6 3 4" xfId="25208"/>
    <cellStyle name="Normal 2 5 3 6 4" xfId="25209"/>
    <cellStyle name="Normal 2 5 3 6 4 2" xfId="25210"/>
    <cellStyle name="Normal 2 5 3 6 4 2 2" xfId="25211"/>
    <cellStyle name="Normal 2 5 3 6 4 3" xfId="25212"/>
    <cellStyle name="Normal 2 5 3 6 5" xfId="25213"/>
    <cellStyle name="Normal 2 5 3 6 5 2" xfId="25214"/>
    <cellStyle name="Normal 2 5 3 6 6" xfId="25215"/>
    <cellStyle name="Normal 2 5 3 7" xfId="1423"/>
    <cellStyle name="Normal 2 5 3 7 2" xfId="4143"/>
    <cellStyle name="Normal 2 5 3 7 2 2" xfId="25216"/>
    <cellStyle name="Normal 2 5 3 7 2 2 2" xfId="25217"/>
    <cellStyle name="Normal 2 5 3 7 2 2 2 2" xfId="25218"/>
    <cellStyle name="Normal 2 5 3 7 2 2 3" xfId="25219"/>
    <cellStyle name="Normal 2 5 3 7 2 3" xfId="25220"/>
    <cellStyle name="Normal 2 5 3 7 2 3 2" xfId="25221"/>
    <cellStyle name="Normal 2 5 3 7 2 4" xfId="25222"/>
    <cellStyle name="Normal 2 5 3 7 3" xfId="25223"/>
    <cellStyle name="Normal 2 5 3 7 3 2" xfId="25224"/>
    <cellStyle name="Normal 2 5 3 7 3 2 2" xfId="25225"/>
    <cellStyle name="Normal 2 5 3 7 3 3" xfId="25226"/>
    <cellStyle name="Normal 2 5 3 7 4" xfId="25227"/>
    <cellStyle name="Normal 2 5 3 7 4 2" xfId="25228"/>
    <cellStyle name="Normal 2 5 3 7 5" xfId="25229"/>
    <cellStyle name="Normal 2 5 3 8" xfId="2783"/>
    <cellStyle name="Normal 2 5 3 8 2" xfId="25230"/>
    <cellStyle name="Normal 2 5 3 8 2 2" xfId="25231"/>
    <cellStyle name="Normal 2 5 3 8 2 2 2" xfId="25232"/>
    <cellStyle name="Normal 2 5 3 8 2 3" xfId="25233"/>
    <cellStyle name="Normal 2 5 3 8 3" xfId="25234"/>
    <cellStyle name="Normal 2 5 3 8 3 2" xfId="25235"/>
    <cellStyle name="Normal 2 5 3 8 4" xfId="25236"/>
    <cellStyle name="Normal 2 5 3 9" xfId="25237"/>
    <cellStyle name="Normal 2 5 3 9 2" xfId="25238"/>
    <cellStyle name="Normal 2 5 3 9 2 2" xfId="25239"/>
    <cellStyle name="Normal 2 5 3 9 3" xfId="25240"/>
    <cellStyle name="Normal 2 5 4" xfId="96"/>
    <cellStyle name="Normal 2 5 4 10" xfId="25241"/>
    <cellStyle name="Normal 2 5 4 2" xfId="233"/>
    <cellStyle name="Normal 2 5 4 2 2" xfId="505"/>
    <cellStyle name="Normal 2 5 4 2 2 2" xfId="1185"/>
    <cellStyle name="Normal 2 5 4 2 2 2 2" xfId="2545"/>
    <cellStyle name="Normal 2 5 4 2 2 2 2 2" xfId="5265"/>
    <cellStyle name="Normal 2 5 4 2 2 2 2 2 2" xfId="25242"/>
    <cellStyle name="Normal 2 5 4 2 2 2 2 2 2 2" xfId="25243"/>
    <cellStyle name="Normal 2 5 4 2 2 2 2 2 2 2 2" xfId="25244"/>
    <cellStyle name="Normal 2 5 4 2 2 2 2 2 2 3" xfId="25245"/>
    <cellStyle name="Normal 2 5 4 2 2 2 2 2 3" xfId="25246"/>
    <cellStyle name="Normal 2 5 4 2 2 2 2 2 3 2" xfId="25247"/>
    <cellStyle name="Normal 2 5 4 2 2 2 2 2 4" xfId="25248"/>
    <cellStyle name="Normal 2 5 4 2 2 2 2 3" xfId="25249"/>
    <cellStyle name="Normal 2 5 4 2 2 2 2 3 2" xfId="25250"/>
    <cellStyle name="Normal 2 5 4 2 2 2 2 3 2 2" xfId="25251"/>
    <cellStyle name="Normal 2 5 4 2 2 2 2 3 3" xfId="25252"/>
    <cellStyle name="Normal 2 5 4 2 2 2 2 4" xfId="25253"/>
    <cellStyle name="Normal 2 5 4 2 2 2 2 4 2" xfId="25254"/>
    <cellStyle name="Normal 2 5 4 2 2 2 2 5" xfId="25255"/>
    <cellStyle name="Normal 2 5 4 2 2 2 3" xfId="3905"/>
    <cellStyle name="Normal 2 5 4 2 2 2 3 2" xfId="25256"/>
    <cellStyle name="Normal 2 5 4 2 2 2 3 2 2" xfId="25257"/>
    <cellStyle name="Normal 2 5 4 2 2 2 3 2 2 2" xfId="25258"/>
    <cellStyle name="Normal 2 5 4 2 2 2 3 2 3" xfId="25259"/>
    <cellStyle name="Normal 2 5 4 2 2 2 3 3" xfId="25260"/>
    <cellStyle name="Normal 2 5 4 2 2 2 3 3 2" xfId="25261"/>
    <cellStyle name="Normal 2 5 4 2 2 2 3 4" xfId="25262"/>
    <cellStyle name="Normal 2 5 4 2 2 2 4" xfId="25263"/>
    <cellStyle name="Normal 2 5 4 2 2 2 4 2" xfId="25264"/>
    <cellStyle name="Normal 2 5 4 2 2 2 4 2 2" xfId="25265"/>
    <cellStyle name="Normal 2 5 4 2 2 2 4 3" xfId="25266"/>
    <cellStyle name="Normal 2 5 4 2 2 2 5" xfId="25267"/>
    <cellStyle name="Normal 2 5 4 2 2 2 5 2" xfId="25268"/>
    <cellStyle name="Normal 2 5 4 2 2 2 6" xfId="25269"/>
    <cellStyle name="Normal 2 5 4 2 2 3" xfId="1865"/>
    <cellStyle name="Normal 2 5 4 2 2 3 2" xfId="4585"/>
    <cellStyle name="Normal 2 5 4 2 2 3 2 2" xfId="25270"/>
    <cellStyle name="Normal 2 5 4 2 2 3 2 2 2" xfId="25271"/>
    <cellStyle name="Normal 2 5 4 2 2 3 2 2 2 2" xfId="25272"/>
    <cellStyle name="Normal 2 5 4 2 2 3 2 2 3" xfId="25273"/>
    <cellStyle name="Normal 2 5 4 2 2 3 2 3" xfId="25274"/>
    <cellStyle name="Normal 2 5 4 2 2 3 2 3 2" xfId="25275"/>
    <cellStyle name="Normal 2 5 4 2 2 3 2 4" xfId="25276"/>
    <cellStyle name="Normal 2 5 4 2 2 3 3" xfId="25277"/>
    <cellStyle name="Normal 2 5 4 2 2 3 3 2" xfId="25278"/>
    <cellStyle name="Normal 2 5 4 2 2 3 3 2 2" xfId="25279"/>
    <cellStyle name="Normal 2 5 4 2 2 3 3 3" xfId="25280"/>
    <cellStyle name="Normal 2 5 4 2 2 3 4" xfId="25281"/>
    <cellStyle name="Normal 2 5 4 2 2 3 4 2" xfId="25282"/>
    <cellStyle name="Normal 2 5 4 2 2 3 5" xfId="25283"/>
    <cellStyle name="Normal 2 5 4 2 2 4" xfId="3225"/>
    <cellStyle name="Normal 2 5 4 2 2 4 2" xfId="25284"/>
    <cellStyle name="Normal 2 5 4 2 2 4 2 2" xfId="25285"/>
    <cellStyle name="Normal 2 5 4 2 2 4 2 2 2" xfId="25286"/>
    <cellStyle name="Normal 2 5 4 2 2 4 2 3" xfId="25287"/>
    <cellStyle name="Normal 2 5 4 2 2 4 3" xfId="25288"/>
    <cellStyle name="Normal 2 5 4 2 2 4 3 2" xfId="25289"/>
    <cellStyle name="Normal 2 5 4 2 2 4 4" xfId="25290"/>
    <cellStyle name="Normal 2 5 4 2 2 5" xfId="25291"/>
    <cellStyle name="Normal 2 5 4 2 2 5 2" xfId="25292"/>
    <cellStyle name="Normal 2 5 4 2 2 5 2 2" xfId="25293"/>
    <cellStyle name="Normal 2 5 4 2 2 5 3" xfId="25294"/>
    <cellStyle name="Normal 2 5 4 2 2 6" xfId="25295"/>
    <cellStyle name="Normal 2 5 4 2 2 6 2" xfId="25296"/>
    <cellStyle name="Normal 2 5 4 2 2 7" xfId="25297"/>
    <cellStyle name="Normal 2 5 4 2 3" xfId="913"/>
    <cellStyle name="Normal 2 5 4 2 3 2" xfId="2273"/>
    <cellStyle name="Normal 2 5 4 2 3 2 2" xfId="4993"/>
    <cellStyle name="Normal 2 5 4 2 3 2 2 2" xfId="25298"/>
    <cellStyle name="Normal 2 5 4 2 3 2 2 2 2" xfId="25299"/>
    <cellStyle name="Normal 2 5 4 2 3 2 2 2 2 2" xfId="25300"/>
    <cellStyle name="Normal 2 5 4 2 3 2 2 2 3" xfId="25301"/>
    <cellStyle name="Normal 2 5 4 2 3 2 2 3" xfId="25302"/>
    <cellStyle name="Normal 2 5 4 2 3 2 2 3 2" xfId="25303"/>
    <cellStyle name="Normal 2 5 4 2 3 2 2 4" xfId="25304"/>
    <cellStyle name="Normal 2 5 4 2 3 2 3" xfId="25305"/>
    <cellStyle name="Normal 2 5 4 2 3 2 3 2" xfId="25306"/>
    <cellStyle name="Normal 2 5 4 2 3 2 3 2 2" xfId="25307"/>
    <cellStyle name="Normal 2 5 4 2 3 2 3 3" xfId="25308"/>
    <cellStyle name="Normal 2 5 4 2 3 2 4" xfId="25309"/>
    <cellStyle name="Normal 2 5 4 2 3 2 4 2" xfId="25310"/>
    <cellStyle name="Normal 2 5 4 2 3 2 5" xfId="25311"/>
    <cellStyle name="Normal 2 5 4 2 3 3" xfId="3633"/>
    <cellStyle name="Normal 2 5 4 2 3 3 2" xfId="25312"/>
    <cellStyle name="Normal 2 5 4 2 3 3 2 2" xfId="25313"/>
    <cellStyle name="Normal 2 5 4 2 3 3 2 2 2" xfId="25314"/>
    <cellStyle name="Normal 2 5 4 2 3 3 2 3" xfId="25315"/>
    <cellStyle name="Normal 2 5 4 2 3 3 3" xfId="25316"/>
    <cellStyle name="Normal 2 5 4 2 3 3 3 2" xfId="25317"/>
    <cellStyle name="Normal 2 5 4 2 3 3 4" xfId="25318"/>
    <cellStyle name="Normal 2 5 4 2 3 4" xfId="25319"/>
    <cellStyle name="Normal 2 5 4 2 3 4 2" xfId="25320"/>
    <cellStyle name="Normal 2 5 4 2 3 4 2 2" xfId="25321"/>
    <cellStyle name="Normal 2 5 4 2 3 4 3" xfId="25322"/>
    <cellStyle name="Normal 2 5 4 2 3 5" xfId="25323"/>
    <cellStyle name="Normal 2 5 4 2 3 5 2" xfId="25324"/>
    <cellStyle name="Normal 2 5 4 2 3 6" xfId="25325"/>
    <cellStyle name="Normal 2 5 4 2 4" xfId="1593"/>
    <cellStyle name="Normal 2 5 4 2 4 2" xfId="4313"/>
    <cellStyle name="Normal 2 5 4 2 4 2 2" xfId="25326"/>
    <cellStyle name="Normal 2 5 4 2 4 2 2 2" xfId="25327"/>
    <cellStyle name="Normal 2 5 4 2 4 2 2 2 2" xfId="25328"/>
    <cellStyle name="Normal 2 5 4 2 4 2 2 3" xfId="25329"/>
    <cellStyle name="Normal 2 5 4 2 4 2 3" xfId="25330"/>
    <cellStyle name="Normal 2 5 4 2 4 2 3 2" xfId="25331"/>
    <cellStyle name="Normal 2 5 4 2 4 2 4" xfId="25332"/>
    <cellStyle name="Normal 2 5 4 2 4 3" xfId="25333"/>
    <cellStyle name="Normal 2 5 4 2 4 3 2" xfId="25334"/>
    <cellStyle name="Normal 2 5 4 2 4 3 2 2" xfId="25335"/>
    <cellStyle name="Normal 2 5 4 2 4 3 3" xfId="25336"/>
    <cellStyle name="Normal 2 5 4 2 4 4" xfId="25337"/>
    <cellStyle name="Normal 2 5 4 2 4 4 2" xfId="25338"/>
    <cellStyle name="Normal 2 5 4 2 4 5" xfId="25339"/>
    <cellStyle name="Normal 2 5 4 2 5" xfId="2953"/>
    <cellStyle name="Normal 2 5 4 2 5 2" xfId="25340"/>
    <cellStyle name="Normal 2 5 4 2 5 2 2" xfId="25341"/>
    <cellStyle name="Normal 2 5 4 2 5 2 2 2" xfId="25342"/>
    <cellStyle name="Normal 2 5 4 2 5 2 3" xfId="25343"/>
    <cellStyle name="Normal 2 5 4 2 5 3" xfId="25344"/>
    <cellStyle name="Normal 2 5 4 2 5 3 2" xfId="25345"/>
    <cellStyle name="Normal 2 5 4 2 5 4" xfId="25346"/>
    <cellStyle name="Normal 2 5 4 2 6" xfId="25347"/>
    <cellStyle name="Normal 2 5 4 2 6 2" xfId="25348"/>
    <cellStyle name="Normal 2 5 4 2 6 2 2" xfId="25349"/>
    <cellStyle name="Normal 2 5 4 2 6 3" xfId="25350"/>
    <cellStyle name="Normal 2 5 4 2 7" xfId="25351"/>
    <cellStyle name="Normal 2 5 4 2 7 2" xfId="25352"/>
    <cellStyle name="Normal 2 5 4 2 8" xfId="25353"/>
    <cellStyle name="Normal 2 5 4 3" xfId="369"/>
    <cellStyle name="Normal 2 5 4 3 2" xfId="1049"/>
    <cellStyle name="Normal 2 5 4 3 2 2" xfId="2409"/>
    <cellStyle name="Normal 2 5 4 3 2 2 2" xfId="5129"/>
    <cellStyle name="Normal 2 5 4 3 2 2 2 2" xfId="25354"/>
    <cellStyle name="Normal 2 5 4 3 2 2 2 2 2" xfId="25355"/>
    <cellStyle name="Normal 2 5 4 3 2 2 2 2 2 2" xfId="25356"/>
    <cellStyle name="Normal 2 5 4 3 2 2 2 2 3" xfId="25357"/>
    <cellStyle name="Normal 2 5 4 3 2 2 2 3" xfId="25358"/>
    <cellStyle name="Normal 2 5 4 3 2 2 2 3 2" xfId="25359"/>
    <cellStyle name="Normal 2 5 4 3 2 2 2 4" xfId="25360"/>
    <cellStyle name="Normal 2 5 4 3 2 2 3" xfId="25361"/>
    <cellStyle name="Normal 2 5 4 3 2 2 3 2" xfId="25362"/>
    <cellStyle name="Normal 2 5 4 3 2 2 3 2 2" xfId="25363"/>
    <cellStyle name="Normal 2 5 4 3 2 2 3 3" xfId="25364"/>
    <cellStyle name="Normal 2 5 4 3 2 2 4" xfId="25365"/>
    <cellStyle name="Normal 2 5 4 3 2 2 4 2" xfId="25366"/>
    <cellStyle name="Normal 2 5 4 3 2 2 5" xfId="25367"/>
    <cellStyle name="Normal 2 5 4 3 2 3" xfId="3769"/>
    <cellStyle name="Normal 2 5 4 3 2 3 2" xfId="25368"/>
    <cellStyle name="Normal 2 5 4 3 2 3 2 2" xfId="25369"/>
    <cellStyle name="Normal 2 5 4 3 2 3 2 2 2" xfId="25370"/>
    <cellStyle name="Normal 2 5 4 3 2 3 2 3" xfId="25371"/>
    <cellStyle name="Normal 2 5 4 3 2 3 3" xfId="25372"/>
    <cellStyle name="Normal 2 5 4 3 2 3 3 2" xfId="25373"/>
    <cellStyle name="Normal 2 5 4 3 2 3 4" xfId="25374"/>
    <cellStyle name="Normal 2 5 4 3 2 4" xfId="25375"/>
    <cellStyle name="Normal 2 5 4 3 2 4 2" xfId="25376"/>
    <cellStyle name="Normal 2 5 4 3 2 4 2 2" xfId="25377"/>
    <cellStyle name="Normal 2 5 4 3 2 4 3" xfId="25378"/>
    <cellStyle name="Normal 2 5 4 3 2 5" xfId="25379"/>
    <cellStyle name="Normal 2 5 4 3 2 5 2" xfId="25380"/>
    <cellStyle name="Normal 2 5 4 3 2 6" xfId="25381"/>
    <cellStyle name="Normal 2 5 4 3 3" xfId="1729"/>
    <cellStyle name="Normal 2 5 4 3 3 2" xfId="4449"/>
    <cellStyle name="Normal 2 5 4 3 3 2 2" xfId="25382"/>
    <cellStyle name="Normal 2 5 4 3 3 2 2 2" xfId="25383"/>
    <cellStyle name="Normal 2 5 4 3 3 2 2 2 2" xfId="25384"/>
    <cellStyle name="Normal 2 5 4 3 3 2 2 3" xfId="25385"/>
    <cellStyle name="Normal 2 5 4 3 3 2 3" xfId="25386"/>
    <cellStyle name="Normal 2 5 4 3 3 2 3 2" xfId="25387"/>
    <cellStyle name="Normal 2 5 4 3 3 2 4" xfId="25388"/>
    <cellStyle name="Normal 2 5 4 3 3 3" xfId="25389"/>
    <cellStyle name="Normal 2 5 4 3 3 3 2" xfId="25390"/>
    <cellStyle name="Normal 2 5 4 3 3 3 2 2" xfId="25391"/>
    <cellStyle name="Normal 2 5 4 3 3 3 3" xfId="25392"/>
    <cellStyle name="Normal 2 5 4 3 3 4" xfId="25393"/>
    <cellStyle name="Normal 2 5 4 3 3 4 2" xfId="25394"/>
    <cellStyle name="Normal 2 5 4 3 3 5" xfId="25395"/>
    <cellStyle name="Normal 2 5 4 3 4" xfId="3089"/>
    <cellStyle name="Normal 2 5 4 3 4 2" xfId="25396"/>
    <cellStyle name="Normal 2 5 4 3 4 2 2" xfId="25397"/>
    <cellStyle name="Normal 2 5 4 3 4 2 2 2" xfId="25398"/>
    <cellStyle name="Normal 2 5 4 3 4 2 3" xfId="25399"/>
    <cellStyle name="Normal 2 5 4 3 4 3" xfId="25400"/>
    <cellStyle name="Normal 2 5 4 3 4 3 2" xfId="25401"/>
    <cellStyle name="Normal 2 5 4 3 4 4" xfId="25402"/>
    <cellStyle name="Normal 2 5 4 3 5" xfId="25403"/>
    <cellStyle name="Normal 2 5 4 3 5 2" xfId="25404"/>
    <cellStyle name="Normal 2 5 4 3 5 2 2" xfId="25405"/>
    <cellStyle name="Normal 2 5 4 3 5 3" xfId="25406"/>
    <cellStyle name="Normal 2 5 4 3 6" xfId="25407"/>
    <cellStyle name="Normal 2 5 4 3 6 2" xfId="25408"/>
    <cellStyle name="Normal 2 5 4 3 7" xfId="25409"/>
    <cellStyle name="Normal 2 5 4 4" xfId="641"/>
    <cellStyle name="Normal 2 5 4 4 2" xfId="1321"/>
    <cellStyle name="Normal 2 5 4 4 2 2" xfId="2681"/>
    <cellStyle name="Normal 2 5 4 4 2 2 2" xfId="5401"/>
    <cellStyle name="Normal 2 5 4 4 2 2 2 2" xfId="25410"/>
    <cellStyle name="Normal 2 5 4 4 2 2 2 2 2" xfId="25411"/>
    <cellStyle name="Normal 2 5 4 4 2 2 2 2 2 2" xfId="25412"/>
    <cellStyle name="Normal 2 5 4 4 2 2 2 2 3" xfId="25413"/>
    <cellStyle name="Normal 2 5 4 4 2 2 2 3" xfId="25414"/>
    <cellStyle name="Normal 2 5 4 4 2 2 2 3 2" xfId="25415"/>
    <cellStyle name="Normal 2 5 4 4 2 2 2 4" xfId="25416"/>
    <cellStyle name="Normal 2 5 4 4 2 2 3" xfId="25417"/>
    <cellStyle name="Normal 2 5 4 4 2 2 3 2" xfId="25418"/>
    <cellStyle name="Normal 2 5 4 4 2 2 3 2 2" xfId="25419"/>
    <cellStyle name="Normal 2 5 4 4 2 2 3 3" xfId="25420"/>
    <cellStyle name="Normal 2 5 4 4 2 2 4" xfId="25421"/>
    <cellStyle name="Normal 2 5 4 4 2 2 4 2" xfId="25422"/>
    <cellStyle name="Normal 2 5 4 4 2 2 5" xfId="25423"/>
    <cellStyle name="Normal 2 5 4 4 2 3" xfId="4041"/>
    <cellStyle name="Normal 2 5 4 4 2 3 2" xfId="25424"/>
    <cellStyle name="Normal 2 5 4 4 2 3 2 2" xfId="25425"/>
    <cellStyle name="Normal 2 5 4 4 2 3 2 2 2" xfId="25426"/>
    <cellStyle name="Normal 2 5 4 4 2 3 2 3" xfId="25427"/>
    <cellStyle name="Normal 2 5 4 4 2 3 3" xfId="25428"/>
    <cellStyle name="Normal 2 5 4 4 2 3 3 2" xfId="25429"/>
    <cellStyle name="Normal 2 5 4 4 2 3 4" xfId="25430"/>
    <cellStyle name="Normal 2 5 4 4 2 4" xfId="25431"/>
    <cellStyle name="Normal 2 5 4 4 2 4 2" xfId="25432"/>
    <cellStyle name="Normal 2 5 4 4 2 4 2 2" xfId="25433"/>
    <cellStyle name="Normal 2 5 4 4 2 4 3" xfId="25434"/>
    <cellStyle name="Normal 2 5 4 4 2 5" xfId="25435"/>
    <cellStyle name="Normal 2 5 4 4 2 5 2" xfId="25436"/>
    <cellStyle name="Normal 2 5 4 4 2 6" xfId="25437"/>
    <cellStyle name="Normal 2 5 4 4 3" xfId="2001"/>
    <cellStyle name="Normal 2 5 4 4 3 2" xfId="4721"/>
    <cellStyle name="Normal 2 5 4 4 3 2 2" xfId="25438"/>
    <cellStyle name="Normal 2 5 4 4 3 2 2 2" xfId="25439"/>
    <cellStyle name="Normal 2 5 4 4 3 2 2 2 2" xfId="25440"/>
    <cellStyle name="Normal 2 5 4 4 3 2 2 3" xfId="25441"/>
    <cellStyle name="Normal 2 5 4 4 3 2 3" xfId="25442"/>
    <cellStyle name="Normal 2 5 4 4 3 2 3 2" xfId="25443"/>
    <cellStyle name="Normal 2 5 4 4 3 2 4" xfId="25444"/>
    <cellStyle name="Normal 2 5 4 4 3 3" xfId="25445"/>
    <cellStyle name="Normal 2 5 4 4 3 3 2" xfId="25446"/>
    <cellStyle name="Normal 2 5 4 4 3 3 2 2" xfId="25447"/>
    <cellStyle name="Normal 2 5 4 4 3 3 3" xfId="25448"/>
    <cellStyle name="Normal 2 5 4 4 3 4" xfId="25449"/>
    <cellStyle name="Normal 2 5 4 4 3 4 2" xfId="25450"/>
    <cellStyle name="Normal 2 5 4 4 3 5" xfId="25451"/>
    <cellStyle name="Normal 2 5 4 4 4" xfId="3361"/>
    <cellStyle name="Normal 2 5 4 4 4 2" xfId="25452"/>
    <cellStyle name="Normal 2 5 4 4 4 2 2" xfId="25453"/>
    <cellStyle name="Normal 2 5 4 4 4 2 2 2" xfId="25454"/>
    <cellStyle name="Normal 2 5 4 4 4 2 3" xfId="25455"/>
    <cellStyle name="Normal 2 5 4 4 4 3" xfId="25456"/>
    <cellStyle name="Normal 2 5 4 4 4 3 2" xfId="25457"/>
    <cellStyle name="Normal 2 5 4 4 4 4" xfId="25458"/>
    <cellStyle name="Normal 2 5 4 4 5" xfId="25459"/>
    <cellStyle name="Normal 2 5 4 4 5 2" xfId="25460"/>
    <cellStyle name="Normal 2 5 4 4 5 2 2" xfId="25461"/>
    <cellStyle name="Normal 2 5 4 4 5 3" xfId="25462"/>
    <cellStyle name="Normal 2 5 4 4 6" xfId="25463"/>
    <cellStyle name="Normal 2 5 4 4 6 2" xfId="25464"/>
    <cellStyle name="Normal 2 5 4 4 7" xfId="25465"/>
    <cellStyle name="Normal 2 5 4 5" xfId="777"/>
    <cellStyle name="Normal 2 5 4 5 2" xfId="2137"/>
    <cellStyle name="Normal 2 5 4 5 2 2" xfId="4857"/>
    <cellStyle name="Normal 2 5 4 5 2 2 2" xfId="25466"/>
    <cellStyle name="Normal 2 5 4 5 2 2 2 2" xfId="25467"/>
    <cellStyle name="Normal 2 5 4 5 2 2 2 2 2" xfId="25468"/>
    <cellStyle name="Normal 2 5 4 5 2 2 2 3" xfId="25469"/>
    <cellStyle name="Normal 2 5 4 5 2 2 3" xfId="25470"/>
    <cellStyle name="Normal 2 5 4 5 2 2 3 2" xfId="25471"/>
    <cellStyle name="Normal 2 5 4 5 2 2 4" xfId="25472"/>
    <cellStyle name="Normal 2 5 4 5 2 3" xfId="25473"/>
    <cellStyle name="Normal 2 5 4 5 2 3 2" xfId="25474"/>
    <cellStyle name="Normal 2 5 4 5 2 3 2 2" xfId="25475"/>
    <cellStyle name="Normal 2 5 4 5 2 3 3" xfId="25476"/>
    <cellStyle name="Normal 2 5 4 5 2 4" xfId="25477"/>
    <cellStyle name="Normal 2 5 4 5 2 4 2" xfId="25478"/>
    <cellStyle name="Normal 2 5 4 5 2 5" xfId="25479"/>
    <cellStyle name="Normal 2 5 4 5 3" xfId="3497"/>
    <cellStyle name="Normal 2 5 4 5 3 2" xfId="25480"/>
    <cellStyle name="Normal 2 5 4 5 3 2 2" xfId="25481"/>
    <cellStyle name="Normal 2 5 4 5 3 2 2 2" xfId="25482"/>
    <cellStyle name="Normal 2 5 4 5 3 2 3" xfId="25483"/>
    <cellStyle name="Normal 2 5 4 5 3 3" xfId="25484"/>
    <cellStyle name="Normal 2 5 4 5 3 3 2" xfId="25485"/>
    <cellStyle name="Normal 2 5 4 5 3 4" xfId="25486"/>
    <cellStyle name="Normal 2 5 4 5 4" xfId="25487"/>
    <cellStyle name="Normal 2 5 4 5 4 2" xfId="25488"/>
    <cellStyle name="Normal 2 5 4 5 4 2 2" xfId="25489"/>
    <cellStyle name="Normal 2 5 4 5 4 3" xfId="25490"/>
    <cellStyle name="Normal 2 5 4 5 5" xfId="25491"/>
    <cellStyle name="Normal 2 5 4 5 5 2" xfId="25492"/>
    <cellStyle name="Normal 2 5 4 5 6" xfId="25493"/>
    <cellStyle name="Normal 2 5 4 6" xfId="1457"/>
    <cellStyle name="Normal 2 5 4 6 2" xfId="4177"/>
    <cellStyle name="Normal 2 5 4 6 2 2" xfId="25494"/>
    <cellStyle name="Normal 2 5 4 6 2 2 2" xfId="25495"/>
    <cellStyle name="Normal 2 5 4 6 2 2 2 2" xfId="25496"/>
    <cellStyle name="Normal 2 5 4 6 2 2 3" xfId="25497"/>
    <cellStyle name="Normal 2 5 4 6 2 3" xfId="25498"/>
    <cellStyle name="Normal 2 5 4 6 2 3 2" xfId="25499"/>
    <cellStyle name="Normal 2 5 4 6 2 4" xfId="25500"/>
    <cellStyle name="Normal 2 5 4 6 3" xfId="25501"/>
    <cellStyle name="Normal 2 5 4 6 3 2" xfId="25502"/>
    <cellStyle name="Normal 2 5 4 6 3 2 2" xfId="25503"/>
    <cellStyle name="Normal 2 5 4 6 3 3" xfId="25504"/>
    <cellStyle name="Normal 2 5 4 6 4" xfId="25505"/>
    <cellStyle name="Normal 2 5 4 6 4 2" xfId="25506"/>
    <cellStyle name="Normal 2 5 4 6 5" xfId="25507"/>
    <cellStyle name="Normal 2 5 4 7" xfId="2817"/>
    <cellStyle name="Normal 2 5 4 7 2" xfId="25508"/>
    <cellStyle name="Normal 2 5 4 7 2 2" xfId="25509"/>
    <cellStyle name="Normal 2 5 4 7 2 2 2" xfId="25510"/>
    <cellStyle name="Normal 2 5 4 7 2 3" xfId="25511"/>
    <cellStyle name="Normal 2 5 4 7 3" xfId="25512"/>
    <cellStyle name="Normal 2 5 4 7 3 2" xfId="25513"/>
    <cellStyle name="Normal 2 5 4 7 4" xfId="25514"/>
    <cellStyle name="Normal 2 5 4 8" xfId="25515"/>
    <cellStyle name="Normal 2 5 4 8 2" xfId="25516"/>
    <cellStyle name="Normal 2 5 4 8 2 2" xfId="25517"/>
    <cellStyle name="Normal 2 5 4 8 3" xfId="25518"/>
    <cellStyle name="Normal 2 5 4 9" xfId="25519"/>
    <cellStyle name="Normal 2 5 4 9 2" xfId="25520"/>
    <cellStyle name="Normal 2 5 5" xfId="165"/>
    <cellStyle name="Normal 2 5 5 2" xfId="437"/>
    <cellStyle name="Normal 2 5 5 2 2" xfId="1117"/>
    <cellStyle name="Normal 2 5 5 2 2 2" xfId="2477"/>
    <cellStyle name="Normal 2 5 5 2 2 2 2" xfId="5197"/>
    <cellStyle name="Normal 2 5 5 2 2 2 2 2" xfId="25521"/>
    <cellStyle name="Normal 2 5 5 2 2 2 2 2 2" xfId="25522"/>
    <cellStyle name="Normal 2 5 5 2 2 2 2 2 2 2" xfId="25523"/>
    <cellStyle name="Normal 2 5 5 2 2 2 2 2 3" xfId="25524"/>
    <cellStyle name="Normal 2 5 5 2 2 2 2 3" xfId="25525"/>
    <cellStyle name="Normal 2 5 5 2 2 2 2 3 2" xfId="25526"/>
    <cellStyle name="Normal 2 5 5 2 2 2 2 4" xfId="25527"/>
    <cellStyle name="Normal 2 5 5 2 2 2 3" xfId="25528"/>
    <cellStyle name="Normal 2 5 5 2 2 2 3 2" xfId="25529"/>
    <cellStyle name="Normal 2 5 5 2 2 2 3 2 2" xfId="25530"/>
    <cellStyle name="Normal 2 5 5 2 2 2 3 3" xfId="25531"/>
    <cellStyle name="Normal 2 5 5 2 2 2 4" xfId="25532"/>
    <cellStyle name="Normal 2 5 5 2 2 2 4 2" xfId="25533"/>
    <cellStyle name="Normal 2 5 5 2 2 2 5" xfId="25534"/>
    <cellStyle name="Normal 2 5 5 2 2 3" xfId="3837"/>
    <cellStyle name="Normal 2 5 5 2 2 3 2" xfId="25535"/>
    <cellStyle name="Normal 2 5 5 2 2 3 2 2" xfId="25536"/>
    <cellStyle name="Normal 2 5 5 2 2 3 2 2 2" xfId="25537"/>
    <cellStyle name="Normal 2 5 5 2 2 3 2 3" xfId="25538"/>
    <cellStyle name="Normal 2 5 5 2 2 3 3" xfId="25539"/>
    <cellStyle name="Normal 2 5 5 2 2 3 3 2" xfId="25540"/>
    <cellStyle name="Normal 2 5 5 2 2 3 4" xfId="25541"/>
    <cellStyle name="Normal 2 5 5 2 2 4" xfId="25542"/>
    <cellStyle name="Normal 2 5 5 2 2 4 2" xfId="25543"/>
    <cellStyle name="Normal 2 5 5 2 2 4 2 2" xfId="25544"/>
    <cellStyle name="Normal 2 5 5 2 2 4 3" xfId="25545"/>
    <cellStyle name="Normal 2 5 5 2 2 5" xfId="25546"/>
    <cellStyle name="Normal 2 5 5 2 2 5 2" xfId="25547"/>
    <cellStyle name="Normal 2 5 5 2 2 6" xfId="25548"/>
    <cellStyle name="Normal 2 5 5 2 3" xfId="1797"/>
    <cellStyle name="Normal 2 5 5 2 3 2" xfId="4517"/>
    <cellStyle name="Normal 2 5 5 2 3 2 2" xfId="25549"/>
    <cellStyle name="Normal 2 5 5 2 3 2 2 2" xfId="25550"/>
    <cellStyle name="Normal 2 5 5 2 3 2 2 2 2" xfId="25551"/>
    <cellStyle name="Normal 2 5 5 2 3 2 2 3" xfId="25552"/>
    <cellStyle name="Normal 2 5 5 2 3 2 3" xfId="25553"/>
    <cellStyle name="Normal 2 5 5 2 3 2 3 2" xfId="25554"/>
    <cellStyle name="Normal 2 5 5 2 3 2 4" xfId="25555"/>
    <cellStyle name="Normal 2 5 5 2 3 3" xfId="25556"/>
    <cellStyle name="Normal 2 5 5 2 3 3 2" xfId="25557"/>
    <cellStyle name="Normal 2 5 5 2 3 3 2 2" xfId="25558"/>
    <cellStyle name="Normal 2 5 5 2 3 3 3" xfId="25559"/>
    <cellStyle name="Normal 2 5 5 2 3 4" xfId="25560"/>
    <cellStyle name="Normal 2 5 5 2 3 4 2" xfId="25561"/>
    <cellStyle name="Normal 2 5 5 2 3 5" xfId="25562"/>
    <cellStyle name="Normal 2 5 5 2 4" xfId="3157"/>
    <cellStyle name="Normal 2 5 5 2 4 2" xfId="25563"/>
    <cellStyle name="Normal 2 5 5 2 4 2 2" xfId="25564"/>
    <cellStyle name="Normal 2 5 5 2 4 2 2 2" xfId="25565"/>
    <cellStyle name="Normal 2 5 5 2 4 2 3" xfId="25566"/>
    <cellStyle name="Normal 2 5 5 2 4 3" xfId="25567"/>
    <cellStyle name="Normal 2 5 5 2 4 3 2" xfId="25568"/>
    <cellStyle name="Normal 2 5 5 2 4 4" xfId="25569"/>
    <cellStyle name="Normal 2 5 5 2 5" xfId="25570"/>
    <cellStyle name="Normal 2 5 5 2 5 2" xfId="25571"/>
    <cellStyle name="Normal 2 5 5 2 5 2 2" xfId="25572"/>
    <cellStyle name="Normal 2 5 5 2 5 3" xfId="25573"/>
    <cellStyle name="Normal 2 5 5 2 6" xfId="25574"/>
    <cellStyle name="Normal 2 5 5 2 6 2" xfId="25575"/>
    <cellStyle name="Normal 2 5 5 2 7" xfId="25576"/>
    <cellStyle name="Normal 2 5 5 3" xfId="845"/>
    <cellStyle name="Normal 2 5 5 3 2" xfId="2205"/>
    <cellStyle name="Normal 2 5 5 3 2 2" xfId="4925"/>
    <cellStyle name="Normal 2 5 5 3 2 2 2" xfId="25577"/>
    <cellStyle name="Normal 2 5 5 3 2 2 2 2" xfId="25578"/>
    <cellStyle name="Normal 2 5 5 3 2 2 2 2 2" xfId="25579"/>
    <cellStyle name="Normal 2 5 5 3 2 2 2 3" xfId="25580"/>
    <cellStyle name="Normal 2 5 5 3 2 2 3" xfId="25581"/>
    <cellStyle name="Normal 2 5 5 3 2 2 3 2" xfId="25582"/>
    <cellStyle name="Normal 2 5 5 3 2 2 4" xfId="25583"/>
    <cellStyle name="Normal 2 5 5 3 2 3" xfId="25584"/>
    <cellStyle name="Normal 2 5 5 3 2 3 2" xfId="25585"/>
    <cellStyle name="Normal 2 5 5 3 2 3 2 2" xfId="25586"/>
    <cellStyle name="Normal 2 5 5 3 2 3 3" xfId="25587"/>
    <cellStyle name="Normal 2 5 5 3 2 4" xfId="25588"/>
    <cellStyle name="Normal 2 5 5 3 2 4 2" xfId="25589"/>
    <cellStyle name="Normal 2 5 5 3 2 5" xfId="25590"/>
    <cellStyle name="Normal 2 5 5 3 3" xfId="3565"/>
    <cellStyle name="Normal 2 5 5 3 3 2" xfId="25591"/>
    <cellStyle name="Normal 2 5 5 3 3 2 2" xfId="25592"/>
    <cellStyle name="Normal 2 5 5 3 3 2 2 2" xfId="25593"/>
    <cellStyle name="Normal 2 5 5 3 3 2 3" xfId="25594"/>
    <cellStyle name="Normal 2 5 5 3 3 3" xfId="25595"/>
    <cellStyle name="Normal 2 5 5 3 3 3 2" xfId="25596"/>
    <cellStyle name="Normal 2 5 5 3 3 4" xfId="25597"/>
    <cellStyle name="Normal 2 5 5 3 4" xfId="25598"/>
    <cellStyle name="Normal 2 5 5 3 4 2" xfId="25599"/>
    <cellStyle name="Normal 2 5 5 3 4 2 2" xfId="25600"/>
    <cellStyle name="Normal 2 5 5 3 4 3" xfId="25601"/>
    <cellStyle name="Normal 2 5 5 3 5" xfId="25602"/>
    <cellStyle name="Normal 2 5 5 3 5 2" xfId="25603"/>
    <cellStyle name="Normal 2 5 5 3 6" xfId="25604"/>
    <cellStyle name="Normal 2 5 5 4" xfId="1525"/>
    <cellStyle name="Normal 2 5 5 4 2" xfId="4245"/>
    <cellStyle name="Normal 2 5 5 4 2 2" xfId="25605"/>
    <cellStyle name="Normal 2 5 5 4 2 2 2" xfId="25606"/>
    <cellStyle name="Normal 2 5 5 4 2 2 2 2" xfId="25607"/>
    <cellStyle name="Normal 2 5 5 4 2 2 3" xfId="25608"/>
    <cellStyle name="Normal 2 5 5 4 2 3" xfId="25609"/>
    <cellStyle name="Normal 2 5 5 4 2 3 2" xfId="25610"/>
    <cellStyle name="Normal 2 5 5 4 2 4" xfId="25611"/>
    <cellStyle name="Normal 2 5 5 4 3" xfId="25612"/>
    <cellStyle name="Normal 2 5 5 4 3 2" xfId="25613"/>
    <cellStyle name="Normal 2 5 5 4 3 2 2" xfId="25614"/>
    <cellStyle name="Normal 2 5 5 4 3 3" xfId="25615"/>
    <cellStyle name="Normal 2 5 5 4 4" xfId="25616"/>
    <cellStyle name="Normal 2 5 5 4 4 2" xfId="25617"/>
    <cellStyle name="Normal 2 5 5 4 5" xfId="25618"/>
    <cellStyle name="Normal 2 5 5 5" xfId="2885"/>
    <cellStyle name="Normal 2 5 5 5 2" xfId="25619"/>
    <cellStyle name="Normal 2 5 5 5 2 2" xfId="25620"/>
    <cellStyle name="Normal 2 5 5 5 2 2 2" xfId="25621"/>
    <cellStyle name="Normal 2 5 5 5 2 3" xfId="25622"/>
    <cellStyle name="Normal 2 5 5 5 3" xfId="25623"/>
    <cellStyle name="Normal 2 5 5 5 3 2" xfId="25624"/>
    <cellStyle name="Normal 2 5 5 5 4" xfId="25625"/>
    <cellStyle name="Normal 2 5 5 6" xfId="25626"/>
    <cellStyle name="Normal 2 5 5 6 2" xfId="25627"/>
    <cellStyle name="Normal 2 5 5 6 2 2" xfId="25628"/>
    <cellStyle name="Normal 2 5 5 6 3" xfId="25629"/>
    <cellStyle name="Normal 2 5 5 7" xfId="25630"/>
    <cellStyle name="Normal 2 5 5 7 2" xfId="25631"/>
    <cellStyle name="Normal 2 5 5 8" xfId="25632"/>
    <cellStyle name="Normal 2 5 6" xfId="301"/>
    <cellStyle name="Normal 2 5 6 2" xfId="981"/>
    <cellStyle name="Normal 2 5 6 2 2" xfId="2341"/>
    <cellStyle name="Normal 2 5 6 2 2 2" xfId="5061"/>
    <cellStyle name="Normal 2 5 6 2 2 2 2" xfId="25633"/>
    <cellStyle name="Normal 2 5 6 2 2 2 2 2" xfId="25634"/>
    <cellStyle name="Normal 2 5 6 2 2 2 2 2 2" xfId="25635"/>
    <cellStyle name="Normal 2 5 6 2 2 2 2 3" xfId="25636"/>
    <cellStyle name="Normal 2 5 6 2 2 2 3" xfId="25637"/>
    <cellStyle name="Normal 2 5 6 2 2 2 3 2" xfId="25638"/>
    <cellStyle name="Normal 2 5 6 2 2 2 4" xfId="25639"/>
    <cellStyle name="Normal 2 5 6 2 2 3" xfId="25640"/>
    <cellStyle name="Normal 2 5 6 2 2 3 2" xfId="25641"/>
    <cellStyle name="Normal 2 5 6 2 2 3 2 2" xfId="25642"/>
    <cellStyle name="Normal 2 5 6 2 2 3 3" xfId="25643"/>
    <cellStyle name="Normal 2 5 6 2 2 4" xfId="25644"/>
    <cellStyle name="Normal 2 5 6 2 2 4 2" xfId="25645"/>
    <cellStyle name="Normal 2 5 6 2 2 5" xfId="25646"/>
    <cellStyle name="Normal 2 5 6 2 3" xfId="3701"/>
    <cellStyle name="Normal 2 5 6 2 3 2" xfId="25647"/>
    <cellStyle name="Normal 2 5 6 2 3 2 2" xfId="25648"/>
    <cellStyle name="Normal 2 5 6 2 3 2 2 2" xfId="25649"/>
    <cellStyle name="Normal 2 5 6 2 3 2 3" xfId="25650"/>
    <cellStyle name="Normal 2 5 6 2 3 3" xfId="25651"/>
    <cellStyle name="Normal 2 5 6 2 3 3 2" xfId="25652"/>
    <cellStyle name="Normal 2 5 6 2 3 4" xfId="25653"/>
    <cellStyle name="Normal 2 5 6 2 4" xfId="25654"/>
    <cellStyle name="Normal 2 5 6 2 4 2" xfId="25655"/>
    <cellStyle name="Normal 2 5 6 2 4 2 2" xfId="25656"/>
    <cellStyle name="Normal 2 5 6 2 4 3" xfId="25657"/>
    <cellStyle name="Normal 2 5 6 2 5" xfId="25658"/>
    <cellStyle name="Normal 2 5 6 2 5 2" xfId="25659"/>
    <cellStyle name="Normal 2 5 6 2 6" xfId="25660"/>
    <cellStyle name="Normal 2 5 6 3" xfId="1661"/>
    <cellStyle name="Normal 2 5 6 3 2" xfId="4381"/>
    <cellStyle name="Normal 2 5 6 3 2 2" xfId="25661"/>
    <cellStyle name="Normal 2 5 6 3 2 2 2" xfId="25662"/>
    <cellStyle name="Normal 2 5 6 3 2 2 2 2" xfId="25663"/>
    <cellStyle name="Normal 2 5 6 3 2 2 3" xfId="25664"/>
    <cellStyle name="Normal 2 5 6 3 2 3" xfId="25665"/>
    <cellStyle name="Normal 2 5 6 3 2 3 2" xfId="25666"/>
    <cellStyle name="Normal 2 5 6 3 2 4" xfId="25667"/>
    <cellStyle name="Normal 2 5 6 3 3" xfId="25668"/>
    <cellStyle name="Normal 2 5 6 3 3 2" xfId="25669"/>
    <cellStyle name="Normal 2 5 6 3 3 2 2" xfId="25670"/>
    <cellStyle name="Normal 2 5 6 3 3 3" xfId="25671"/>
    <cellStyle name="Normal 2 5 6 3 4" xfId="25672"/>
    <cellStyle name="Normal 2 5 6 3 4 2" xfId="25673"/>
    <cellStyle name="Normal 2 5 6 3 5" xfId="25674"/>
    <cellStyle name="Normal 2 5 6 4" xfId="3021"/>
    <cellStyle name="Normal 2 5 6 4 2" xfId="25675"/>
    <cellStyle name="Normal 2 5 6 4 2 2" xfId="25676"/>
    <cellStyle name="Normal 2 5 6 4 2 2 2" xfId="25677"/>
    <cellStyle name="Normal 2 5 6 4 2 3" xfId="25678"/>
    <cellStyle name="Normal 2 5 6 4 3" xfId="25679"/>
    <cellStyle name="Normal 2 5 6 4 3 2" xfId="25680"/>
    <cellStyle name="Normal 2 5 6 4 4" xfId="25681"/>
    <cellStyle name="Normal 2 5 6 5" xfId="25682"/>
    <cellStyle name="Normal 2 5 6 5 2" xfId="25683"/>
    <cellStyle name="Normal 2 5 6 5 2 2" xfId="25684"/>
    <cellStyle name="Normal 2 5 6 5 3" xfId="25685"/>
    <cellStyle name="Normal 2 5 6 6" xfId="25686"/>
    <cellStyle name="Normal 2 5 6 6 2" xfId="25687"/>
    <cellStyle name="Normal 2 5 6 7" xfId="25688"/>
    <cellStyle name="Normal 2 5 7" xfId="573"/>
    <cellStyle name="Normal 2 5 7 2" xfId="1253"/>
    <cellStyle name="Normal 2 5 7 2 2" xfId="2613"/>
    <cellStyle name="Normal 2 5 7 2 2 2" xfId="5333"/>
    <cellStyle name="Normal 2 5 7 2 2 2 2" xfId="25689"/>
    <cellStyle name="Normal 2 5 7 2 2 2 2 2" xfId="25690"/>
    <cellStyle name="Normal 2 5 7 2 2 2 2 2 2" xfId="25691"/>
    <cellStyle name="Normal 2 5 7 2 2 2 2 3" xfId="25692"/>
    <cellStyle name="Normal 2 5 7 2 2 2 3" xfId="25693"/>
    <cellStyle name="Normal 2 5 7 2 2 2 3 2" xfId="25694"/>
    <cellStyle name="Normal 2 5 7 2 2 2 4" xfId="25695"/>
    <cellStyle name="Normal 2 5 7 2 2 3" xfId="25696"/>
    <cellStyle name="Normal 2 5 7 2 2 3 2" xfId="25697"/>
    <cellStyle name="Normal 2 5 7 2 2 3 2 2" xfId="25698"/>
    <cellStyle name="Normal 2 5 7 2 2 3 3" xfId="25699"/>
    <cellStyle name="Normal 2 5 7 2 2 4" xfId="25700"/>
    <cellStyle name="Normal 2 5 7 2 2 4 2" xfId="25701"/>
    <cellStyle name="Normal 2 5 7 2 2 5" xfId="25702"/>
    <cellStyle name="Normal 2 5 7 2 3" xfId="3973"/>
    <cellStyle name="Normal 2 5 7 2 3 2" xfId="25703"/>
    <cellStyle name="Normal 2 5 7 2 3 2 2" xfId="25704"/>
    <cellStyle name="Normal 2 5 7 2 3 2 2 2" xfId="25705"/>
    <cellStyle name="Normal 2 5 7 2 3 2 3" xfId="25706"/>
    <cellStyle name="Normal 2 5 7 2 3 3" xfId="25707"/>
    <cellStyle name="Normal 2 5 7 2 3 3 2" xfId="25708"/>
    <cellStyle name="Normal 2 5 7 2 3 4" xfId="25709"/>
    <cellStyle name="Normal 2 5 7 2 4" xfId="25710"/>
    <cellStyle name="Normal 2 5 7 2 4 2" xfId="25711"/>
    <cellStyle name="Normal 2 5 7 2 4 2 2" xfId="25712"/>
    <cellStyle name="Normal 2 5 7 2 4 3" xfId="25713"/>
    <cellStyle name="Normal 2 5 7 2 5" xfId="25714"/>
    <cellStyle name="Normal 2 5 7 2 5 2" xfId="25715"/>
    <cellStyle name="Normal 2 5 7 2 6" xfId="25716"/>
    <cellStyle name="Normal 2 5 7 3" xfId="1933"/>
    <cellStyle name="Normal 2 5 7 3 2" xfId="4653"/>
    <cellStyle name="Normal 2 5 7 3 2 2" xfId="25717"/>
    <cellStyle name="Normal 2 5 7 3 2 2 2" xfId="25718"/>
    <cellStyle name="Normal 2 5 7 3 2 2 2 2" xfId="25719"/>
    <cellStyle name="Normal 2 5 7 3 2 2 3" xfId="25720"/>
    <cellStyle name="Normal 2 5 7 3 2 3" xfId="25721"/>
    <cellStyle name="Normal 2 5 7 3 2 3 2" xfId="25722"/>
    <cellStyle name="Normal 2 5 7 3 2 4" xfId="25723"/>
    <cellStyle name="Normal 2 5 7 3 3" xfId="25724"/>
    <cellStyle name="Normal 2 5 7 3 3 2" xfId="25725"/>
    <cellStyle name="Normal 2 5 7 3 3 2 2" xfId="25726"/>
    <cellStyle name="Normal 2 5 7 3 3 3" xfId="25727"/>
    <cellStyle name="Normal 2 5 7 3 4" xfId="25728"/>
    <cellStyle name="Normal 2 5 7 3 4 2" xfId="25729"/>
    <cellStyle name="Normal 2 5 7 3 5" xfId="25730"/>
    <cellStyle name="Normal 2 5 7 4" xfId="3293"/>
    <cellStyle name="Normal 2 5 7 4 2" xfId="25731"/>
    <cellStyle name="Normal 2 5 7 4 2 2" xfId="25732"/>
    <cellStyle name="Normal 2 5 7 4 2 2 2" xfId="25733"/>
    <cellStyle name="Normal 2 5 7 4 2 3" xfId="25734"/>
    <cellStyle name="Normal 2 5 7 4 3" xfId="25735"/>
    <cellStyle name="Normal 2 5 7 4 3 2" xfId="25736"/>
    <cellStyle name="Normal 2 5 7 4 4" xfId="25737"/>
    <cellStyle name="Normal 2 5 7 5" xfId="25738"/>
    <cellStyle name="Normal 2 5 7 5 2" xfId="25739"/>
    <cellStyle name="Normal 2 5 7 5 2 2" xfId="25740"/>
    <cellStyle name="Normal 2 5 7 5 3" xfId="25741"/>
    <cellStyle name="Normal 2 5 7 6" xfId="25742"/>
    <cellStyle name="Normal 2 5 7 6 2" xfId="25743"/>
    <cellStyle name="Normal 2 5 7 7" xfId="25744"/>
    <cellStyle name="Normal 2 5 8" xfId="709"/>
    <cellStyle name="Normal 2 5 8 2" xfId="2069"/>
    <cellStyle name="Normal 2 5 8 2 2" xfId="4789"/>
    <cellStyle name="Normal 2 5 8 2 2 2" xfId="25745"/>
    <cellStyle name="Normal 2 5 8 2 2 2 2" xfId="25746"/>
    <cellStyle name="Normal 2 5 8 2 2 2 2 2" xfId="25747"/>
    <cellStyle name="Normal 2 5 8 2 2 2 3" xfId="25748"/>
    <cellStyle name="Normal 2 5 8 2 2 3" xfId="25749"/>
    <cellStyle name="Normal 2 5 8 2 2 3 2" xfId="25750"/>
    <cellStyle name="Normal 2 5 8 2 2 4" xfId="25751"/>
    <cellStyle name="Normal 2 5 8 2 3" xfId="25752"/>
    <cellStyle name="Normal 2 5 8 2 3 2" xfId="25753"/>
    <cellStyle name="Normal 2 5 8 2 3 2 2" xfId="25754"/>
    <cellStyle name="Normal 2 5 8 2 3 3" xfId="25755"/>
    <cellStyle name="Normal 2 5 8 2 4" xfId="25756"/>
    <cellStyle name="Normal 2 5 8 2 4 2" xfId="25757"/>
    <cellStyle name="Normal 2 5 8 2 5" xfId="25758"/>
    <cellStyle name="Normal 2 5 8 3" xfId="3429"/>
    <cellStyle name="Normal 2 5 8 3 2" xfId="25759"/>
    <cellStyle name="Normal 2 5 8 3 2 2" xfId="25760"/>
    <cellStyle name="Normal 2 5 8 3 2 2 2" xfId="25761"/>
    <cellStyle name="Normal 2 5 8 3 2 3" xfId="25762"/>
    <cellStyle name="Normal 2 5 8 3 3" xfId="25763"/>
    <cellStyle name="Normal 2 5 8 3 3 2" xfId="25764"/>
    <cellStyle name="Normal 2 5 8 3 4" xfId="25765"/>
    <cellStyle name="Normal 2 5 8 4" xfId="25766"/>
    <cellStyle name="Normal 2 5 8 4 2" xfId="25767"/>
    <cellStyle name="Normal 2 5 8 4 2 2" xfId="25768"/>
    <cellStyle name="Normal 2 5 8 4 3" xfId="25769"/>
    <cellStyle name="Normal 2 5 8 5" xfId="25770"/>
    <cellStyle name="Normal 2 5 8 5 2" xfId="25771"/>
    <cellStyle name="Normal 2 5 8 6" xfId="25772"/>
    <cellStyle name="Normal 2 5 9" xfId="1389"/>
    <cellStyle name="Normal 2 5 9 2" xfId="4109"/>
    <cellStyle name="Normal 2 5 9 2 2" xfId="25773"/>
    <cellStyle name="Normal 2 5 9 2 2 2" xfId="25774"/>
    <cellStyle name="Normal 2 5 9 2 2 2 2" xfId="25775"/>
    <cellStyle name="Normal 2 5 9 2 2 3" xfId="25776"/>
    <cellStyle name="Normal 2 5 9 2 3" xfId="25777"/>
    <cellStyle name="Normal 2 5 9 2 3 2" xfId="25778"/>
    <cellStyle name="Normal 2 5 9 2 4" xfId="25779"/>
    <cellStyle name="Normal 2 5 9 3" xfId="25780"/>
    <cellStyle name="Normal 2 5 9 3 2" xfId="25781"/>
    <cellStyle name="Normal 2 5 9 3 2 2" xfId="25782"/>
    <cellStyle name="Normal 2 5 9 3 3" xfId="25783"/>
    <cellStyle name="Normal 2 5 9 4" xfId="25784"/>
    <cellStyle name="Normal 2 5 9 4 2" xfId="25785"/>
    <cellStyle name="Normal 2 5 9 5" xfId="25786"/>
    <cellStyle name="Normal 2 6" xfId="33"/>
    <cellStyle name="Normal 2 6 10" xfId="25787"/>
    <cellStyle name="Normal 2 6 10 2" xfId="25788"/>
    <cellStyle name="Normal 2 6 10 2 2" xfId="25789"/>
    <cellStyle name="Normal 2 6 10 3" xfId="25790"/>
    <cellStyle name="Normal 2 6 11" xfId="25791"/>
    <cellStyle name="Normal 2 6 11 2" xfId="25792"/>
    <cellStyle name="Normal 2 6 12" xfId="25793"/>
    <cellStyle name="Normal 2 6 2" xfId="68"/>
    <cellStyle name="Normal 2 6 2 10" xfId="25794"/>
    <cellStyle name="Normal 2 6 2 10 2" xfId="25795"/>
    <cellStyle name="Normal 2 6 2 11" xfId="25796"/>
    <cellStyle name="Normal 2 6 2 2" xfId="136"/>
    <cellStyle name="Normal 2 6 2 2 10" xfId="25797"/>
    <cellStyle name="Normal 2 6 2 2 2" xfId="273"/>
    <cellStyle name="Normal 2 6 2 2 2 2" xfId="545"/>
    <cellStyle name="Normal 2 6 2 2 2 2 2" xfId="1225"/>
    <cellStyle name="Normal 2 6 2 2 2 2 2 2" xfId="2585"/>
    <cellStyle name="Normal 2 6 2 2 2 2 2 2 2" xfId="5305"/>
    <cellStyle name="Normal 2 6 2 2 2 2 2 2 2 2" xfId="25798"/>
    <cellStyle name="Normal 2 6 2 2 2 2 2 2 2 2 2" xfId="25799"/>
    <cellStyle name="Normal 2 6 2 2 2 2 2 2 2 2 2 2" xfId="25800"/>
    <cellStyle name="Normal 2 6 2 2 2 2 2 2 2 2 3" xfId="25801"/>
    <cellStyle name="Normal 2 6 2 2 2 2 2 2 2 3" xfId="25802"/>
    <cellStyle name="Normal 2 6 2 2 2 2 2 2 2 3 2" xfId="25803"/>
    <cellStyle name="Normal 2 6 2 2 2 2 2 2 2 4" xfId="25804"/>
    <cellStyle name="Normal 2 6 2 2 2 2 2 2 3" xfId="25805"/>
    <cellStyle name="Normal 2 6 2 2 2 2 2 2 3 2" xfId="25806"/>
    <cellStyle name="Normal 2 6 2 2 2 2 2 2 3 2 2" xfId="25807"/>
    <cellStyle name="Normal 2 6 2 2 2 2 2 2 3 3" xfId="25808"/>
    <cellStyle name="Normal 2 6 2 2 2 2 2 2 4" xfId="25809"/>
    <cellStyle name="Normal 2 6 2 2 2 2 2 2 4 2" xfId="25810"/>
    <cellStyle name="Normal 2 6 2 2 2 2 2 2 5" xfId="25811"/>
    <cellStyle name="Normal 2 6 2 2 2 2 2 3" xfId="3945"/>
    <cellStyle name="Normal 2 6 2 2 2 2 2 3 2" xfId="25812"/>
    <cellStyle name="Normal 2 6 2 2 2 2 2 3 2 2" xfId="25813"/>
    <cellStyle name="Normal 2 6 2 2 2 2 2 3 2 2 2" xfId="25814"/>
    <cellStyle name="Normal 2 6 2 2 2 2 2 3 2 3" xfId="25815"/>
    <cellStyle name="Normal 2 6 2 2 2 2 2 3 3" xfId="25816"/>
    <cellStyle name="Normal 2 6 2 2 2 2 2 3 3 2" xfId="25817"/>
    <cellStyle name="Normal 2 6 2 2 2 2 2 3 4" xfId="25818"/>
    <cellStyle name="Normal 2 6 2 2 2 2 2 4" xfId="25819"/>
    <cellStyle name="Normal 2 6 2 2 2 2 2 4 2" xfId="25820"/>
    <cellStyle name="Normal 2 6 2 2 2 2 2 4 2 2" xfId="25821"/>
    <cellStyle name="Normal 2 6 2 2 2 2 2 4 3" xfId="25822"/>
    <cellStyle name="Normal 2 6 2 2 2 2 2 5" xfId="25823"/>
    <cellStyle name="Normal 2 6 2 2 2 2 2 5 2" xfId="25824"/>
    <cellStyle name="Normal 2 6 2 2 2 2 2 6" xfId="25825"/>
    <cellStyle name="Normal 2 6 2 2 2 2 3" xfId="1905"/>
    <cellStyle name="Normal 2 6 2 2 2 2 3 2" xfId="4625"/>
    <cellStyle name="Normal 2 6 2 2 2 2 3 2 2" xfId="25826"/>
    <cellStyle name="Normal 2 6 2 2 2 2 3 2 2 2" xfId="25827"/>
    <cellStyle name="Normal 2 6 2 2 2 2 3 2 2 2 2" xfId="25828"/>
    <cellStyle name="Normal 2 6 2 2 2 2 3 2 2 3" xfId="25829"/>
    <cellStyle name="Normal 2 6 2 2 2 2 3 2 3" xfId="25830"/>
    <cellStyle name="Normal 2 6 2 2 2 2 3 2 3 2" xfId="25831"/>
    <cellStyle name="Normal 2 6 2 2 2 2 3 2 4" xfId="25832"/>
    <cellStyle name="Normal 2 6 2 2 2 2 3 3" xfId="25833"/>
    <cellStyle name="Normal 2 6 2 2 2 2 3 3 2" xfId="25834"/>
    <cellStyle name="Normal 2 6 2 2 2 2 3 3 2 2" xfId="25835"/>
    <cellStyle name="Normal 2 6 2 2 2 2 3 3 3" xfId="25836"/>
    <cellStyle name="Normal 2 6 2 2 2 2 3 4" xfId="25837"/>
    <cellStyle name="Normal 2 6 2 2 2 2 3 4 2" xfId="25838"/>
    <cellStyle name="Normal 2 6 2 2 2 2 3 5" xfId="25839"/>
    <cellStyle name="Normal 2 6 2 2 2 2 4" xfId="3265"/>
    <cellStyle name="Normal 2 6 2 2 2 2 4 2" xfId="25840"/>
    <cellStyle name="Normal 2 6 2 2 2 2 4 2 2" xfId="25841"/>
    <cellStyle name="Normal 2 6 2 2 2 2 4 2 2 2" xfId="25842"/>
    <cellStyle name="Normal 2 6 2 2 2 2 4 2 3" xfId="25843"/>
    <cellStyle name="Normal 2 6 2 2 2 2 4 3" xfId="25844"/>
    <cellStyle name="Normal 2 6 2 2 2 2 4 3 2" xfId="25845"/>
    <cellStyle name="Normal 2 6 2 2 2 2 4 4" xfId="25846"/>
    <cellStyle name="Normal 2 6 2 2 2 2 5" xfId="25847"/>
    <cellStyle name="Normal 2 6 2 2 2 2 5 2" xfId="25848"/>
    <cellStyle name="Normal 2 6 2 2 2 2 5 2 2" xfId="25849"/>
    <cellStyle name="Normal 2 6 2 2 2 2 5 3" xfId="25850"/>
    <cellStyle name="Normal 2 6 2 2 2 2 6" xfId="25851"/>
    <cellStyle name="Normal 2 6 2 2 2 2 6 2" xfId="25852"/>
    <cellStyle name="Normal 2 6 2 2 2 2 7" xfId="25853"/>
    <cellStyle name="Normal 2 6 2 2 2 3" xfId="953"/>
    <cellStyle name="Normal 2 6 2 2 2 3 2" xfId="2313"/>
    <cellStyle name="Normal 2 6 2 2 2 3 2 2" xfId="5033"/>
    <cellStyle name="Normal 2 6 2 2 2 3 2 2 2" xfId="25854"/>
    <cellStyle name="Normal 2 6 2 2 2 3 2 2 2 2" xfId="25855"/>
    <cellStyle name="Normal 2 6 2 2 2 3 2 2 2 2 2" xfId="25856"/>
    <cellStyle name="Normal 2 6 2 2 2 3 2 2 2 3" xfId="25857"/>
    <cellStyle name="Normal 2 6 2 2 2 3 2 2 3" xfId="25858"/>
    <cellStyle name="Normal 2 6 2 2 2 3 2 2 3 2" xfId="25859"/>
    <cellStyle name="Normal 2 6 2 2 2 3 2 2 4" xfId="25860"/>
    <cellStyle name="Normal 2 6 2 2 2 3 2 3" xfId="25861"/>
    <cellStyle name="Normal 2 6 2 2 2 3 2 3 2" xfId="25862"/>
    <cellStyle name="Normal 2 6 2 2 2 3 2 3 2 2" xfId="25863"/>
    <cellStyle name="Normal 2 6 2 2 2 3 2 3 3" xfId="25864"/>
    <cellStyle name="Normal 2 6 2 2 2 3 2 4" xfId="25865"/>
    <cellStyle name="Normal 2 6 2 2 2 3 2 4 2" xfId="25866"/>
    <cellStyle name="Normal 2 6 2 2 2 3 2 5" xfId="25867"/>
    <cellStyle name="Normal 2 6 2 2 2 3 3" xfId="3673"/>
    <cellStyle name="Normal 2 6 2 2 2 3 3 2" xfId="25868"/>
    <cellStyle name="Normal 2 6 2 2 2 3 3 2 2" xfId="25869"/>
    <cellStyle name="Normal 2 6 2 2 2 3 3 2 2 2" xfId="25870"/>
    <cellStyle name="Normal 2 6 2 2 2 3 3 2 3" xfId="25871"/>
    <cellStyle name="Normal 2 6 2 2 2 3 3 3" xfId="25872"/>
    <cellStyle name="Normal 2 6 2 2 2 3 3 3 2" xfId="25873"/>
    <cellStyle name="Normal 2 6 2 2 2 3 3 4" xfId="25874"/>
    <cellStyle name="Normal 2 6 2 2 2 3 4" xfId="25875"/>
    <cellStyle name="Normal 2 6 2 2 2 3 4 2" xfId="25876"/>
    <cellStyle name="Normal 2 6 2 2 2 3 4 2 2" xfId="25877"/>
    <cellStyle name="Normal 2 6 2 2 2 3 4 3" xfId="25878"/>
    <cellStyle name="Normal 2 6 2 2 2 3 5" xfId="25879"/>
    <cellStyle name="Normal 2 6 2 2 2 3 5 2" xfId="25880"/>
    <cellStyle name="Normal 2 6 2 2 2 3 6" xfId="25881"/>
    <cellStyle name="Normal 2 6 2 2 2 4" xfId="1633"/>
    <cellStyle name="Normal 2 6 2 2 2 4 2" xfId="4353"/>
    <cellStyle name="Normal 2 6 2 2 2 4 2 2" xfId="25882"/>
    <cellStyle name="Normal 2 6 2 2 2 4 2 2 2" xfId="25883"/>
    <cellStyle name="Normal 2 6 2 2 2 4 2 2 2 2" xfId="25884"/>
    <cellStyle name="Normal 2 6 2 2 2 4 2 2 3" xfId="25885"/>
    <cellStyle name="Normal 2 6 2 2 2 4 2 3" xfId="25886"/>
    <cellStyle name="Normal 2 6 2 2 2 4 2 3 2" xfId="25887"/>
    <cellStyle name="Normal 2 6 2 2 2 4 2 4" xfId="25888"/>
    <cellStyle name="Normal 2 6 2 2 2 4 3" xfId="25889"/>
    <cellStyle name="Normal 2 6 2 2 2 4 3 2" xfId="25890"/>
    <cellStyle name="Normal 2 6 2 2 2 4 3 2 2" xfId="25891"/>
    <cellStyle name="Normal 2 6 2 2 2 4 3 3" xfId="25892"/>
    <cellStyle name="Normal 2 6 2 2 2 4 4" xfId="25893"/>
    <cellStyle name="Normal 2 6 2 2 2 4 4 2" xfId="25894"/>
    <cellStyle name="Normal 2 6 2 2 2 4 5" xfId="25895"/>
    <cellStyle name="Normal 2 6 2 2 2 5" xfId="2993"/>
    <cellStyle name="Normal 2 6 2 2 2 5 2" xfId="25896"/>
    <cellStyle name="Normal 2 6 2 2 2 5 2 2" xfId="25897"/>
    <cellStyle name="Normal 2 6 2 2 2 5 2 2 2" xfId="25898"/>
    <cellStyle name="Normal 2 6 2 2 2 5 2 3" xfId="25899"/>
    <cellStyle name="Normal 2 6 2 2 2 5 3" xfId="25900"/>
    <cellStyle name="Normal 2 6 2 2 2 5 3 2" xfId="25901"/>
    <cellStyle name="Normal 2 6 2 2 2 5 4" xfId="25902"/>
    <cellStyle name="Normal 2 6 2 2 2 6" xfId="25903"/>
    <cellStyle name="Normal 2 6 2 2 2 6 2" xfId="25904"/>
    <cellStyle name="Normal 2 6 2 2 2 6 2 2" xfId="25905"/>
    <cellStyle name="Normal 2 6 2 2 2 6 3" xfId="25906"/>
    <cellStyle name="Normal 2 6 2 2 2 7" xfId="25907"/>
    <cellStyle name="Normal 2 6 2 2 2 7 2" xfId="25908"/>
    <cellStyle name="Normal 2 6 2 2 2 8" xfId="25909"/>
    <cellStyle name="Normal 2 6 2 2 3" xfId="409"/>
    <cellStyle name="Normal 2 6 2 2 3 2" xfId="1089"/>
    <cellStyle name="Normal 2 6 2 2 3 2 2" xfId="2449"/>
    <cellStyle name="Normal 2 6 2 2 3 2 2 2" xfId="5169"/>
    <cellStyle name="Normal 2 6 2 2 3 2 2 2 2" xfId="25910"/>
    <cellStyle name="Normal 2 6 2 2 3 2 2 2 2 2" xfId="25911"/>
    <cellStyle name="Normal 2 6 2 2 3 2 2 2 2 2 2" xfId="25912"/>
    <cellStyle name="Normal 2 6 2 2 3 2 2 2 2 3" xfId="25913"/>
    <cellStyle name="Normal 2 6 2 2 3 2 2 2 3" xfId="25914"/>
    <cellStyle name="Normal 2 6 2 2 3 2 2 2 3 2" xfId="25915"/>
    <cellStyle name="Normal 2 6 2 2 3 2 2 2 4" xfId="25916"/>
    <cellStyle name="Normal 2 6 2 2 3 2 2 3" xfId="25917"/>
    <cellStyle name="Normal 2 6 2 2 3 2 2 3 2" xfId="25918"/>
    <cellStyle name="Normal 2 6 2 2 3 2 2 3 2 2" xfId="25919"/>
    <cellStyle name="Normal 2 6 2 2 3 2 2 3 3" xfId="25920"/>
    <cellStyle name="Normal 2 6 2 2 3 2 2 4" xfId="25921"/>
    <cellStyle name="Normal 2 6 2 2 3 2 2 4 2" xfId="25922"/>
    <cellStyle name="Normal 2 6 2 2 3 2 2 5" xfId="25923"/>
    <cellStyle name="Normal 2 6 2 2 3 2 3" xfId="3809"/>
    <cellStyle name="Normal 2 6 2 2 3 2 3 2" xfId="25924"/>
    <cellStyle name="Normal 2 6 2 2 3 2 3 2 2" xfId="25925"/>
    <cellStyle name="Normal 2 6 2 2 3 2 3 2 2 2" xfId="25926"/>
    <cellStyle name="Normal 2 6 2 2 3 2 3 2 3" xfId="25927"/>
    <cellStyle name="Normal 2 6 2 2 3 2 3 3" xfId="25928"/>
    <cellStyle name="Normal 2 6 2 2 3 2 3 3 2" xfId="25929"/>
    <cellStyle name="Normal 2 6 2 2 3 2 3 4" xfId="25930"/>
    <cellStyle name="Normal 2 6 2 2 3 2 4" xfId="25931"/>
    <cellStyle name="Normal 2 6 2 2 3 2 4 2" xfId="25932"/>
    <cellStyle name="Normal 2 6 2 2 3 2 4 2 2" xfId="25933"/>
    <cellStyle name="Normal 2 6 2 2 3 2 4 3" xfId="25934"/>
    <cellStyle name="Normal 2 6 2 2 3 2 5" xfId="25935"/>
    <cellStyle name="Normal 2 6 2 2 3 2 5 2" xfId="25936"/>
    <cellStyle name="Normal 2 6 2 2 3 2 6" xfId="25937"/>
    <cellStyle name="Normal 2 6 2 2 3 3" xfId="1769"/>
    <cellStyle name="Normal 2 6 2 2 3 3 2" xfId="4489"/>
    <cellStyle name="Normal 2 6 2 2 3 3 2 2" xfId="25938"/>
    <cellStyle name="Normal 2 6 2 2 3 3 2 2 2" xfId="25939"/>
    <cellStyle name="Normal 2 6 2 2 3 3 2 2 2 2" xfId="25940"/>
    <cellStyle name="Normal 2 6 2 2 3 3 2 2 3" xfId="25941"/>
    <cellStyle name="Normal 2 6 2 2 3 3 2 3" xfId="25942"/>
    <cellStyle name="Normal 2 6 2 2 3 3 2 3 2" xfId="25943"/>
    <cellStyle name="Normal 2 6 2 2 3 3 2 4" xfId="25944"/>
    <cellStyle name="Normal 2 6 2 2 3 3 3" xfId="25945"/>
    <cellStyle name="Normal 2 6 2 2 3 3 3 2" xfId="25946"/>
    <cellStyle name="Normal 2 6 2 2 3 3 3 2 2" xfId="25947"/>
    <cellStyle name="Normal 2 6 2 2 3 3 3 3" xfId="25948"/>
    <cellStyle name="Normal 2 6 2 2 3 3 4" xfId="25949"/>
    <cellStyle name="Normal 2 6 2 2 3 3 4 2" xfId="25950"/>
    <cellStyle name="Normal 2 6 2 2 3 3 5" xfId="25951"/>
    <cellStyle name="Normal 2 6 2 2 3 4" xfId="3129"/>
    <cellStyle name="Normal 2 6 2 2 3 4 2" xfId="25952"/>
    <cellStyle name="Normal 2 6 2 2 3 4 2 2" xfId="25953"/>
    <cellStyle name="Normal 2 6 2 2 3 4 2 2 2" xfId="25954"/>
    <cellStyle name="Normal 2 6 2 2 3 4 2 3" xfId="25955"/>
    <cellStyle name="Normal 2 6 2 2 3 4 3" xfId="25956"/>
    <cellStyle name="Normal 2 6 2 2 3 4 3 2" xfId="25957"/>
    <cellStyle name="Normal 2 6 2 2 3 4 4" xfId="25958"/>
    <cellStyle name="Normal 2 6 2 2 3 5" xfId="25959"/>
    <cellStyle name="Normal 2 6 2 2 3 5 2" xfId="25960"/>
    <cellStyle name="Normal 2 6 2 2 3 5 2 2" xfId="25961"/>
    <cellStyle name="Normal 2 6 2 2 3 5 3" xfId="25962"/>
    <cellStyle name="Normal 2 6 2 2 3 6" xfId="25963"/>
    <cellStyle name="Normal 2 6 2 2 3 6 2" xfId="25964"/>
    <cellStyle name="Normal 2 6 2 2 3 7" xfId="25965"/>
    <cellStyle name="Normal 2 6 2 2 4" xfId="681"/>
    <cellStyle name="Normal 2 6 2 2 4 2" xfId="1361"/>
    <cellStyle name="Normal 2 6 2 2 4 2 2" xfId="2721"/>
    <cellStyle name="Normal 2 6 2 2 4 2 2 2" xfId="5441"/>
    <cellStyle name="Normal 2 6 2 2 4 2 2 2 2" xfId="25966"/>
    <cellStyle name="Normal 2 6 2 2 4 2 2 2 2 2" xfId="25967"/>
    <cellStyle name="Normal 2 6 2 2 4 2 2 2 2 2 2" xfId="25968"/>
    <cellStyle name="Normal 2 6 2 2 4 2 2 2 2 3" xfId="25969"/>
    <cellStyle name="Normal 2 6 2 2 4 2 2 2 3" xfId="25970"/>
    <cellStyle name="Normal 2 6 2 2 4 2 2 2 3 2" xfId="25971"/>
    <cellStyle name="Normal 2 6 2 2 4 2 2 2 4" xfId="25972"/>
    <cellStyle name="Normal 2 6 2 2 4 2 2 3" xfId="25973"/>
    <cellStyle name="Normal 2 6 2 2 4 2 2 3 2" xfId="25974"/>
    <cellStyle name="Normal 2 6 2 2 4 2 2 3 2 2" xfId="25975"/>
    <cellStyle name="Normal 2 6 2 2 4 2 2 3 3" xfId="25976"/>
    <cellStyle name="Normal 2 6 2 2 4 2 2 4" xfId="25977"/>
    <cellStyle name="Normal 2 6 2 2 4 2 2 4 2" xfId="25978"/>
    <cellStyle name="Normal 2 6 2 2 4 2 2 5" xfId="25979"/>
    <cellStyle name="Normal 2 6 2 2 4 2 3" xfId="4081"/>
    <cellStyle name="Normal 2 6 2 2 4 2 3 2" xfId="25980"/>
    <cellStyle name="Normal 2 6 2 2 4 2 3 2 2" xfId="25981"/>
    <cellStyle name="Normal 2 6 2 2 4 2 3 2 2 2" xfId="25982"/>
    <cellStyle name="Normal 2 6 2 2 4 2 3 2 3" xfId="25983"/>
    <cellStyle name="Normal 2 6 2 2 4 2 3 3" xfId="25984"/>
    <cellStyle name="Normal 2 6 2 2 4 2 3 3 2" xfId="25985"/>
    <cellStyle name="Normal 2 6 2 2 4 2 3 4" xfId="25986"/>
    <cellStyle name="Normal 2 6 2 2 4 2 4" xfId="25987"/>
    <cellStyle name="Normal 2 6 2 2 4 2 4 2" xfId="25988"/>
    <cellStyle name="Normal 2 6 2 2 4 2 4 2 2" xfId="25989"/>
    <cellStyle name="Normal 2 6 2 2 4 2 4 3" xfId="25990"/>
    <cellStyle name="Normal 2 6 2 2 4 2 5" xfId="25991"/>
    <cellStyle name="Normal 2 6 2 2 4 2 5 2" xfId="25992"/>
    <cellStyle name="Normal 2 6 2 2 4 2 6" xfId="25993"/>
    <cellStyle name="Normal 2 6 2 2 4 3" xfId="2041"/>
    <cellStyle name="Normal 2 6 2 2 4 3 2" xfId="4761"/>
    <cellStyle name="Normal 2 6 2 2 4 3 2 2" xfId="25994"/>
    <cellStyle name="Normal 2 6 2 2 4 3 2 2 2" xfId="25995"/>
    <cellStyle name="Normal 2 6 2 2 4 3 2 2 2 2" xfId="25996"/>
    <cellStyle name="Normal 2 6 2 2 4 3 2 2 3" xfId="25997"/>
    <cellStyle name="Normal 2 6 2 2 4 3 2 3" xfId="25998"/>
    <cellStyle name="Normal 2 6 2 2 4 3 2 3 2" xfId="25999"/>
    <cellStyle name="Normal 2 6 2 2 4 3 2 4" xfId="26000"/>
    <cellStyle name="Normal 2 6 2 2 4 3 3" xfId="26001"/>
    <cellStyle name="Normal 2 6 2 2 4 3 3 2" xfId="26002"/>
    <cellStyle name="Normal 2 6 2 2 4 3 3 2 2" xfId="26003"/>
    <cellStyle name="Normal 2 6 2 2 4 3 3 3" xfId="26004"/>
    <cellStyle name="Normal 2 6 2 2 4 3 4" xfId="26005"/>
    <cellStyle name="Normal 2 6 2 2 4 3 4 2" xfId="26006"/>
    <cellStyle name="Normal 2 6 2 2 4 3 5" xfId="26007"/>
    <cellStyle name="Normal 2 6 2 2 4 4" xfId="3401"/>
    <cellStyle name="Normal 2 6 2 2 4 4 2" xfId="26008"/>
    <cellStyle name="Normal 2 6 2 2 4 4 2 2" xfId="26009"/>
    <cellStyle name="Normal 2 6 2 2 4 4 2 2 2" xfId="26010"/>
    <cellStyle name="Normal 2 6 2 2 4 4 2 3" xfId="26011"/>
    <cellStyle name="Normal 2 6 2 2 4 4 3" xfId="26012"/>
    <cellStyle name="Normal 2 6 2 2 4 4 3 2" xfId="26013"/>
    <cellStyle name="Normal 2 6 2 2 4 4 4" xfId="26014"/>
    <cellStyle name="Normal 2 6 2 2 4 5" xfId="26015"/>
    <cellStyle name="Normal 2 6 2 2 4 5 2" xfId="26016"/>
    <cellStyle name="Normal 2 6 2 2 4 5 2 2" xfId="26017"/>
    <cellStyle name="Normal 2 6 2 2 4 5 3" xfId="26018"/>
    <cellStyle name="Normal 2 6 2 2 4 6" xfId="26019"/>
    <cellStyle name="Normal 2 6 2 2 4 6 2" xfId="26020"/>
    <cellStyle name="Normal 2 6 2 2 4 7" xfId="26021"/>
    <cellStyle name="Normal 2 6 2 2 5" xfId="817"/>
    <cellStyle name="Normal 2 6 2 2 5 2" xfId="2177"/>
    <cellStyle name="Normal 2 6 2 2 5 2 2" xfId="4897"/>
    <cellStyle name="Normal 2 6 2 2 5 2 2 2" xfId="26022"/>
    <cellStyle name="Normal 2 6 2 2 5 2 2 2 2" xfId="26023"/>
    <cellStyle name="Normal 2 6 2 2 5 2 2 2 2 2" xfId="26024"/>
    <cellStyle name="Normal 2 6 2 2 5 2 2 2 3" xfId="26025"/>
    <cellStyle name="Normal 2 6 2 2 5 2 2 3" xfId="26026"/>
    <cellStyle name="Normal 2 6 2 2 5 2 2 3 2" xfId="26027"/>
    <cellStyle name="Normal 2 6 2 2 5 2 2 4" xfId="26028"/>
    <cellStyle name="Normal 2 6 2 2 5 2 3" xfId="26029"/>
    <cellStyle name="Normal 2 6 2 2 5 2 3 2" xfId="26030"/>
    <cellStyle name="Normal 2 6 2 2 5 2 3 2 2" xfId="26031"/>
    <cellStyle name="Normal 2 6 2 2 5 2 3 3" xfId="26032"/>
    <cellStyle name="Normal 2 6 2 2 5 2 4" xfId="26033"/>
    <cellStyle name="Normal 2 6 2 2 5 2 4 2" xfId="26034"/>
    <cellStyle name="Normal 2 6 2 2 5 2 5" xfId="26035"/>
    <cellStyle name="Normal 2 6 2 2 5 3" xfId="3537"/>
    <cellStyle name="Normal 2 6 2 2 5 3 2" xfId="26036"/>
    <cellStyle name="Normal 2 6 2 2 5 3 2 2" xfId="26037"/>
    <cellStyle name="Normal 2 6 2 2 5 3 2 2 2" xfId="26038"/>
    <cellStyle name="Normal 2 6 2 2 5 3 2 3" xfId="26039"/>
    <cellStyle name="Normal 2 6 2 2 5 3 3" xfId="26040"/>
    <cellStyle name="Normal 2 6 2 2 5 3 3 2" xfId="26041"/>
    <cellStyle name="Normal 2 6 2 2 5 3 4" xfId="26042"/>
    <cellStyle name="Normal 2 6 2 2 5 4" xfId="26043"/>
    <cellStyle name="Normal 2 6 2 2 5 4 2" xfId="26044"/>
    <cellStyle name="Normal 2 6 2 2 5 4 2 2" xfId="26045"/>
    <cellStyle name="Normal 2 6 2 2 5 4 3" xfId="26046"/>
    <cellStyle name="Normal 2 6 2 2 5 5" xfId="26047"/>
    <cellStyle name="Normal 2 6 2 2 5 5 2" xfId="26048"/>
    <cellStyle name="Normal 2 6 2 2 5 6" xfId="26049"/>
    <cellStyle name="Normal 2 6 2 2 6" xfId="1497"/>
    <cellStyle name="Normal 2 6 2 2 6 2" xfId="4217"/>
    <cellStyle name="Normal 2 6 2 2 6 2 2" xfId="26050"/>
    <cellStyle name="Normal 2 6 2 2 6 2 2 2" xfId="26051"/>
    <cellStyle name="Normal 2 6 2 2 6 2 2 2 2" xfId="26052"/>
    <cellStyle name="Normal 2 6 2 2 6 2 2 3" xfId="26053"/>
    <cellStyle name="Normal 2 6 2 2 6 2 3" xfId="26054"/>
    <cellStyle name="Normal 2 6 2 2 6 2 3 2" xfId="26055"/>
    <cellStyle name="Normal 2 6 2 2 6 2 4" xfId="26056"/>
    <cellStyle name="Normal 2 6 2 2 6 3" xfId="26057"/>
    <cellStyle name="Normal 2 6 2 2 6 3 2" xfId="26058"/>
    <cellStyle name="Normal 2 6 2 2 6 3 2 2" xfId="26059"/>
    <cellStyle name="Normal 2 6 2 2 6 3 3" xfId="26060"/>
    <cellStyle name="Normal 2 6 2 2 6 4" xfId="26061"/>
    <cellStyle name="Normal 2 6 2 2 6 4 2" xfId="26062"/>
    <cellStyle name="Normal 2 6 2 2 6 5" xfId="26063"/>
    <cellStyle name="Normal 2 6 2 2 7" xfId="2857"/>
    <cellStyle name="Normal 2 6 2 2 7 2" xfId="26064"/>
    <cellStyle name="Normal 2 6 2 2 7 2 2" xfId="26065"/>
    <cellStyle name="Normal 2 6 2 2 7 2 2 2" xfId="26066"/>
    <cellStyle name="Normal 2 6 2 2 7 2 3" xfId="26067"/>
    <cellStyle name="Normal 2 6 2 2 7 3" xfId="26068"/>
    <cellStyle name="Normal 2 6 2 2 7 3 2" xfId="26069"/>
    <cellStyle name="Normal 2 6 2 2 7 4" xfId="26070"/>
    <cellStyle name="Normal 2 6 2 2 8" xfId="26071"/>
    <cellStyle name="Normal 2 6 2 2 8 2" xfId="26072"/>
    <cellStyle name="Normal 2 6 2 2 8 2 2" xfId="26073"/>
    <cellStyle name="Normal 2 6 2 2 8 3" xfId="26074"/>
    <cellStyle name="Normal 2 6 2 2 9" xfId="26075"/>
    <cellStyle name="Normal 2 6 2 2 9 2" xfId="26076"/>
    <cellStyle name="Normal 2 6 2 3" xfId="205"/>
    <cellStyle name="Normal 2 6 2 3 2" xfId="477"/>
    <cellStyle name="Normal 2 6 2 3 2 2" xfId="1157"/>
    <cellStyle name="Normal 2 6 2 3 2 2 2" xfId="2517"/>
    <cellStyle name="Normal 2 6 2 3 2 2 2 2" xfId="5237"/>
    <cellStyle name="Normal 2 6 2 3 2 2 2 2 2" xfId="26077"/>
    <cellStyle name="Normal 2 6 2 3 2 2 2 2 2 2" xfId="26078"/>
    <cellStyle name="Normal 2 6 2 3 2 2 2 2 2 2 2" xfId="26079"/>
    <cellStyle name="Normal 2 6 2 3 2 2 2 2 2 3" xfId="26080"/>
    <cellStyle name="Normal 2 6 2 3 2 2 2 2 3" xfId="26081"/>
    <cellStyle name="Normal 2 6 2 3 2 2 2 2 3 2" xfId="26082"/>
    <cellStyle name="Normal 2 6 2 3 2 2 2 2 4" xfId="26083"/>
    <cellStyle name="Normal 2 6 2 3 2 2 2 3" xfId="26084"/>
    <cellStyle name="Normal 2 6 2 3 2 2 2 3 2" xfId="26085"/>
    <cellStyle name="Normal 2 6 2 3 2 2 2 3 2 2" xfId="26086"/>
    <cellStyle name="Normal 2 6 2 3 2 2 2 3 3" xfId="26087"/>
    <cellStyle name="Normal 2 6 2 3 2 2 2 4" xfId="26088"/>
    <cellStyle name="Normal 2 6 2 3 2 2 2 4 2" xfId="26089"/>
    <cellStyle name="Normal 2 6 2 3 2 2 2 5" xfId="26090"/>
    <cellStyle name="Normal 2 6 2 3 2 2 3" xfId="3877"/>
    <cellStyle name="Normal 2 6 2 3 2 2 3 2" xfId="26091"/>
    <cellStyle name="Normal 2 6 2 3 2 2 3 2 2" xfId="26092"/>
    <cellStyle name="Normal 2 6 2 3 2 2 3 2 2 2" xfId="26093"/>
    <cellStyle name="Normal 2 6 2 3 2 2 3 2 3" xfId="26094"/>
    <cellStyle name="Normal 2 6 2 3 2 2 3 3" xfId="26095"/>
    <cellStyle name="Normal 2 6 2 3 2 2 3 3 2" xfId="26096"/>
    <cellStyle name="Normal 2 6 2 3 2 2 3 4" xfId="26097"/>
    <cellStyle name="Normal 2 6 2 3 2 2 4" xfId="26098"/>
    <cellStyle name="Normal 2 6 2 3 2 2 4 2" xfId="26099"/>
    <cellStyle name="Normal 2 6 2 3 2 2 4 2 2" xfId="26100"/>
    <cellStyle name="Normal 2 6 2 3 2 2 4 3" xfId="26101"/>
    <cellStyle name="Normal 2 6 2 3 2 2 5" xfId="26102"/>
    <cellStyle name="Normal 2 6 2 3 2 2 5 2" xfId="26103"/>
    <cellStyle name="Normal 2 6 2 3 2 2 6" xfId="26104"/>
    <cellStyle name="Normal 2 6 2 3 2 3" xfId="1837"/>
    <cellStyle name="Normal 2 6 2 3 2 3 2" xfId="4557"/>
    <cellStyle name="Normal 2 6 2 3 2 3 2 2" xfId="26105"/>
    <cellStyle name="Normal 2 6 2 3 2 3 2 2 2" xfId="26106"/>
    <cellStyle name="Normal 2 6 2 3 2 3 2 2 2 2" xfId="26107"/>
    <cellStyle name="Normal 2 6 2 3 2 3 2 2 3" xfId="26108"/>
    <cellStyle name="Normal 2 6 2 3 2 3 2 3" xfId="26109"/>
    <cellStyle name="Normal 2 6 2 3 2 3 2 3 2" xfId="26110"/>
    <cellStyle name="Normal 2 6 2 3 2 3 2 4" xfId="26111"/>
    <cellStyle name="Normal 2 6 2 3 2 3 3" xfId="26112"/>
    <cellStyle name="Normal 2 6 2 3 2 3 3 2" xfId="26113"/>
    <cellStyle name="Normal 2 6 2 3 2 3 3 2 2" xfId="26114"/>
    <cellStyle name="Normal 2 6 2 3 2 3 3 3" xfId="26115"/>
    <cellStyle name="Normal 2 6 2 3 2 3 4" xfId="26116"/>
    <cellStyle name="Normal 2 6 2 3 2 3 4 2" xfId="26117"/>
    <cellStyle name="Normal 2 6 2 3 2 3 5" xfId="26118"/>
    <cellStyle name="Normal 2 6 2 3 2 4" xfId="3197"/>
    <cellStyle name="Normal 2 6 2 3 2 4 2" xfId="26119"/>
    <cellStyle name="Normal 2 6 2 3 2 4 2 2" xfId="26120"/>
    <cellStyle name="Normal 2 6 2 3 2 4 2 2 2" xfId="26121"/>
    <cellStyle name="Normal 2 6 2 3 2 4 2 3" xfId="26122"/>
    <cellStyle name="Normal 2 6 2 3 2 4 3" xfId="26123"/>
    <cellStyle name="Normal 2 6 2 3 2 4 3 2" xfId="26124"/>
    <cellStyle name="Normal 2 6 2 3 2 4 4" xfId="26125"/>
    <cellStyle name="Normal 2 6 2 3 2 5" xfId="26126"/>
    <cellStyle name="Normal 2 6 2 3 2 5 2" xfId="26127"/>
    <cellStyle name="Normal 2 6 2 3 2 5 2 2" xfId="26128"/>
    <cellStyle name="Normal 2 6 2 3 2 5 3" xfId="26129"/>
    <cellStyle name="Normal 2 6 2 3 2 6" xfId="26130"/>
    <cellStyle name="Normal 2 6 2 3 2 6 2" xfId="26131"/>
    <cellStyle name="Normal 2 6 2 3 2 7" xfId="26132"/>
    <cellStyle name="Normal 2 6 2 3 3" xfId="885"/>
    <cellStyle name="Normal 2 6 2 3 3 2" xfId="2245"/>
    <cellStyle name="Normal 2 6 2 3 3 2 2" xfId="4965"/>
    <cellStyle name="Normal 2 6 2 3 3 2 2 2" xfId="26133"/>
    <cellStyle name="Normal 2 6 2 3 3 2 2 2 2" xfId="26134"/>
    <cellStyle name="Normal 2 6 2 3 3 2 2 2 2 2" xfId="26135"/>
    <cellStyle name="Normal 2 6 2 3 3 2 2 2 3" xfId="26136"/>
    <cellStyle name="Normal 2 6 2 3 3 2 2 3" xfId="26137"/>
    <cellStyle name="Normal 2 6 2 3 3 2 2 3 2" xfId="26138"/>
    <cellStyle name="Normal 2 6 2 3 3 2 2 4" xfId="26139"/>
    <cellStyle name="Normal 2 6 2 3 3 2 3" xfId="26140"/>
    <cellStyle name="Normal 2 6 2 3 3 2 3 2" xfId="26141"/>
    <cellStyle name="Normal 2 6 2 3 3 2 3 2 2" xfId="26142"/>
    <cellStyle name="Normal 2 6 2 3 3 2 3 3" xfId="26143"/>
    <cellStyle name="Normal 2 6 2 3 3 2 4" xfId="26144"/>
    <cellStyle name="Normal 2 6 2 3 3 2 4 2" xfId="26145"/>
    <cellStyle name="Normal 2 6 2 3 3 2 5" xfId="26146"/>
    <cellStyle name="Normal 2 6 2 3 3 3" xfId="3605"/>
    <cellStyle name="Normal 2 6 2 3 3 3 2" xfId="26147"/>
    <cellStyle name="Normal 2 6 2 3 3 3 2 2" xfId="26148"/>
    <cellStyle name="Normal 2 6 2 3 3 3 2 2 2" xfId="26149"/>
    <cellStyle name="Normal 2 6 2 3 3 3 2 3" xfId="26150"/>
    <cellStyle name="Normal 2 6 2 3 3 3 3" xfId="26151"/>
    <cellStyle name="Normal 2 6 2 3 3 3 3 2" xfId="26152"/>
    <cellStyle name="Normal 2 6 2 3 3 3 4" xfId="26153"/>
    <cellStyle name="Normal 2 6 2 3 3 4" xfId="26154"/>
    <cellStyle name="Normal 2 6 2 3 3 4 2" xfId="26155"/>
    <cellStyle name="Normal 2 6 2 3 3 4 2 2" xfId="26156"/>
    <cellStyle name="Normal 2 6 2 3 3 4 3" xfId="26157"/>
    <cellStyle name="Normal 2 6 2 3 3 5" xfId="26158"/>
    <cellStyle name="Normal 2 6 2 3 3 5 2" xfId="26159"/>
    <cellStyle name="Normal 2 6 2 3 3 6" xfId="26160"/>
    <cellStyle name="Normal 2 6 2 3 4" xfId="1565"/>
    <cellStyle name="Normal 2 6 2 3 4 2" xfId="4285"/>
    <cellStyle name="Normal 2 6 2 3 4 2 2" xfId="26161"/>
    <cellStyle name="Normal 2 6 2 3 4 2 2 2" xfId="26162"/>
    <cellStyle name="Normal 2 6 2 3 4 2 2 2 2" xfId="26163"/>
    <cellStyle name="Normal 2 6 2 3 4 2 2 3" xfId="26164"/>
    <cellStyle name="Normal 2 6 2 3 4 2 3" xfId="26165"/>
    <cellStyle name="Normal 2 6 2 3 4 2 3 2" xfId="26166"/>
    <cellStyle name="Normal 2 6 2 3 4 2 4" xfId="26167"/>
    <cellStyle name="Normal 2 6 2 3 4 3" xfId="26168"/>
    <cellStyle name="Normal 2 6 2 3 4 3 2" xfId="26169"/>
    <cellStyle name="Normal 2 6 2 3 4 3 2 2" xfId="26170"/>
    <cellStyle name="Normal 2 6 2 3 4 3 3" xfId="26171"/>
    <cellStyle name="Normal 2 6 2 3 4 4" xfId="26172"/>
    <cellStyle name="Normal 2 6 2 3 4 4 2" xfId="26173"/>
    <cellStyle name="Normal 2 6 2 3 4 5" xfId="26174"/>
    <cellStyle name="Normal 2 6 2 3 5" xfId="2925"/>
    <cellStyle name="Normal 2 6 2 3 5 2" xfId="26175"/>
    <cellStyle name="Normal 2 6 2 3 5 2 2" xfId="26176"/>
    <cellStyle name="Normal 2 6 2 3 5 2 2 2" xfId="26177"/>
    <cellStyle name="Normal 2 6 2 3 5 2 3" xfId="26178"/>
    <cellStyle name="Normal 2 6 2 3 5 3" xfId="26179"/>
    <cellStyle name="Normal 2 6 2 3 5 3 2" xfId="26180"/>
    <cellStyle name="Normal 2 6 2 3 5 4" xfId="26181"/>
    <cellStyle name="Normal 2 6 2 3 6" xfId="26182"/>
    <cellStyle name="Normal 2 6 2 3 6 2" xfId="26183"/>
    <cellStyle name="Normal 2 6 2 3 6 2 2" xfId="26184"/>
    <cellStyle name="Normal 2 6 2 3 6 3" xfId="26185"/>
    <cellStyle name="Normal 2 6 2 3 7" xfId="26186"/>
    <cellStyle name="Normal 2 6 2 3 7 2" xfId="26187"/>
    <cellStyle name="Normal 2 6 2 3 8" xfId="26188"/>
    <cellStyle name="Normal 2 6 2 4" xfId="341"/>
    <cellStyle name="Normal 2 6 2 4 2" xfId="1021"/>
    <cellStyle name="Normal 2 6 2 4 2 2" xfId="2381"/>
    <cellStyle name="Normal 2 6 2 4 2 2 2" xfId="5101"/>
    <cellStyle name="Normal 2 6 2 4 2 2 2 2" xfId="26189"/>
    <cellStyle name="Normal 2 6 2 4 2 2 2 2 2" xfId="26190"/>
    <cellStyle name="Normal 2 6 2 4 2 2 2 2 2 2" xfId="26191"/>
    <cellStyle name="Normal 2 6 2 4 2 2 2 2 3" xfId="26192"/>
    <cellStyle name="Normal 2 6 2 4 2 2 2 3" xfId="26193"/>
    <cellStyle name="Normal 2 6 2 4 2 2 2 3 2" xfId="26194"/>
    <cellStyle name="Normal 2 6 2 4 2 2 2 4" xfId="26195"/>
    <cellStyle name="Normal 2 6 2 4 2 2 3" xfId="26196"/>
    <cellStyle name="Normal 2 6 2 4 2 2 3 2" xfId="26197"/>
    <cellStyle name="Normal 2 6 2 4 2 2 3 2 2" xfId="26198"/>
    <cellStyle name="Normal 2 6 2 4 2 2 3 3" xfId="26199"/>
    <cellStyle name="Normal 2 6 2 4 2 2 4" xfId="26200"/>
    <cellStyle name="Normal 2 6 2 4 2 2 4 2" xfId="26201"/>
    <cellStyle name="Normal 2 6 2 4 2 2 5" xfId="26202"/>
    <cellStyle name="Normal 2 6 2 4 2 3" xfId="3741"/>
    <cellStyle name="Normal 2 6 2 4 2 3 2" xfId="26203"/>
    <cellStyle name="Normal 2 6 2 4 2 3 2 2" xfId="26204"/>
    <cellStyle name="Normal 2 6 2 4 2 3 2 2 2" xfId="26205"/>
    <cellStyle name="Normal 2 6 2 4 2 3 2 3" xfId="26206"/>
    <cellStyle name="Normal 2 6 2 4 2 3 3" xfId="26207"/>
    <cellStyle name="Normal 2 6 2 4 2 3 3 2" xfId="26208"/>
    <cellStyle name="Normal 2 6 2 4 2 3 4" xfId="26209"/>
    <cellStyle name="Normal 2 6 2 4 2 4" xfId="26210"/>
    <cellStyle name="Normal 2 6 2 4 2 4 2" xfId="26211"/>
    <cellStyle name="Normal 2 6 2 4 2 4 2 2" xfId="26212"/>
    <cellStyle name="Normal 2 6 2 4 2 4 3" xfId="26213"/>
    <cellStyle name="Normal 2 6 2 4 2 5" xfId="26214"/>
    <cellStyle name="Normal 2 6 2 4 2 5 2" xfId="26215"/>
    <cellStyle name="Normal 2 6 2 4 2 6" xfId="26216"/>
    <cellStyle name="Normal 2 6 2 4 3" xfId="1701"/>
    <cellStyle name="Normal 2 6 2 4 3 2" xfId="4421"/>
    <cellStyle name="Normal 2 6 2 4 3 2 2" xfId="26217"/>
    <cellStyle name="Normal 2 6 2 4 3 2 2 2" xfId="26218"/>
    <cellStyle name="Normal 2 6 2 4 3 2 2 2 2" xfId="26219"/>
    <cellStyle name="Normal 2 6 2 4 3 2 2 3" xfId="26220"/>
    <cellStyle name="Normal 2 6 2 4 3 2 3" xfId="26221"/>
    <cellStyle name="Normal 2 6 2 4 3 2 3 2" xfId="26222"/>
    <cellStyle name="Normal 2 6 2 4 3 2 4" xfId="26223"/>
    <cellStyle name="Normal 2 6 2 4 3 3" xfId="26224"/>
    <cellStyle name="Normal 2 6 2 4 3 3 2" xfId="26225"/>
    <cellStyle name="Normal 2 6 2 4 3 3 2 2" xfId="26226"/>
    <cellStyle name="Normal 2 6 2 4 3 3 3" xfId="26227"/>
    <cellStyle name="Normal 2 6 2 4 3 4" xfId="26228"/>
    <cellStyle name="Normal 2 6 2 4 3 4 2" xfId="26229"/>
    <cellStyle name="Normal 2 6 2 4 3 5" xfId="26230"/>
    <cellStyle name="Normal 2 6 2 4 4" xfId="3061"/>
    <cellStyle name="Normal 2 6 2 4 4 2" xfId="26231"/>
    <cellStyle name="Normal 2 6 2 4 4 2 2" xfId="26232"/>
    <cellStyle name="Normal 2 6 2 4 4 2 2 2" xfId="26233"/>
    <cellStyle name="Normal 2 6 2 4 4 2 3" xfId="26234"/>
    <cellStyle name="Normal 2 6 2 4 4 3" xfId="26235"/>
    <cellStyle name="Normal 2 6 2 4 4 3 2" xfId="26236"/>
    <cellStyle name="Normal 2 6 2 4 4 4" xfId="26237"/>
    <cellStyle name="Normal 2 6 2 4 5" xfId="26238"/>
    <cellStyle name="Normal 2 6 2 4 5 2" xfId="26239"/>
    <cellStyle name="Normal 2 6 2 4 5 2 2" xfId="26240"/>
    <cellStyle name="Normal 2 6 2 4 5 3" xfId="26241"/>
    <cellStyle name="Normal 2 6 2 4 6" xfId="26242"/>
    <cellStyle name="Normal 2 6 2 4 6 2" xfId="26243"/>
    <cellStyle name="Normal 2 6 2 4 7" xfId="26244"/>
    <cellStyle name="Normal 2 6 2 5" xfId="613"/>
    <cellStyle name="Normal 2 6 2 5 2" xfId="1293"/>
    <cellStyle name="Normal 2 6 2 5 2 2" xfId="2653"/>
    <cellStyle name="Normal 2 6 2 5 2 2 2" xfId="5373"/>
    <cellStyle name="Normal 2 6 2 5 2 2 2 2" xfId="26245"/>
    <cellStyle name="Normal 2 6 2 5 2 2 2 2 2" xfId="26246"/>
    <cellStyle name="Normal 2 6 2 5 2 2 2 2 2 2" xfId="26247"/>
    <cellStyle name="Normal 2 6 2 5 2 2 2 2 3" xfId="26248"/>
    <cellStyle name="Normal 2 6 2 5 2 2 2 3" xfId="26249"/>
    <cellStyle name="Normal 2 6 2 5 2 2 2 3 2" xfId="26250"/>
    <cellStyle name="Normal 2 6 2 5 2 2 2 4" xfId="26251"/>
    <cellStyle name="Normal 2 6 2 5 2 2 3" xfId="26252"/>
    <cellStyle name="Normal 2 6 2 5 2 2 3 2" xfId="26253"/>
    <cellStyle name="Normal 2 6 2 5 2 2 3 2 2" xfId="26254"/>
    <cellStyle name="Normal 2 6 2 5 2 2 3 3" xfId="26255"/>
    <cellStyle name="Normal 2 6 2 5 2 2 4" xfId="26256"/>
    <cellStyle name="Normal 2 6 2 5 2 2 4 2" xfId="26257"/>
    <cellStyle name="Normal 2 6 2 5 2 2 5" xfId="26258"/>
    <cellStyle name="Normal 2 6 2 5 2 3" xfId="4013"/>
    <cellStyle name="Normal 2 6 2 5 2 3 2" xfId="26259"/>
    <cellStyle name="Normal 2 6 2 5 2 3 2 2" xfId="26260"/>
    <cellStyle name="Normal 2 6 2 5 2 3 2 2 2" xfId="26261"/>
    <cellStyle name="Normal 2 6 2 5 2 3 2 3" xfId="26262"/>
    <cellStyle name="Normal 2 6 2 5 2 3 3" xfId="26263"/>
    <cellStyle name="Normal 2 6 2 5 2 3 3 2" xfId="26264"/>
    <cellStyle name="Normal 2 6 2 5 2 3 4" xfId="26265"/>
    <cellStyle name="Normal 2 6 2 5 2 4" xfId="26266"/>
    <cellStyle name="Normal 2 6 2 5 2 4 2" xfId="26267"/>
    <cellStyle name="Normal 2 6 2 5 2 4 2 2" xfId="26268"/>
    <cellStyle name="Normal 2 6 2 5 2 4 3" xfId="26269"/>
    <cellStyle name="Normal 2 6 2 5 2 5" xfId="26270"/>
    <cellStyle name="Normal 2 6 2 5 2 5 2" xfId="26271"/>
    <cellStyle name="Normal 2 6 2 5 2 6" xfId="26272"/>
    <cellStyle name="Normal 2 6 2 5 3" xfId="1973"/>
    <cellStyle name="Normal 2 6 2 5 3 2" xfId="4693"/>
    <cellStyle name="Normal 2 6 2 5 3 2 2" xfId="26273"/>
    <cellStyle name="Normal 2 6 2 5 3 2 2 2" xfId="26274"/>
    <cellStyle name="Normal 2 6 2 5 3 2 2 2 2" xfId="26275"/>
    <cellStyle name="Normal 2 6 2 5 3 2 2 3" xfId="26276"/>
    <cellStyle name="Normal 2 6 2 5 3 2 3" xfId="26277"/>
    <cellStyle name="Normal 2 6 2 5 3 2 3 2" xfId="26278"/>
    <cellStyle name="Normal 2 6 2 5 3 2 4" xfId="26279"/>
    <cellStyle name="Normal 2 6 2 5 3 3" xfId="26280"/>
    <cellStyle name="Normal 2 6 2 5 3 3 2" xfId="26281"/>
    <cellStyle name="Normal 2 6 2 5 3 3 2 2" xfId="26282"/>
    <cellStyle name="Normal 2 6 2 5 3 3 3" xfId="26283"/>
    <cellStyle name="Normal 2 6 2 5 3 4" xfId="26284"/>
    <cellStyle name="Normal 2 6 2 5 3 4 2" xfId="26285"/>
    <cellStyle name="Normal 2 6 2 5 3 5" xfId="26286"/>
    <cellStyle name="Normal 2 6 2 5 4" xfId="3333"/>
    <cellStyle name="Normal 2 6 2 5 4 2" xfId="26287"/>
    <cellStyle name="Normal 2 6 2 5 4 2 2" xfId="26288"/>
    <cellStyle name="Normal 2 6 2 5 4 2 2 2" xfId="26289"/>
    <cellStyle name="Normal 2 6 2 5 4 2 3" xfId="26290"/>
    <cellStyle name="Normal 2 6 2 5 4 3" xfId="26291"/>
    <cellStyle name="Normal 2 6 2 5 4 3 2" xfId="26292"/>
    <cellStyle name="Normal 2 6 2 5 4 4" xfId="26293"/>
    <cellStyle name="Normal 2 6 2 5 5" xfId="26294"/>
    <cellStyle name="Normal 2 6 2 5 5 2" xfId="26295"/>
    <cellStyle name="Normal 2 6 2 5 5 2 2" xfId="26296"/>
    <cellStyle name="Normal 2 6 2 5 5 3" xfId="26297"/>
    <cellStyle name="Normal 2 6 2 5 6" xfId="26298"/>
    <cellStyle name="Normal 2 6 2 5 6 2" xfId="26299"/>
    <cellStyle name="Normal 2 6 2 5 7" xfId="26300"/>
    <cellStyle name="Normal 2 6 2 6" xfId="749"/>
    <cellStyle name="Normal 2 6 2 6 2" xfId="2109"/>
    <cellStyle name="Normal 2 6 2 6 2 2" xfId="4829"/>
    <cellStyle name="Normal 2 6 2 6 2 2 2" xfId="26301"/>
    <cellStyle name="Normal 2 6 2 6 2 2 2 2" xfId="26302"/>
    <cellStyle name="Normal 2 6 2 6 2 2 2 2 2" xfId="26303"/>
    <cellStyle name="Normal 2 6 2 6 2 2 2 3" xfId="26304"/>
    <cellStyle name="Normal 2 6 2 6 2 2 3" xfId="26305"/>
    <cellStyle name="Normal 2 6 2 6 2 2 3 2" xfId="26306"/>
    <cellStyle name="Normal 2 6 2 6 2 2 4" xfId="26307"/>
    <cellStyle name="Normal 2 6 2 6 2 3" xfId="26308"/>
    <cellStyle name="Normal 2 6 2 6 2 3 2" xfId="26309"/>
    <cellStyle name="Normal 2 6 2 6 2 3 2 2" xfId="26310"/>
    <cellStyle name="Normal 2 6 2 6 2 3 3" xfId="26311"/>
    <cellStyle name="Normal 2 6 2 6 2 4" xfId="26312"/>
    <cellStyle name="Normal 2 6 2 6 2 4 2" xfId="26313"/>
    <cellStyle name="Normal 2 6 2 6 2 5" xfId="26314"/>
    <cellStyle name="Normal 2 6 2 6 3" xfId="3469"/>
    <cellStyle name="Normal 2 6 2 6 3 2" xfId="26315"/>
    <cellStyle name="Normal 2 6 2 6 3 2 2" xfId="26316"/>
    <cellStyle name="Normal 2 6 2 6 3 2 2 2" xfId="26317"/>
    <cellStyle name="Normal 2 6 2 6 3 2 3" xfId="26318"/>
    <cellStyle name="Normal 2 6 2 6 3 3" xfId="26319"/>
    <cellStyle name="Normal 2 6 2 6 3 3 2" xfId="26320"/>
    <cellStyle name="Normal 2 6 2 6 3 4" xfId="26321"/>
    <cellStyle name="Normal 2 6 2 6 4" xfId="26322"/>
    <cellStyle name="Normal 2 6 2 6 4 2" xfId="26323"/>
    <cellStyle name="Normal 2 6 2 6 4 2 2" xfId="26324"/>
    <cellStyle name="Normal 2 6 2 6 4 3" xfId="26325"/>
    <cellStyle name="Normal 2 6 2 6 5" xfId="26326"/>
    <cellStyle name="Normal 2 6 2 6 5 2" xfId="26327"/>
    <cellStyle name="Normal 2 6 2 6 6" xfId="26328"/>
    <cellStyle name="Normal 2 6 2 7" xfId="1429"/>
    <cellStyle name="Normal 2 6 2 7 2" xfId="4149"/>
    <cellStyle name="Normal 2 6 2 7 2 2" xfId="26329"/>
    <cellStyle name="Normal 2 6 2 7 2 2 2" xfId="26330"/>
    <cellStyle name="Normal 2 6 2 7 2 2 2 2" xfId="26331"/>
    <cellStyle name="Normal 2 6 2 7 2 2 3" xfId="26332"/>
    <cellStyle name="Normal 2 6 2 7 2 3" xfId="26333"/>
    <cellStyle name="Normal 2 6 2 7 2 3 2" xfId="26334"/>
    <cellStyle name="Normal 2 6 2 7 2 4" xfId="26335"/>
    <cellStyle name="Normal 2 6 2 7 3" xfId="26336"/>
    <cellStyle name="Normal 2 6 2 7 3 2" xfId="26337"/>
    <cellStyle name="Normal 2 6 2 7 3 2 2" xfId="26338"/>
    <cellStyle name="Normal 2 6 2 7 3 3" xfId="26339"/>
    <cellStyle name="Normal 2 6 2 7 4" xfId="26340"/>
    <cellStyle name="Normal 2 6 2 7 4 2" xfId="26341"/>
    <cellStyle name="Normal 2 6 2 7 5" xfId="26342"/>
    <cellStyle name="Normal 2 6 2 8" xfId="2789"/>
    <cellStyle name="Normal 2 6 2 8 2" xfId="26343"/>
    <cellStyle name="Normal 2 6 2 8 2 2" xfId="26344"/>
    <cellStyle name="Normal 2 6 2 8 2 2 2" xfId="26345"/>
    <cellStyle name="Normal 2 6 2 8 2 3" xfId="26346"/>
    <cellStyle name="Normal 2 6 2 8 3" xfId="26347"/>
    <cellStyle name="Normal 2 6 2 8 3 2" xfId="26348"/>
    <cellStyle name="Normal 2 6 2 8 4" xfId="26349"/>
    <cellStyle name="Normal 2 6 2 9" xfId="26350"/>
    <cellStyle name="Normal 2 6 2 9 2" xfId="26351"/>
    <cellStyle name="Normal 2 6 2 9 2 2" xfId="26352"/>
    <cellStyle name="Normal 2 6 2 9 3" xfId="26353"/>
    <cellStyle name="Normal 2 6 3" xfId="102"/>
    <cellStyle name="Normal 2 6 3 10" xfId="26354"/>
    <cellStyle name="Normal 2 6 3 2" xfId="239"/>
    <cellStyle name="Normal 2 6 3 2 2" xfId="511"/>
    <cellStyle name="Normal 2 6 3 2 2 2" xfId="1191"/>
    <cellStyle name="Normal 2 6 3 2 2 2 2" xfId="2551"/>
    <cellStyle name="Normal 2 6 3 2 2 2 2 2" xfId="5271"/>
    <cellStyle name="Normal 2 6 3 2 2 2 2 2 2" xfId="26355"/>
    <cellStyle name="Normal 2 6 3 2 2 2 2 2 2 2" xfId="26356"/>
    <cellStyle name="Normal 2 6 3 2 2 2 2 2 2 2 2" xfId="26357"/>
    <cellStyle name="Normal 2 6 3 2 2 2 2 2 2 3" xfId="26358"/>
    <cellStyle name="Normal 2 6 3 2 2 2 2 2 3" xfId="26359"/>
    <cellStyle name="Normal 2 6 3 2 2 2 2 2 3 2" xfId="26360"/>
    <cellStyle name="Normal 2 6 3 2 2 2 2 2 4" xfId="26361"/>
    <cellStyle name="Normal 2 6 3 2 2 2 2 3" xfId="26362"/>
    <cellStyle name="Normal 2 6 3 2 2 2 2 3 2" xfId="26363"/>
    <cellStyle name="Normal 2 6 3 2 2 2 2 3 2 2" xfId="26364"/>
    <cellStyle name="Normal 2 6 3 2 2 2 2 3 3" xfId="26365"/>
    <cellStyle name="Normal 2 6 3 2 2 2 2 4" xfId="26366"/>
    <cellStyle name="Normal 2 6 3 2 2 2 2 4 2" xfId="26367"/>
    <cellStyle name="Normal 2 6 3 2 2 2 2 5" xfId="26368"/>
    <cellStyle name="Normal 2 6 3 2 2 2 3" xfId="3911"/>
    <cellStyle name="Normal 2 6 3 2 2 2 3 2" xfId="26369"/>
    <cellStyle name="Normal 2 6 3 2 2 2 3 2 2" xfId="26370"/>
    <cellStyle name="Normal 2 6 3 2 2 2 3 2 2 2" xfId="26371"/>
    <cellStyle name="Normal 2 6 3 2 2 2 3 2 3" xfId="26372"/>
    <cellStyle name="Normal 2 6 3 2 2 2 3 3" xfId="26373"/>
    <cellStyle name="Normal 2 6 3 2 2 2 3 3 2" xfId="26374"/>
    <cellStyle name="Normal 2 6 3 2 2 2 3 4" xfId="26375"/>
    <cellStyle name="Normal 2 6 3 2 2 2 4" xfId="26376"/>
    <cellStyle name="Normal 2 6 3 2 2 2 4 2" xfId="26377"/>
    <cellStyle name="Normal 2 6 3 2 2 2 4 2 2" xfId="26378"/>
    <cellStyle name="Normal 2 6 3 2 2 2 4 3" xfId="26379"/>
    <cellStyle name="Normal 2 6 3 2 2 2 5" xfId="26380"/>
    <cellStyle name="Normal 2 6 3 2 2 2 5 2" xfId="26381"/>
    <cellStyle name="Normal 2 6 3 2 2 2 6" xfId="26382"/>
    <cellStyle name="Normal 2 6 3 2 2 3" xfId="1871"/>
    <cellStyle name="Normal 2 6 3 2 2 3 2" xfId="4591"/>
    <cellStyle name="Normal 2 6 3 2 2 3 2 2" xfId="26383"/>
    <cellStyle name="Normal 2 6 3 2 2 3 2 2 2" xfId="26384"/>
    <cellStyle name="Normal 2 6 3 2 2 3 2 2 2 2" xfId="26385"/>
    <cellStyle name="Normal 2 6 3 2 2 3 2 2 3" xfId="26386"/>
    <cellStyle name="Normal 2 6 3 2 2 3 2 3" xfId="26387"/>
    <cellStyle name="Normal 2 6 3 2 2 3 2 3 2" xfId="26388"/>
    <cellStyle name="Normal 2 6 3 2 2 3 2 4" xfId="26389"/>
    <cellStyle name="Normal 2 6 3 2 2 3 3" xfId="26390"/>
    <cellStyle name="Normal 2 6 3 2 2 3 3 2" xfId="26391"/>
    <cellStyle name="Normal 2 6 3 2 2 3 3 2 2" xfId="26392"/>
    <cellStyle name="Normal 2 6 3 2 2 3 3 3" xfId="26393"/>
    <cellStyle name="Normal 2 6 3 2 2 3 4" xfId="26394"/>
    <cellStyle name="Normal 2 6 3 2 2 3 4 2" xfId="26395"/>
    <cellStyle name="Normal 2 6 3 2 2 3 5" xfId="26396"/>
    <cellStyle name="Normal 2 6 3 2 2 4" xfId="3231"/>
    <cellStyle name="Normal 2 6 3 2 2 4 2" xfId="26397"/>
    <cellStyle name="Normal 2 6 3 2 2 4 2 2" xfId="26398"/>
    <cellStyle name="Normal 2 6 3 2 2 4 2 2 2" xfId="26399"/>
    <cellStyle name="Normal 2 6 3 2 2 4 2 3" xfId="26400"/>
    <cellStyle name="Normal 2 6 3 2 2 4 3" xfId="26401"/>
    <cellStyle name="Normal 2 6 3 2 2 4 3 2" xfId="26402"/>
    <cellStyle name="Normal 2 6 3 2 2 4 4" xfId="26403"/>
    <cellStyle name="Normal 2 6 3 2 2 5" xfId="26404"/>
    <cellStyle name="Normal 2 6 3 2 2 5 2" xfId="26405"/>
    <cellStyle name="Normal 2 6 3 2 2 5 2 2" xfId="26406"/>
    <cellStyle name="Normal 2 6 3 2 2 5 3" xfId="26407"/>
    <cellStyle name="Normal 2 6 3 2 2 6" xfId="26408"/>
    <cellStyle name="Normal 2 6 3 2 2 6 2" xfId="26409"/>
    <cellStyle name="Normal 2 6 3 2 2 7" xfId="26410"/>
    <cellStyle name="Normal 2 6 3 2 3" xfId="919"/>
    <cellStyle name="Normal 2 6 3 2 3 2" xfId="2279"/>
    <cellStyle name="Normal 2 6 3 2 3 2 2" xfId="4999"/>
    <cellStyle name="Normal 2 6 3 2 3 2 2 2" xfId="26411"/>
    <cellStyle name="Normal 2 6 3 2 3 2 2 2 2" xfId="26412"/>
    <cellStyle name="Normal 2 6 3 2 3 2 2 2 2 2" xfId="26413"/>
    <cellStyle name="Normal 2 6 3 2 3 2 2 2 3" xfId="26414"/>
    <cellStyle name="Normal 2 6 3 2 3 2 2 3" xfId="26415"/>
    <cellStyle name="Normal 2 6 3 2 3 2 2 3 2" xfId="26416"/>
    <cellStyle name="Normal 2 6 3 2 3 2 2 4" xfId="26417"/>
    <cellStyle name="Normal 2 6 3 2 3 2 3" xfId="26418"/>
    <cellStyle name="Normal 2 6 3 2 3 2 3 2" xfId="26419"/>
    <cellStyle name="Normal 2 6 3 2 3 2 3 2 2" xfId="26420"/>
    <cellStyle name="Normal 2 6 3 2 3 2 3 3" xfId="26421"/>
    <cellStyle name="Normal 2 6 3 2 3 2 4" xfId="26422"/>
    <cellStyle name="Normal 2 6 3 2 3 2 4 2" xfId="26423"/>
    <cellStyle name="Normal 2 6 3 2 3 2 5" xfId="26424"/>
    <cellStyle name="Normal 2 6 3 2 3 3" xfId="3639"/>
    <cellStyle name="Normal 2 6 3 2 3 3 2" xfId="26425"/>
    <cellStyle name="Normal 2 6 3 2 3 3 2 2" xfId="26426"/>
    <cellStyle name="Normal 2 6 3 2 3 3 2 2 2" xfId="26427"/>
    <cellStyle name="Normal 2 6 3 2 3 3 2 3" xfId="26428"/>
    <cellStyle name="Normal 2 6 3 2 3 3 3" xfId="26429"/>
    <cellStyle name="Normal 2 6 3 2 3 3 3 2" xfId="26430"/>
    <cellStyle name="Normal 2 6 3 2 3 3 4" xfId="26431"/>
    <cellStyle name="Normal 2 6 3 2 3 4" xfId="26432"/>
    <cellStyle name="Normal 2 6 3 2 3 4 2" xfId="26433"/>
    <cellStyle name="Normal 2 6 3 2 3 4 2 2" xfId="26434"/>
    <cellStyle name="Normal 2 6 3 2 3 4 3" xfId="26435"/>
    <cellStyle name="Normal 2 6 3 2 3 5" xfId="26436"/>
    <cellStyle name="Normal 2 6 3 2 3 5 2" xfId="26437"/>
    <cellStyle name="Normal 2 6 3 2 3 6" xfId="26438"/>
    <cellStyle name="Normal 2 6 3 2 4" xfId="1599"/>
    <cellStyle name="Normal 2 6 3 2 4 2" xfId="4319"/>
    <cellStyle name="Normal 2 6 3 2 4 2 2" xfId="26439"/>
    <cellStyle name="Normal 2 6 3 2 4 2 2 2" xfId="26440"/>
    <cellStyle name="Normal 2 6 3 2 4 2 2 2 2" xfId="26441"/>
    <cellStyle name="Normal 2 6 3 2 4 2 2 3" xfId="26442"/>
    <cellStyle name="Normal 2 6 3 2 4 2 3" xfId="26443"/>
    <cellStyle name="Normal 2 6 3 2 4 2 3 2" xfId="26444"/>
    <cellStyle name="Normal 2 6 3 2 4 2 4" xfId="26445"/>
    <cellStyle name="Normal 2 6 3 2 4 3" xfId="26446"/>
    <cellStyle name="Normal 2 6 3 2 4 3 2" xfId="26447"/>
    <cellStyle name="Normal 2 6 3 2 4 3 2 2" xfId="26448"/>
    <cellStyle name="Normal 2 6 3 2 4 3 3" xfId="26449"/>
    <cellStyle name="Normal 2 6 3 2 4 4" xfId="26450"/>
    <cellStyle name="Normal 2 6 3 2 4 4 2" xfId="26451"/>
    <cellStyle name="Normal 2 6 3 2 4 5" xfId="26452"/>
    <cellStyle name="Normal 2 6 3 2 5" xfId="2959"/>
    <cellStyle name="Normal 2 6 3 2 5 2" xfId="26453"/>
    <cellStyle name="Normal 2 6 3 2 5 2 2" xfId="26454"/>
    <cellStyle name="Normal 2 6 3 2 5 2 2 2" xfId="26455"/>
    <cellStyle name="Normal 2 6 3 2 5 2 3" xfId="26456"/>
    <cellStyle name="Normal 2 6 3 2 5 3" xfId="26457"/>
    <cellStyle name="Normal 2 6 3 2 5 3 2" xfId="26458"/>
    <cellStyle name="Normal 2 6 3 2 5 4" xfId="26459"/>
    <cellStyle name="Normal 2 6 3 2 6" xfId="26460"/>
    <cellStyle name="Normal 2 6 3 2 6 2" xfId="26461"/>
    <cellStyle name="Normal 2 6 3 2 6 2 2" xfId="26462"/>
    <cellStyle name="Normal 2 6 3 2 6 3" xfId="26463"/>
    <cellStyle name="Normal 2 6 3 2 7" xfId="26464"/>
    <cellStyle name="Normal 2 6 3 2 7 2" xfId="26465"/>
    <cellStyle name="Normal 2 6 3 2 8" xfId="26466"/>
    <cellStyle name="Normal 2 6 3 3" xfId="375"/>
    <cellStyle name="Normal 2 6 3 3 2" xfId="1055"/>
    <cellStyle name="Normal 2 6 3 3 2 2" xfId="2415"/>
    <cellStyle name="Normal 2 6 3 3 2 2 2" xfId="5135"/>
    <cellStyle name="Normal 2 6 3 3 2 2 2 2" xfId="26467"/>
    <cellStyle name="Normal 2 6 3 3 2 2 2 2 2" xfId="26468"/>
    <cellStyle name="Normal 2 6 3 3 2 2 2 2 2 2" xfId="26469"/>
    <cellStyle name="Normal 2 6 3 3 2 2 2 2 3" xfId="26470"/>
    <cellStyle name="Normal 2 6 3 3 2 2 2 3" xfId="26471"/>
    <cellStyle name="Normal 2 6 3 3 2 2 2 3 2" xfId="26472"/>
    <cellStyle name="Normal 2 6 3 3 2 2 2 4" xfId="26473"/>
    <cellStyle name="Normal 2 6 3 3 2 2 3" xfId="26474"/>
    <cellStyle name="Normal 2 6 3 3 2 2 3 2" xfId="26475"/>
    <cellStyle name="Normal 2 6 3 3 2 2 3 2 2" xfId="26476"/>
    <cellStyle name="Normal 2 6 3 3 2 2 3 3" xfId="26477"/>
    <cellStyle name="Normal 2 6 3 3 2 2 4" xfId="26478"/>
    <cellStyle name="Normal 2 6 3 3 2 2 4 2" xfId="26479"/>
    <cellStyle name="Normal 2 6 3 3 2 2 5" xfId="26480"/>
    <cellStyle name="Normal 2 6 3 3 2 3" xfId="3775"/>
    <cellStyle name="Normal 2 6 3 3 2 3 2" xfId="26481"/>
    <cellStyle name="Normal 2 6 3 3 2 3 2 2" xfId="26482"/>
    <cellStyle name="Normal 2 6 3 3 2 3 2 2 2" xfId="26483"/>
    <cellStyle name="Normal 2 6 3 3 2 3 2 3" xfId="26484"/>
    <cellStyle name="Normal 2 6 3 3 2 3 3" xfId="26485"/>
    <cellStyle name="Normal 2 6 3 3 2 3 3 2" xfId="26486"/>
    <cellStyle name="Normal 2 6 3 3 2 3 4" xfId="26487"/>
    <cellStyle name="Normal 2 6 3 3 2 4" xfId="26488"/>
    <cellStyle name="Normal 2 6 3 3 2 4 2" xfId="26489"/>
    <cellStyle name="Normal 2 6 3 3 2 4 2 2" xfId="26490"/>
    <cellStyle name="Normal 2 6 3 3 2 4 3" xfId="26491"/>
    <cellStyle name="Normal 2 6 3 3 2 5" xfId="26492"/>
    <cellStyle name="Normal 2 6 3 3 2 5 2" xfId="26493"/>
    <cellStyle name="Normal 2 6 3 3 2 6" xfId="26494"/>
    <cellStyle name="Normal 2 6 3 3 3" xfId="1735"/>
    <cellStyle name="Normal 2 6 3 3 3 2" xfId="4455"/>
    <cellStyle name="Normal 2 6 3 3 3 2 2" xfId="26495"/>
    <cellStyle name="Normal 2 6 3 3 3 2 2 2" xfId="26496"/>
    <cellStyle name="Normal 2 6 3 3 3 2 2 2 2" xfId="26497"/>
    <cellStyle name="Normal 2 6 3 3 3 2 2 3" xfId="26498"/>
    <cellStyle name="Normal 2 6 3 3 3 2 3" xfId="26499"/>
    <cellStyle name="Normal 2 6 3 3 3 2 3 2" xfId="26500"/>
    <cellStyle name="Normal 2 6 3 3 3 2 4" xfId="26501"/>
    <cellStyle name="Normal 2 6 3 3 3 3" xfId="26502"/>
    <cellStyle name="Normal 2 6 3 3 3 3 2" xfId="26503"/>
    <cellStyle name="Normal 2 6 3 3 3 3 2 2" xfId="26504"/>
    <cellStyle name="Normal 2 6 3 3 3 3 3" xfId="26505"/>
    <cellStyle name="Normal 2 6 3 3 3 4" xfId="26506"/>
    <cellStyle name="Normal 2 6 3 3 3 4 2" xfId="26507"/>
    <cellStyle name="Normal 2 6 3 3 3 5" xfId="26508"/>
    <cellStyle name="Normal 2 6 3 3 4" xfId="3095"/>
    <cellStyle name="Normal 2 6 3 3 4 2" xfId="26509"/>
    <cellStyle name="Normal 2 6 3 3 4 2 2" xfId="26510"/>
    <cellStyle name="Normal 2 6 3 3 4 2 2 2" xfId="26511"/>
    <cellStyle name="Normal 2 6 3 3 4 2 3" xfId="26512"/>
    <cellStyle name="Normal 2 6 3 3 4 3" xfId="26513"/>
    <cellStyle name="Normal 2 6 3 3 4 3 2" xfId="26514"/>
    <cellStyle name="Normal 2 6 3 3 4 4" xfId="26515"/>
    <cellStyle name="Normal 2 6 3 3 5" xfId="26516"/>
    <cellStyle name="Normal 2 6 3 3 5 2" xfId="26517"/>
    <cellStyle name="Normal 2 6 3 3 5 2 2" xfId="26518"/>
    <cellStyle name="Normal 2 6 3 3 5 3" xfId="26519"/>
    <cellStyle name="Normal 2 6 3 3 6" xfId="26520"/>
    <cellStyle name="Normal 2 6 3 3 6 2" xfId="26521"/>
    <cellStyle name="Normal 2 6 3 3 7" xfId="26522"/>
    <cellStyle name="Normal 2 6 3 4" xfId="647"/>
    <cellStyle name="Normal 2 6 3 4 2" xfId="1327"/>
    <cellStyle name="Normal 2 6 3 4 2 2" xfId="2687"/>
    <cellStyle name="Normal 2 6 3 4 2 2 2" xfId="5407"/>
    <cellStyle name="Normal 2 6 3 4 2 2 2 2" xfId="26523"/>
    <cellStyle name="Normal 2 6 3 4 2 2 2 2 2" xfId="26524"/>
    <cellStyle name="Normal 2 6 3 4 2 2 2 2 2 2" xfId="26525"/>
    <cellStyle name="Normal 2 6 3 4 2 2 2 2 3" xfId="26526"/>
    <cellStyle name="Normal 2 6 3 4 2 2 2 3" xfId="26527"/>
    <cellStyle name="Normal 2 6 3 4 2 2 2 3 2" xfId="26528"/>
    <cellStyle name="Normal 2 6 3 4 2 2 2 4" xfId="26529"/>
    <cellStyle name="Normal 2 6 3 4 2 2 3" xfId="26530"/>
    <cellStyle name="Normal 2 6 3 4 2 2 3 2" xfId="26531"/>
    <cellStyle name="Normal 2 6 3 4 2 2 3 2 2" xfId="26532"/>
    <cellStyle name="Normal 2 6 3 4 2 2 3 3" xfId="26533"/>
    <cellStyle name="Normal 2 6 3 4 2 2 4" xfId="26534"/>
    <cellStyle name="Normal 2 6 3 4 2 2 4 2" xfId="26535"/>
    <cellStyle name="Normal 2 6 3 4 2 2 5" xfId="26536"/>
    <cellStyle name="Normal 2 6 3 4 2 3" xfId="4047"/>
    <cellStyle name="Normal 2 6 3 4 2 3 2" xfId="26537"/>
    <cellStyle name="Normal 2 6 3 4 2 3 2 2" xfId="26538"/>
    <cellStyle name="Normal 2 6 3 4 2 3 2 2 2" xfId="26539"/>
    <cellStyle name="Normal 2 6 3 4 2 3 2 3" xfId="26540"/>
    <cellStyle name="Normal 2 6 3 4 2 3 3" xfId="26541"/>
    <cellStyle name="Normal 2 6 3 4 2 3 3 2" xfId="26542"/>
    <cellStyle name="Normal 2 6 3 4 2 3 4" xfId="26543"/>
    <cellStyle name="Normal 2 6 3 4 2 4" xfId="26544"/>
    <cellStyle name="Normal 2 6 3 4 2 4 2" xfId="26545"/>
    <cellStyle name="Normal 2 6 3 4 2 4 2 2" xfId="26546"/>
    <cellStyle name="Normal 2 6 3 4 2 4 3" xfId="26547"/>
    <cellStyle name="Normal 2 6 3 4 2 5" xfId="26548"/>
    <cellStyle name="Normal 2 6 3 4 2 5 2" xfId="26549"/>
    <cellStyle name="Normal 2 6 3 4 2 6" xfId="26550"/>
    <cellStyle name="Normal 2 6 3 4 3" xfId="2007"/>
    <cellStyle name="Normal 2 6 3 4 3 2" xfId="4727"/>
    <cellStyle name="Normal 2 6 3 4 3 2 2" xfId="26551"/>
    <cellStyle name="Normal 2 6 3 4 3 2 2 2" xfId="26552"/>
    <cellStyle name="Normal 2 6 3 4 3 2 2 2 2" xfId="26553"/>
    <cellStyle name="Normal 2 6 3 4 3 2 2 3" xfId="26554"/>
    <cellStyle name="Normal 2 6 3 4 3 2 3" xfId="26555"/>
    <cellStyle name="Normal 2 6 3 4 3 2 3 2" xfId="26556"/>
    <cellStyle name="Normal 2 6 3 4 3 2 4" xfId="26557"/>
    <cellStyle name="Normal 2 6 3 4 3 3" xfId="26558"/>
    <cellStyle name="Normal 2 6 3 4 3 3 2" xfId="26559"/>
    <cellStyle name="Normal 2 6 3 4 3 3 2 2" xfId="26560"/>
    <cellStyle name="Normal 2 6 3 4 3 3 3" xfId="26561"/>
    <cellStyle name="Normal 2 6 3 4 3 4" xfId="26562"/>
    <cellStyle name="Normal 2 6 3 4 3 4 2" xfId="26563"/>
    <cellStyle name="Normal 2 6 3 4 3 5" xfId="26564"/>
    <cellStyle name="Normal 2 6 3 4 4" xfId="3367"/>
    <cellStyle name="Normal 2 6 3 4 4 2" xfId="26565"/>
    <cellStyle name="Normal 2 6 3 4 4 2 2" xfId="26566"/>
    <cellStyle name="Normal 2 6 3 4 4 2 2 2" xfId="26567"/>
    <cellStyle name="Normal 2 6 3 4 4 2 3" xfId="26568"/>
    <cellStyle name="Normal 2 6 3 4 4 3" xfId="26569"/>
    <cellStyle name="Normal 2 6 3 4 4 3 2" xfId="26570"/>
    <cellStyle name="Normal 2 6 3 4 4 4" xfId="26571"/>
    <cellStyle name="Normal 2 6 3 4 5" xfId="26572"/>
    <cellStyle name="Normal 2 6 3 4 5 2" xfId="26573"/>
    <cellStyle name="Normal 2 6 3 4 5 2 2" xfId="26574"/>
    <cellStyle name="Normal 2 6 3 4 5 3" xfId="26575"/>
    <cellStyle name="Normal 2 6 3 4 6" xfId="26576"/>
    <cellStyle name="Normal 2 6 3 4 6 2" xfId="26577"/>
    <cellStyle name="Normal 2 6 3 4 7" xfId="26578"/>
    <cellStyle name="Normal 2 6 3 5" xfId="783"/>
    <cellStyle name="Normal 2 6 3 5 2" xfId="2143"/>
    <cellStyle name="Normal 2 6 3 5 2 2" xfId="4863"/>
    <cellStyle name="Normal 2 6 3 5 2 2 2" xfId="26579"/>
    <cellStyle name="Normal 2 6 3 5 2 2 2 2" xfId="26580"/>
    <cellStyle name="Normal 2 6 3 5 2 2 2 2 2" xfId="26581"/>
    <cellStyle name="Normal 2 6 3 5 2 2 2 3" xfId="26582"/>
    <cellStyle name="Normal 2 6 3 5 2 2 3" xfId="26583"/>
    <cellStyle name="Normal 2 6 3 5 2 2 3 2" xfId="26584"/>
    <cellStyle name="Normal 2 6 3 5 2 2 4" xfId="26585"/>
    <cellStyle name="Normal 2 6 3 5 2 3" xfId="26586"/>
    <cellStyle name="Normal 2 6 3 5 2 3 2" xfId="26587"/>
    <cellStyle name="Normal 2 6 3 5 2 3 2 2" xfId="26588"/>
    <cellStyle name="Normal 2 6 3 5 2 3 3" xfId="26589"/>
    <cellStyle name="Normal 2 6 3 5 2 4" xfId="26590"/>
    <cellStyle name="Normal 2 6 3 5 2 4 2" xfId="26591"/>
    <cellStyle name="Normal 2 6 3 5 2 5" xfId="26592"/>
    <cellStyle name="Normal 2 6 3 5 3" xfId="3503"/>
    <cellStyle name="Normal 2 6 3 5 3 2" xfId="26593"/>
    <cellStyle name="Normal 2 6 3 5 3 2 2" xfId="26594"/>
    <cellStyle name="Normal 2 6 3 5 3 2 2 2" xfId="26595"/>
    <cellStyle name="Normal 2 6 3 5 3 2 3" xfId="26596"/>
    <cellStyle name="Normal 2 6 3 5 3 3" xfId="26597"/>
    <cellStyle name="Normal 2 6 3 5 3 3 2" xfId="26598"/>
    <cellStyle name="Normal 2 6 3 5 3 4" xfId="26599"/>
    <cellStyle name="Normal 2 6 3 5 4" xfId="26600"/>
    <cellStyle name="Normal 2 6 3 5 4 2" xfId="26601"/>
    <cellStyle name="Normal 2 6 3 5 4 2 2" xfId="26602"/>
    <cellStyle name="Normal 2 6 3 5 4 3" xfId="26603"/>
    <cellStyle name="Normal 2 6 3 5 5" xfId="26604"/>
    <cellStyle name="Normal 2 6 3 5 5 2" xfId="26605"/>
    <cellStyle name="Normal 2 6 3 5 6" xfId="26606"/>
    <cellStyle name="Normal 2 6 3 6" xfId="1463"/>
    <cellStyle name="Normal 2 6 3 6 2" xfId="4183"/>
    <cellStyle name="Normal 2 6 3 6 2 2" xfId="26607"/>
    <cellStyle name="Normal 2 6 3 6 2 2 2" xfId="26608"/>
    <cellStyle name="Normal 2 6 3 6 2 2 2 2" xfId="26609"/>
    <cellStyle name="Normal 2 6 3 6 2 2 3" xfId="26610"/>
    <cellStyle name="Normal 2 6 3 6 2 3" xfId="26611"/>
    <cellStyle name="Normal 2 6 3 6 2 3 2" xfId="26612"/>
    <cellStyle name="Normal 2 6 3 6 2 4" xfId="26613"/>
    <cellStyle name="Normal 2 6 3 6 3" xfId="26614"/>
    <cellStyle name="Normal 2 6 3 6 3 2" xfId="26615"/>
    <cellStyle name="Normal 2 6 3 6 3 2 2" xfId="26616"/>
    <cellStyle name="Normal 2 6 3 6 3 3" xfId="26617"/>
    <cellStyle name="Normal 2 6 3 6 4" xfId="26618"/>
    <cellStyle name="Normal 2 6 3 6 4 2" xfId="26619"/>
    <cellStyle name="Normal 2 6 3 6 5" xfId="26620"/>
    <cellStyle name="Normal 2 6 3 7" xfId="2823"/>
    <cellStyle name="Normal 2 6 3 7 2" xfId="26621"/>
    <cellStyle name="Normal 2 6 3 7 2 2" xfId="26622"/>
    <cellStyle name="Normal 2 6 3 7 2 2 2" xfId="26623"/>
    <cellStyle name="Normal 2 6 3 7 2 3" xfId="26624"/>
    <cellStyle name="Normal 2 6 3 7 3" xfId="26625"/>
    <cellStyle name="Normal 2 6 3 7 3 2" xfId="26626"/>
    <cellStyle name="Normal 2 6 3 7 4" xfId="26627"/>
    <cellStyle name="Normal 2 6 3 8" xfId="26628"/>
    <cellStyle name="Normal 2 6 3 8 2" xfId="26629"/>
    <cellStyle name="Normal 2 6 3 8 2 2" xfId="26630"/>
    <cellStyle name="Normal 2 6 3 8 3" xfId="26631"/>
    <cellStyle name="Normal 2 6 3 9" xfId="26632"/>
    <cellStyle name="Normal 2 6 3 9 2" xfId="26633"/>
    <cellStyle name="Normal 2 6 4" xfId="171"/>
    <cellStyle name="Normal 2 6 4 2" xfId="443"/>
    <cellStyle name="Normal 2 6 4 2 2" xfId="1123"/>
    <cellStyle name="Normal 2 6 4 2 2 2" xfId="2483"/>
    <cellStyle name="Normal 2 6 4 2 2 2 2" xfId="5203"/>
    <cellStyle name="Normal 2 6 4 2 2 2 2 2" xfId="26634"/>
    <cellStyle name="Normal 2 6 4 2 2 2 2 2 2" xfId="26635"/>
    <cellStyle name="Normal 2 6 4 2 2 2 2 2 2 2" xfId="26636"/>
    <cellStyle name="Normal 2 6 4 2 2 2 2 2 3" xfId="26637"/>
    <cellStyle name="Normal 2 6 4 2 2 2 2 3" xfId="26638"/>
    <cellStyle name="Normal 2 6 4 2 2 2 2 3 2" xfId="26639"/>
    <cellStyle name="Normal 2 6 4 2 2 2 2 4" xfId="26640"/>
    <cellStyle name="Normal 2 6 4 2 2 2 3" xfId="26641"/>
    <cellStyle name="Normal 2 6 4 2 2 2 3 2" xfId="26642"/>
    <cellStyle name="Normal 2 6 4 2 2 2 3 2 2" xfId="26643"/>
    <cellStyle name="Normal 2 6 4 2 2 2 3 3" xfId="26644"/>
    <cellStyle name="Normal 2 6 4 2 2 2 4" xfId="26645"/>
    <cellStyle name="Normal 2 6 4 2 2 2 4 2" xfId="26646"/>
    <cellStyle name="Normal 2 6 4 2 2 2 5" xfId="26647"/>
    <cellStyle name="Normal 2 6 4 2 2 3" xfId="3843"/>
    <cellStyle name="Normal 2 6 4 2 2 3 2" xfId="26648"/>
    <cellStyle name="Normal 2 6 4 2 2 3 2 2" xfId="26649"/>
    <cellStyle name="Normal 2 6 4 2 2 3 2 2 2" xfId="26650"/>
    <cellStyle name="Normal 2 6 4 2 2 3 2 3" xfId="26651"/>
    <cellStyle name="Normal 2 6 4 2 2 3 3" xfId="26652"/>
    <cellStyle name="Normal 2 6 4 2 2 3 3 2" xfId="26653"/>
    <cellStyle name="Normal 2 6 4 2 2 3 4" xfId="26654"/>
    <cellStyle name="Normal 2 6 4 2 2 4" xfId="26655"/>
    <cellStyle name="Normal 2 6 4 2 2 4 2" xfId="26656"/>
    <cellStyle name="Normal 2 6 4 2 2 4 2 2" xfId="26657"/>
    <cellStyle name="Normal 2 6 4 2 2 4 3" xfId="26658"/>
    <cellStyle name="Normal 2 6 4 2 2 5" xfId="26659"/>
    <cellStyle name="Normal 2 6 4 2 2 5 2" xfId="26660"/>
    <cellStyle name="Normal 2 6 4 2 2 6" xfId="26661"/>
    <cellStyle name="Normal 2 6 4 2 3" xfId="1803"/>
    <cellStyle name="Normal 2 6 4 2 3 2" xfId="4523"/>
    <cellStyle name="Normal 2 6 4 2 3 2 2" xfId="26662"/>
    <cellStyle name="Normal 2 6 4 2 3 2 2 2" xfId="26663"/>
    <cellStyle name="Normal 2 6 4 2 3 2 2 2 2" xfId="26664"/>
    <cellStyle name="Normal 2 6 4 2 3 2 2 3" xfId="26665"/>
    <cellStyle name="Normal 2 6 4 2 3 2 3" xfId="26666"/>
    <cellStyle name="Normal 2 6 4 2 3 2 3 2" xfId="26667"/>
    <cellStyle name="Normal 2 6 4 2 3 2 4" xfId="26668"/>
    <cellStyle name="Normal 2 6 4 2 3 3" xfId="26669"/>
    <cellStyle name="Normal 2 6 4 2 3 3 2" xfId="26670"/>
    <cellStyle name="Normal 2 6 4 2 3 3 2 2" xfId="26671"/>
    <cellStyle name="Normal 2 6 4 2 3 3 3" xfId="26672"/>
    <cellStyle name="Normal 2 6 4 2 3 4" xfId="26673"/>
    <cellStyle name="Normal 2 6 4 2 3 4 2" xfId="26674"/>
    <cellStyle name="Normal 2 6 4 2 3 5" xfId="26675"/>
    <cellStyle name="Normal 2 6 4 2 4" xfId="3163"/>
    <cellStyle name="Normal 2 6 4 2 4 2" xfId="26676"/>
    <cellStyle name="Normal 2 6 4 2 4 2 2" xfId="26677"/>
    <cellStyle name="Normal 2 6 4 2 4 2 2 2" xfId="26678"/>
    <cellStyle name="Normal 2 6 4 2 4 2 3" xfId="26679"/>
    <cellStyle name="Normal 2 6 4 2 4 3" xfId="26680"/>
    <cellStyle name="Normal 2 6 4 2 4 3 2" xfId="26681"/>
    <cellStyle name="Normal 2 6 4 2 4 4" xfId="26682"/>
    <cellStyle name="Normal 2 6 4 2 5" xfId="26683"/>
    <cellStyle name="Normal 2 6 4 2 5 2" xfId="26684"/>
    <cellStyle name="Normal 2 6 4 2 5 2 2" xfId="26685"/>
    <cellStyle name="Normal 2 6 4 2 5 3" xfId="26686"/>
    <cellStyle name="Normal 2 6 4 2 6" xfId="26687"/>
    <cellStyle name="Normal 2 6 4 2 6 2" xfId="26688"/>
    <cellStyle name="Normal 2 6 4 2 7" xfId="26689"/>
    <cellStyle name="Normal 2 6 4 3" xfId="851"/>
    <cellStyle name="Normal 2 6 4 3 2" xfId="2211"/>
    <cellStyle name="Normal 2 6 4 3 2 2" xfId="4931"/>
    <cellStyle name="Normal 2 6 4 3 2 2 2" xfId="26690"/>
    <cellStyle name="Normal 2 6 4 3 2 2 2 2" xfId="26691"/>
    <cellStyle name="Normal 2 6 4 3 2 2 2 2 2" xfId="26692"/>
    <cellStyle name="Normal 2 6 4 3 2 2 2 3" xfId="26693"/>
    <cellStyle name="Normal 2 6 4 3 2 2 3" xfId="26694"/>
    <cellStyle name="Normal 2 6 4 3 2 2 3 2" xfId="26695"/>
    <cellStyle name="Normal 2 6 4 3 2 2 4" xfId="26696"/>
    <cellStyle name="Normal 2 6 4 3 2 3" xfId="26697"/>
    <cellStyle name="Normal 2 6 4 3 2 3 2" xfId="26698"/>
    <cellStyle name="Normal 2 6 4 3 2 3 2 2" xfId="26699"/>
    <cellStyle name="Normal 2 6 4 3 2 3 3" xfId="26700"/>
    <cellStyle name="Normal 2 6 4 3 2 4" xfId="26701"/>
    <cellStyle name="Normal 2 6 4 3 2 4 2" xfId="26702"/>
    <cellStyle name="Normal 2 6 4 3 2 5" xfId="26703"/>
    <cellStyle name="Normal 2 6 4 3 3" xfId="3571"/>
    <cellStyle name="Normal 2 6 4 3 3 2" xfId="26704"/>
    <cellStyle name="Normal 2 6 4 3 3 2 2" xfId="26705"/>
    <cellStyle name="Normal 2 6 4 3 3 2 2 2" xfId="26706"/>
    <cellStyle name="Normal 2 6 4 3 3 2 3" xfId="26707"/>
    <cellStyle name="Normal 2 6 4 3 3 3" xfId="26708"/>
    <cellStyle name="Normal 2 6 4 3 3 3 2" xfId="26709"/>
    <cellStyle name="Normal 2 6 4 3 3 4" xfId="26710"/>
    <cellStyle name="Normal 2 6 4 3 4" xfId="26711"/>
    <cellStyle name="Normal 2 6 4 3 4 2" xfId="26712"/>
    <cellStyle name="Normal 2 6 4 3 4 2 2" xfId="26713"/>
    <cellStyle name="Normal 2 6 4 3 4 3" xfId="26714"/>
    <cellStyle name="Normal 2 6 4 3 5" xfId="26715"/>
    <cellStyle name="Normal 2 6 4 3 5 2" xfId="26716"/>
    <cellStyle name="Normal 2 6 4 3 6" xfId="26717"/>
    <cellStyle name="Normal 2 6 4 4" xfId="1531"/>
    <cellStyle name="Normal 2 6 4 4 2" xfId="4251"/>
    <cellStyle name="Normal 2 6 4 4 2 2" xfId="26718"/>
    <cellStyle name="Normal 2 6 4 4 2 2 2" xfId="26719"/>
    <cellStyle name="Normal 2 6 4 4 2 2 2 2" xfId="26720"/>
    <cellStyle name="Normal 2 6 4 4 2 2 3" xfId="26721"/>
    <cellStyle name="Normal 2 6 4 4 2 3" xfId="26722"/>
    <cellStyle name="Normal 2 6 4 4 2 3 2" xfId="26723"/>
    <cellStyle name="Normal 2 6 4 4 2 4" xfId="26724"/>
    <cellStyle name="Normal 2 6 4 4 3" xfId="26725"/>
    <cellStyle name="Normal 2 6 4 4 3 2" xfId="26726"/>
    <cellStyle name="Normal 2 6 4 4 3 2 2" xfId="26727"/>
    <cellStyle name="Normal 2 6 4 4 3 3" xfId="26728"/>
    <cellStyle name="Normal 2 6 4 4 4" xfId="26729"/>
    <cellStyle name="Normal 2 6 4 4 4 2" xfId="26730"/>
    <cellStyle name="Normal 2 6 4 4 5" xfId="26731"/>
    <cellStyle name="Normal 2 6 4 5" xfId="2891"/>
    <cellStyle name="Normal 2 6 4 5 2" xfId="26732"/>
    <cellStyle name="Normal 2 6 4 5 2 2" xfId="26733"/>
    <cellStyle name="Normal 2 6 4 5 2 2 2" xfId="26734"/>
    <cellStyle name="Normal 2 6 4 5 2 3" xfId="26735"/>
    <cellStyle name="Normal 2 6 4 5 3" xfId="26736"/>
    <cellStyle name="Normal 2 6 4 5 3 2" xfId="26737"/>
    <cellStyle name="Normal 2 6 4 5 4" xfId="26738"/>
    <cellStyle name="Normal 2 6 4 6" xfId="26739"/>
    <cellStyle name="Normal 2 6 4 6 2" xfId="26740"/>
    <cellStyle name="Normal 2 6 4 6 2 2" xfId="26741"/>
    <cellStyle name="Normal 2 6 4 6 3" xfId="26742"/>
    <cellStyle name="Normal 2 6 4 7" xfId="26743"/>
    <cellStyle name="Normal 2 6 4 7 2" xfId="26744"/>
    <cellStyle name="Normal 2 6 4 8" xfId="26745"/>
    <cellStyle name="Normal 2 6 5" xfId="307"/>
    <cellStyle name="Normal 2 6 5 2" xfId="987"/>
    <cellStyle name="Normal 2 6 5 2 2" xfId="2347"/>
    <cellStyle name="Normal 2 6 5 2 2 2" xfId="5067"/>
    <cellStyle name="Normal 2 6 5 2 2 2 2" xfId="26746"/>
    <cellStyle name="Normal 2 6 5 2 2 2 2 2" xfId="26747"/>
    <cellStyle name="Normal 2 6 5 2 2 2 2 2 2" xfId="26748"/>
    <cellStyle name="Normal 2 6 5 2 2 2 2 3" xfId="26749"/>
    <cellStyle name="Normal 2 6 5 2 2 2 3" xfId="26750"/>
    <cellStyle name="Normal 2 6 5 2 2 2 3 2" xfId="26751"/>
    <cellStyle name="Normal 2 6 5 2 2 2 4" xfId="26752"/>
    <cellStyle name="Normal 2 6 5 2 2 3" xfId="26753"/>
    <cellStyle name="Normal 2 6 5 2 2 3 2" xfId="26754"/>
    <cellStyle name="Normal 2 6 5 2 2 3 2 2" xfId="26755"/>
    <cellStyle name="Normal 2 6 5 2 2 3 3" xfId="26756"/>
    <cellStyle name="Normal 2 6 5 2 2 4" xfId="26757"/>
    <cellStyle name="Normal 2 6 5 2 2 4 2" xfId="26758"/>
    <cellStyle name="Normal 2 6 5 2 2 5" xfId="26759"/>
    <cellStyle name="Normal 2 6 5 2 3" xfId="3707"/>
    <cellStyle name="Normal 2 6 5 2 3 2" xfId="26760"/>
    <cellStyle name="Normal 2 6 5 2 3 2 2" xfId="26761"/>
    <cellStyle name="Normal 2 6 5 2 3 2 2 2" xfId="26762"/>
    <cellStyle name="Normal 2 6 5 2 3 2 3" xfId="26763"/>
    <cellStyle name="Normal 2 6 5 2 3 3" xfId="26764"/>
    <cellStyle name="Normal 2 6 5 2 3 3 2" xfId="26765"/>
    <cellStyle name="Normal 2 6 5 2 3 4" xfId="26766"/>
    <cellStyle name="Normal 2 6 5 2 4" xfId="26767"/>
    <cellStyle name="Normal 2 6 5 2 4 2" xfId="26768"/>
    <cellStyle name="Normal 2 6 5 2 4 2 2" xfId="26769"/>
    <cellStyle name="Normal 2 6 5 2 4 3" xfId="26770"/>
    <cellStyle name="Normal 2 6 5 2 5" xfId="26771"/>
    <cellStyle name="Normal 2 6 5 2 5 2" xfId="26772"/>
    <cellStyle name="Normal 2 6 5 2 6" xfId="26773"/>
    <cellStyle name="Normal 2 6 5 3" xfId="1667"/>
    <cellStyle name="Normal 2 6 5 3 2" xfId="4387"/>
    <cellStyle name="Normal 2 6 5 3 2 2" xfId="26774"/>
    <cellStyle name="Normal 2 6 5 3 2 2 2" xfId="26775"/>
    <cellStyle name="Normal 2 6 5 3 2 2 2 2" xfId="26776"/>
    <cellStyle name="Normal 2 6 5 3 2 2 3" xfId="26777"/>
    <cellStyle name="Normal 2 6 5 3 2 3" xfId="26778"/>
    <cellStyle name="Normal 2 6 5 3 2 3 2" xfId="26779"/>
    <cellStyle name="Normal 2 6 5 3 2 4" xfId="26780"/>
    <cellStyle name="Normal 2 6 5 3 3" xfId="26781"/>
    <cellStyle name="Normal 2 6 5 3 3 2" xfId="26782"/>
    <cellStyle name="Normal 2 6 5 3 3 2 2" xfId="26783"/>
    <cellStyle name="Normal 2 6 5 3 3 3" xfId="26784"/>
    <cellStyle name="Normal 2 6 5 3 4" xfId="26785"/>
    <cellStyle name="Normal 2 6 5 3 4 2" xfId="26786"/>
    <cellStyle name="Normal 2 6 5 3 5" xfId="26787"/>
    <cellStyle name="Normal 2 6 5 4" xfId="3027"/>
    <cellStyle name="Normal 2 6 5 4 2" xfId="26788"/>
    <cellStyle name="Normal 2 6 5 4 2 2" xfId="26789"/>
    <cellStyle name="Normal 2 6 5 4 2 2 2" xfId="26790"/>
    <cellStyle name="Normal 2 6 5 4 2 3" xfId="26791"/>
    <cellStyle name="Normal 2 6 5 4 3" xfId="26792"/>
    <cellStyle name="Normal 2 6 5 4 3 2" xfId="26793"/>
    <cellStyle name="Normal 2 6 5 4 4" xfId="26794"/>
    <cellStyle name="Normal 2 6 5 5" xfId="26795"/>
    <cellStyle name="Normal 2 6 5 5 2" xfId="26796"/>
    <cellStyle name="Normal 2 6 5 5 2 2" xfId="26797"/>
    <cellStyle name="Normal 2 6 5 5 3" xfId="26798"/>
    <cellStyle name="Normal 2 6 5 6" xfId="26799"/>
    <cellStyle name="Normal 2 6 5 6 2" xfId="26800"/>
    <cellStyle name="Normal 2 6 5 7" xfId="26801"/>
    <cellStyle name="Normal 2 6 6" xfId="579"/>
    <cellStyle name="Normal 2 6 6 2" xfId="1259"/>
    <cellStyle name="Normal 2 6 6 2 2" xfId="2619"/>
    <cellStyle name="Normal 2 6 6 2 2 2" xfId="5339"/>
    <cellStyle name="Normal 2 6 6 2 2 2 2" xfId="26802"/>
    <cellStyle name="Normal 2 6 6 2 2 2 2 2" xfId="26803"/>
    <cellStyle name="Normal 2 6 6 2 2 2 2 2 2" xfId="26804"/>
    <cellStyle name="Normal 2 6 6 2 2 2 2 3" xfId="26805"/>
    <cellStyle name="Normal 2 6 6 2 2 2 3" xfId="26806"/>
    <cellStyle name="Normal 2 6 6 2 2 2 3 2" xfId="26807"/>
    <cellStyle name="Normal 2 6 6 2 2 2 4" xfId="26808"/>
    <cellStyle name="Normal 2 6 6 2 2 3" xfId="26809"/>
    <cellStyle name="Normal 2 6 6 2 2 3 2" xfId="26810"/>
    <cellStyle name="Normal 2 6 6 2 2 3 2 2" xfId="26811"/>
    <cellStyle name="Normal 2 6 6 2 2 3 3" xfId="26812"/>
    <cellStyle name="Normal 2 6 6 2 2 4" xfId="26813"/>
    <cellStyle name="Normal 2 6 6 2 2 4 2" xfId="26814"/>
    <cellStyle name="Normal 2 6 6 2 2 5" xfId="26815"/>
    <cellStyle name="Normal 2 6 6 2 3" xfId="3979"/>
    <cellStyle name="Normal 2 6 6 2 3 2" xfId="26816"/>
    <cellStyle name="Normal 2 6 6 2 3 2 2" xfId="26817"/>
    <cellStyle name="Normal 2 6 6 2 3 2 2 2" xfId="26818"/>
    <cellStyle name="Normal 2 6 6 2 3 2 3" xfId="26819"/>
    <cellStyle name="Normal 2 6 6 2 3 3" xfId="26820"/>
    <cellStyle name="Normal 2 6 6 2 3 3 2" xfId="26821"/>
    <cellStyle name="Normal 2 6 6 2 3 4" xfId="26822"/>
    <cellStyle name="Normal 2 6 6 2 4" xfId="26823"/>
    <cellStyle name="Normal 2 6 6 2 4 2" xfId="26824"/>
    <cellStyle name="Normal 2 6 6 2 4 2 2" xfId="26825"/>
    <cellStyle name="Normal 2 6 6 2 4 3" xfId="26826"/>
    <cellStyle name="Normal 2 6 6 2 5" xfId="26827"/>
    <cellStyle name="Normal 2 6 6 2 5 2" xfId="26828"/>
    <cellStyle name="Normal 2 6 6 2 6" xfId="26829"/>
    <cellStyle name="Normal 2 6 6 3" xfId="1939"/>
    <cellStyle name="Normal 2 6 6 3 2" xfId="4659"/>
    <cellStyle name="Normal 2 6 6 3 2 2" xfId="26830"/>
    <cellStyle name="Normal 2 6 6 3 2 2 2" xfId="26831"/>
    <cellStyle name="Normal 2 6 6 3 2 2 2 2" xfId="26832"/>
    <cellStyle name="Normal 2 6 6 3 2 2 3" xfId="26833"/>
    <cellStyle name="Normal 2 6 6 3 2 3" xfId="26834"/>
    <cellStyle name="Normal 2 6 6 3 2 3 2" xfId="26835"/>
    <cellStyle name="Normal 2 6 6 3 2 4" xfId="26836"/>
    <cellStyle name="Normal 2 6 6 3 3" xfId="26837"/>
    <cellStyle name="Normal 2 6 6 3 3 2" xfId="26838"/>
    <cellStyle name="Normal 2 6 6 3 3 2 2" xfId="26839"/>
    <cellStyle name="Normal 2 6 6 3 3 3" xfId="26840"/>
    <cellStyle name="Normal 2 6 6 3 4" xfId="26841"/>
    <cellStyle name="Normal 2 6 6 3 4 2" xfId="26842"/>
    <cellStyle name="Normal 2 6 6 3 5" xfId="26843"/>
    <cellStyle name="Normal 2 6 6 4" xfId="3299"/>
    <cellStyle name="Normal 2 6 6 4 2" xfId="26844"/>
    <cellStyle name="Normal 2 6 6 4 2 2" xfId="26845"/>
    <cellStyle name="Normal 2 6 6 4 2 2 2" xfId="26846"/>
    <cellStyle name="Normal 2 6 6 4 2 3" xfId="26847"/>
    <cellStyle name="Normal 2 6 6 4 3" xfId="26848"/>
    <cellStyle name="Normal 2 6 6 4 3 2" xfId="26849"/>
    <cellStyle name="Normal 2 6 6 4 4" xfId="26850"/>
    <cellStyle name="Normal 2 6 6 5" xfId="26851"/>
    <cellStyle name="Normal 2 6 6 5 2" xfId="26852"/>
    <cellStyle name="Normal 2 6 6 5 2 2" xfId="26853"/>
    <cellStyle name="Normal 2 6 6 5 3" xfId="26854"/>
    <cellStyle name="Normal 2 6 6 6" xfId="26855"/>
    <cellStyle name="Normal 2 6 6 6 2" xfId="26856"/>
    <cellStyle name="Normal 2 6 6 7" xfId="26857"/>
    <cellStyle name="Normal 2 6 7" xfId="715"/>
    <cellStyle name="Normal 2 6 7 2" xfId="2075"/>
    <cellStyle name="Normal 2 6 7 2 2" xfId="4795"/>
    <cellStyle name="Normal 2 6 7 2 2 2" xfId="26858"/>
    <cellStyle name="Normal 2 6 7 2 2 2 2" xfId="26859"/>
    <cellStyle name="Normal 2 6 7 2 2 2 2 2" xfId="26860"/>
    <cellStyle name="Normal 2 6 7 2 2 2 3" xfId="26861"/>
    <cellStyle name="Normal 2 6 7 2 2 3" xfId="26862"/>
    <cellStyle name="Normal 2 6 7 2 2 3 2" xfId="26863"/>
    <cellStyle name="Normal 2 6 7 2 2 4" xfId="26864"/>
    <cellStyle name="Normal 2 6 7 2 3" xfId="26865"/>
    <cellStyle name="Normal 2 6 7 2 3 2" xfId="26866"/>
    <cellStyle name="Normal 2 6 7 2 3 2 2" xfId="26867"/>
    <cellStyle name="Normal 2 6 7 2 3 3" xfId="26868"/>
    <cellStyle name="Normal 2 6 7 2 4" xfId="26869"/>
    <cellStyle name="Normal 2 6 7 2 4 2" xfId="26870"/>
    <cellStyle name="Normal 2 6 7 2 5" xfId="26871"/>
    <cellStyle name="Normal 2 6 7 3" xfId="3435"/>
    <cellStyle name="Normal 2 6 7 3 2" xfId="26872"/>
    <cellStyle name="Normal 2 6 7 3 2 2" xfId="26873"/>
    <cellStyle name="Normal 2 6 7 3 2 2 2" xfId="26874"/>
    <cellStyle name="Normal 2 6 7 3 2 3" xfId="26875"/>
    <cellStyle name="Normal 2 6 7 3 3" xfId="26876"/>
    <cellStyle name="Normal 2 6 7 3 3 2" xfId="26877"/>
    <cellStyle name="Normal 2 6 7 3 4" xfId="26878"/>
    <cellStyle name="Normal 2 6 7 4" xfId="26879"/>
    <cellStyle name="Normal 2 6 7 4 2" xfId="26880"/>
    <cellStyle name="Normal 2 6 7 4 2 2" xfId="26881"/>
    <cellStyle name="Normal 2 6 7 4 3" xfId="26882"/>
    <cellStyle name="Normal 2 6 7 5" xfId="26883"/>
    <cellStyle name="Normal 2 6 7 5 2" xfId="26884"/>
    <cellStyle name="Normal 2 6 7 6" xfId="26885"/>
    <cellStyle name="Normal 2 6 8" xfId="1395"/>
    <cellStyle name="Normal 2 6 8 2" xfId="4115"/>
    <cellStyle name="Normal 2 6 8 2 2" xfId="26886"/>
    <cellStyle name="Normal 2 6 8 2 2 2" xfId="26887"/>
    <cellStyle name="Normal 2 6 8 2 2 2 2" xfId="26888"/>
    <cellStyle name="Normal 2 6 8 2 2 3" xfId="26889"/>
    <cellStyle name="Normal 2 6 8 2 3" xfId="26890"/>
    <cellStyle name="Normal 2 6 8 2 3 2" xfId="26891"/>
    <cellStyle name="Normal 2 6 8 2 4" xfId="26892"/>
    <cellStyle name="Normal 2 6 8 3" xfId="26893"/>
    <cellStyle name="Normal 2 6 8 3 2" xfId="26894"/>
    <cellStyle name="Normal 2 6 8 3 2 2" xfId="26895"/>
    <cellStyle name="Normal 2 6 8 3 3" xfId="26896"/>
    <cellStyle name="Normal 2 6 8 4" xfId="26897"/>
    <cellStyle name="Normal 2 6 8 4 2" xfId="26898"/>
    <cellStyle name="Normal 2 6 8 5" xfId="26899"/>
    <cellStyle name="Normal 2 6 9" xfId="2755"/>
    <cellStyle name="Normal 2 6 9 2" xfId="26900"/>
    <cellStyle name="Normal 2 6 9 2 2" xfId="26901"/>
    <cellStyle name="Normal 2 6 9 2 2 2" xfId="26902"/>
    <cellStyle name="Normal 2 6 9 2 3" xfId="26903"/>
    <cellStyle name="Normal 2 6 9 3" xfId="26904"/>
    <cellStyle name="Normal 2 6 9 3 2" xfId="26905"/>
    <cellStyle name="Normal 2 6 9 4" xfId="26906"/>
    <cellStyle name="Normal 2 7" xfId="51"/>
    <cellStyle name="Normal 2 7 10" xfId="26907"/>
    <cellStyle name="Normal 2 7 10 2" xfId="26908"/>
    <cellStyle name="Normal 2 7 11" xfId="26909"/>
    <cellStyle name="Normal 2 7 2" xfId="119"/>
    <cellStyle name="Normal 2 7 2 10" xfId="26910"/>
    <cellStyle name="Normal 2 7 2 2" xfId="256"/>
    <cellStyle name="Normal 2 7 2 2 2" xfId="528"/>
    <cellStyle name="Normal 2 7 2 2 2 2" xfId="1208"/>
    <cellStyle name="Normal 2 7 2 2 2 2 2" xfId="2568"/>
    <cellStyle name="Normal 2 7 2 2 2 2 2 2" xfId="5288"/>
    <cellStyle name="Normal 2 7 2 2 2 2 2 2 2" xfId="26911"/>
    <cellStyle name="Normal 2 7 2 2 2 2 2 2 2 2" xfId="26912"/>
    <cellStyle name="Normal 2 7 2 2 2 2 2 2 2 2 2" xfId="26913"/>
    <cellStyle name="Normal 2 7 2 2 2 2 2 2 2 3" xfId="26914"/>
    <cellStyle name="Normal 2 7 2 2 2 2 2 2 3" xfId="26915"/>
    <cellStyle name="Normal 2 7 2 2 2 2 2 2 3 2" xfId="26916"/>
    <cellStyle name="Normal 2 7 2 2 2 2 2 2 4" xfId="26917"/>
    <cellStyle name="Normal 2 7 2 2 2 2 2 3" xfId="26918"/>
    <cellStyle name="Normal 2 7 2 2 2 2 2 3 2" xfId="26919"/>
    <cellStyle name="Normal 2 7 2 2 2 2 2 3 2 2" xfId="26920"/>
    <cellStyle name="Normal 2 7 2 2 2 2 2 3 3" xfId="26921"/>
    <cellStyle name="Normal 2 7 2 2 2 2 2 4" xfId="26922"/>
    <cellStyle name="Normal 2 7 2 2 2 2 2 4 2" xfId="26923"/>
    <cellStyle name="Normal 2 7 2 2 2 2 2 5" xfId="26924"/>
    <cellStyle name="Normal 2 7 2 2 2 2 3" xfId="3928"/>
    <cellStyle name="Normal 2 7 2 2 2 2 3 2" xfId="26925"/>
    <cellStyle name="Normal 2 7 2 2 2 2 3 2 2" xfId="26926"/>
    <cellStyle name="Normal 2 7 2 2 2 2 3 2 2 2" xfId="26927"/>
    <cellStyle name="Normal 2 7 2 2 2 2 3 2 3" xfId="26928"/>
    <cellStyle name="Normal 2 7 2 2 2 2 3 3" xfId="26929"/>
    <cellStyle name="Normal 2 7 2 2 2 2 3 3 2" xfId="26930"/>
    <cellStyle name="Normal 2 7 2 2 2 2 3 4" xfId="26931"/>
    <cellStyle name="Normal 2 7 2 2 2 2 4" xfId="26932"/>
    <cellStyle name="Normal 2 7 2 2 2 2 4 2" xfId="26933"/>
    <cellStyle name="Normal 2 7 2 2 2 2 4 2 2" xfId="26934"/>
    <cellStyle name="Normal 2 7 2 2 2 2 4 3" xfId="26935"/>
    <cellStyle name="Normal 2 7 2 2 2 2 5" xfId="26936"/>
    <cellStyle name="Normal 2 7 2 2 2 2 5 2" xfId="26937"/>
    <cellStyle name="Normal 2 7 2 2 2 2 6" xfId="26938"/>
    <cellStyle name="Normal 2 7 2 2 2 3" xfId="1888"/>
    <cellStyle name="Normal 2 7 2 2 2 3 2" xfId="4608"/>
    <cellStyle name="Normal 2 7 2 2 2 3 2 2" xfId="26939"/>
    <cellStyle name="Normal 2 7 2 2 2 3 2 2 2" xfId="26940"/>
    <cellStyle name="Normal 2 7 2 2 2 3 2 2 2 2" xfId="26941"/>
    <cellStyle name="Normal 2 7 2 2 2 3 2 2 3" xfId="26942"/>
    <cellStyle name="Normal 2 7 2 2 2 3 2 3" xfId="26943"/>
    <cellStyle name="Normal 2 7 2 2 2 3 2 3 2" xfId="26944"/>
    <cellStyle name="Normal 2 7 2 2 2 3 2 4" xfId="26945"/>
    <cellStyle name="Normal 2 7 2 2 2 3 3" xfId="26946"/>
    <cellStyle name="Normal 2 7 2 2 2 3 3 2" xfId="26947"/>
    <cellStyle name="Normal 2 7 2 2 2 3 3 2 2" xfId="26948"/>
    <cellStyle name="Normal 2 7 2 2 2 3 3 3" xfId="26949"/>
    <cellStyle name="Normal 2 7 2 2 2 3 4" xfId="26950"/>
    <cellStyle name="Normal 2 7 2 2 2 3 4 2" xfId="26951"/>
    <cellStyle name="Normal 2 7 2 2 2 3 5" xfId="26952"/>
    <cellStyle name="Normal 2 7 2 2 2 4" xfId="3248"/>
    <cellStyle name="Normal 2 7 2 2 2 4 2" xfId="26953"/>
    <cellStyle name="Normal 2 7 2 2 2 4 2 2" xfId="26954"/>
    <cellStyle name="Normal 2 7 2 2 2 4 2 2 2" xfId="26955"/>
    <cellStyle name="Normal 2 7 2 2 2 4 2 3" xfId="26956"/>
    <cellStyle name="Normal 2 7 2 2 2 4 3" xfId="26957"/>
    <cellStyle name="Normal 2 7 2 2 2 4 3 2" xfId="26958"/>
    <cellStyle name="Normal 2 7 2 2 2 4 4" xfId="26959"/>
    <cellStyle name="Normal 2 7 2 2 2 5" xfId="26960"/>
    <cellStyle name="Normal 2 7 2 2 2 5 2" xfId="26961"/>
    <cellStyle name="Normal 2 7 2 2 2 5 2 2" xfId="26962"/>
    <cellStyle name="Normal 2 7 2 2 2 5 3" xfId="26963"/>
    <cellStyle name="Normal 2 7 2 2 2 6" xfId="26964"/>
    <cellStyle name="Normal 2 7 2 2 2 6 2" xfId="26965"/>
    <cellStyle name="Normal 2 7 2 2 2 7" xfId="26966"/>
    <cellStyle name="Normal 2 7 2 2 3" xfId="936"/>
    <cellStyle name="Normal 2 7 2 2 3 2" xfId="2296"/>
    <cellStyle name="Normal 2 7 2 2 3 2 2" xfId="5016"/>
    <cellStyle name="Normal 2 7 2 2 3 2 2 2" xfId="26967"/>
    <cellStyle name="Normal 2 7 2 2 3 2 2 2 2" xfId="26968"/>
    <cellStyle name="Normal 2 7 2 2 3 2 2 2 2 2" xfId="26969"/>
    <cellStyle name="Normal 2 7 2 2 3 2 2 2 3" xfId="26970"/>
    <cellStyle name="Normal 2 7 2 2 3 2 2 3" xfId="26971"/>
    <cellStyle name="Normal 2 7 2 2 3 2 2 3 2" xfId="26972"/>
    <cellStyle name="Normal 2 7 2 2 3 2 2 4" xfId="26973"/>
    <cellStyle name="Normal 2 7 2 2 3 2 3" xfId="26974"/>
    <cellStyle name="Normal 2 7 2 2 3 2 3 2" xfId="26975"/>
    <cellStyle name="Normal 2 7 2 2 3 2 3 2 2" xfId="26976"/>
    <cellStyle name="Normal 2 7 2 2 3 2 3 3" xfId="26977"/>
    <cellStyle name="Normal 2 7 2 2 3 2 4" xfId="26978"/>
    <cellStyle name="Normal 2 7 2 2 3 2 4 2" xfId="26979"/>
    <cellStyle name="Normal 2 7 2 2 3 2 5" xfId="26980"/>
    <cellStyle name="Normal 2 7 2 2 3 3" xfId="3656"/>
    <cellStyle name="Normal 2 7 2 2 3 3 2" xfId="26981"/>
    <cellStyle name="Normal 2 7 2 2 3 3 2 2" xfId="26982"/>
    <cellStyle name="Normal 2 7 2 2 3 3 2 2 2" xfId="26983"/>
    <cellStyle name="Normal 2 7 2 2 3 3 2 3" xfId="26984"/>
    <cellStyle name="Normal 2 7 2 2 3 3 3" xfId="26985"/>
    <cellStyle name="Normal 2 7 2 2 3 3 3 2" xfId="26986"/>
    <cellStyle name="Normal 2 7 2 2 3 3 4" xfId="26987"/>
    <cellStyle name="Normal 2 7 2 2 3 4" xfId="26988"/>
    <cellStyle name="Normal 2 7 2 2 3 4 2" xfId="26989"/>
    <cellStyle name="Normal 2 7 2 2 3 4 2 2" xfId="26990"/>
    <cellStyle name="Normal 2 7 2 2 3 4 3" xfId="26991"/>
    <cellStyle name="Normal 2 7 2 2 3 5" xfId="26992"/>
    <cellStyle name="Normal 2 7 2 2 3 5 2" xfId="26993"/>
    <cellStyle name="Normal 2 7 2 2 3 6" xfId="26994"/>
    <cellStyle name="Normal 2 7 2 2 4" xfId="1616"/>
    <cellStyle name="Normal 2 7 2 2 4 2" xfId="4336"/>
    <cellStyle name="Normal 2 7 2 2 4 2 2" xfId="26995"/>
    <cellStyle name="Normal 2 7 2 2 4 2 2 2" xfId="26996"/>
    <cellStyle name="Normal 2 7 2 2 4 2 2 2 2" xfId="26997"/>
    <cellStyle name="Normal 2 7 2 2 4 2 2 3" xfId="26998"/>
    <cellStyle name="Normal 2 7 2 2 4 2 3" xfId="26999"/>
    <cellStyle name="Normal 2 7 2 2 4 2 3 2" xfId="27000"/>
    <cellStyle name="Normal 2 7 2 2 4 2 4" xfId="27001"/>
    <cellStyle name="Normal 2 7 2 2 4 3" xfId="27002"/>
    <cellStyle name="Normal 2 7 2 2 4 3 2" xfId="27003"/>
    <cellStyle name="Normal 2 7 2 2 4 3 2 2" xfId="27004"/>
    <cellStyle name="Normal 2 7 2 2 4 3 3" xfId="27005"/>
    <cellStyle name="Normal 2 7 2 2 4 4" xfId="27006"/>
    <cellStyle name="Normal 2 7 2 2 4 4 2" xfId="27007"/>
    <cellStyle name="Normal 2 7 2 2 4 5" xfId="27008"/>
    <cellStyle name="Normal 2 7 2 2 5" xfId="2976"/>
    <cellStyle name="Normal 2 7 2 2 5 2" xfId="27009"/>
    <cellStyle name="Normal 2 7 2 2 5 2 2" xfId="27010"/>
    <cellStyle name="Normal 2 7 2 2 5 2 2 2" xfId="27011"/>
    <cellStyle name="Normal 2 7 2 2 5 2 3" xfId="27012"/>
    <cellStyle name="Normal 2 7 2 2 5 3" xfId="27013"/>
    <cellStyle name="Normal 2 7 2 2 5 3 2" xfId="27014"/>
    <cellStyle name="Normal 2 7 2 2 5 4" xfId="27015"/>
    <cellStyle name="Normal 2 7 2 2 6" xfId="27016"/>
    <cellStyle name="Normal 2 7 2 2 6 2" xfId="27017"/>
    <cellStyle name="Normal 2 7 2 2 6 2 2" xfId="27018"/>
    <cellStyle name="Normal 2 7 2 2 6 3" xfId="27019"/>
    <cellStyle name="Normal 2 7 2 2 7" xfId="27020"/>
    <cellStyle name="Normal 2 7 2 2 7 2" xfId="27021"/>
    <cellStyle name="Normal 2 7 2 2 8" xfId="27022"/>
    <cellStyle name="Normal 2 7 2 3" xfId="392"/>
    <cellStyle name="Normal 2 7 2 3 2" xfId="1072"/>
    <cellStyle name="Normal 2 7 2 3 2 2" xfId="2432"/>
    <cellStyle name="Normal 2 7 2 3 2 2 2" xfId="5152"/>
    <cellStyle name="Normal 2 7 2 3 2 2 2 2" xfId="27023"/>
    <cellStyle name="Normal 2 7 2 3 2 2 2 2 2" xfId="27024"/>
    <cellStyle name="Normal 2 7 2 3 2 2 2 2 2 2" xfId="27025"/>
    <cellStyle name="Normal 2 7 2 3 2 2 2 2 3" xfId="27026"/>
    <cellStyle name="Normal 2 7 2 3 2 2 2 3" xfId="27027"/>
    <cellStyle name="Normal 2 7 2 3 2 2 2 3 2" xfId="27028"/>
    <cellStyle name="Normal 2 7 2 3 2 2 2 4" xfId="27029"/>
    <cellStyle name="Normal 2 7 2 3 2 2 3" xfId="27030"/>
    <cellStyle name="Normal 2 7 2 3 2 2 3 2" xfId="27031"/>
    <cellStyle name="Normal 2 7 2 3 2 2 3 2 2" xfId="27032"/>
    <cellStyle name="Normal 2 7 2 3 2 2 3 3" xfId="27033"/>
    <cellStyle name="Normal 2 7 2 3 2 2 4" xfId="27034"/>
    <cellStyle name="Normal 2 7 2 3 2 2 4 2" xfId="27035"/>
    <cellStyle name="Normal 2 7 2 3 2 2 5" xfId="27036"/>
    <cellStyle name="Normal 2 7 2 3 2 3" xfId="3792"/>
    <cellStyle name="Normal 2 7 2 3 2 3 2" xfId="27037"/>
    <cellStyle name="Normal 2 7 2 3 2 3 2 2" xfId="27038"/>
    <cellStyle name="Normal 2 7 2 3 2 3 2 2 2" xfId="27039"/>
    <cellStyle name="Normal 2 7 2 3 2 3 2 3" xfId="27040"/>
    <cellStyle name="Normal 2 7 2 3 2 3 3" xfId="27041"/>
    <cellStyle name="Normal 2 7 2 3 2 3 3 2" xfId="27042"/>
    <cellStyle name="Normal 2 7 2 3 2 3 4" xfId="27043"/>
    <cellStyle name="Normal 2 7 2 3 2 4" xfId="27044"/>
    <cellStyle name="Normal 2 7 2 3 2 4 2" xfId="27045"/>
    <cellStyle name="Normal 2 7 2 3 2 4 2 2" xfId="27046"/>
    <cellStyle name="Normal 2 7 2 3 2 4 3" xfId="27047"/>
    <cellStyle name="Normal 2 7 2 3 2 5" xfId="27048"/>
    <cellStyle name="Normal 2 7 2 3 2 5 2" xfId="27049"/>
    <cellStyle name="Normal 2 7 2 3 2 6" xfId="27050"/>
    <cellStyle name="Normal 2 7 2 3 3" xfId="1752"/>
    <cellStyle name="Normal 2 7 2 3 3 2" xfId="4472"/>
    <cellStyle name="Normal 2 7 2 3 3 2 2" xfId="27051"/>
    <cellStyle name="Normal 2 7 2 3 3 2 2 2" xfId="27052"/>
    <cellStyle name="Normal 2 7 2 3 3 2 2 2 2" xfId="27053"/>
    <cellStyle name="Normal 2 7 2 3 3 2 2 3" xfId="27054"/>
    <cellStyle name="Normal 2 7 2 3 3 2 3" xfId="27055"/>
    <cellStyle name="Normal 2 7 2 3 3 2 3 2" xfId="27056"/>
    <cellStyle name="Normal 2 7 2 3 3 2 4" xfId="27057"/>
    <cellStyle name="Normal 2 7 2 3 3 3" xfId="27058"/>
    <cellStyle name="Normal 2 7 2 3 3 3 2" xfId="27059"/>
    <cellStyle name="Normal 2 7 2 3 3 3 2 2" xfId="27060"/>
    <cellStyle name="Normal 2 7 2 3 3 3 3" xfId="27061"/>
    <cellStyle name="Normal 2 7 2 3 3 4" xfId="27062"/>
    <cellStyle name="Normal 2 7 2 3 3 4 2" xfId="27063"/>
    <cellStyle name="Normal 2 7 2 3 3 5" xfId="27064"/>
    <cellStyle name="Normal 2 7 2 3 4" xfId="3112"/>
    <cellStyle name="Normal 2 7 2 3 4 2" xfId="27065"/>
    <cellStyle name="Normal 2 7 2 3 4 2 2" xfId="27066"/>
    <cellStyle name="Normal 2 7 2 3 4 2 2 2" xfId="27067"/>
    <cellStyle name="Normal 2 7 2 3 4 2 3" xfId="27068"/>
    <cellStyle name="Normal 2 7 2 3 4 3" xfId="27069"/>
    <cellStyle name="Normal 2 7 2 3 4 3 2" xfId="27070"/>
    <cellStyle name="Normal 2 7 2 3 4 4" xfId="27071"/>
    <cellStyle name="Normal 2 7 2 3 5" xfId="27072"/>
    <cellStyle name="Normal 2 7 2 3 5 2" xfId="27073"/>
    <cellStyle name="Normal 2 7 2 3 5 2 2" xfId="27074"/>
    <cellStyle name="Normal 2 7 2 3 5 3" xfId="27075"/>
    <cellStyle name="Normal 2 7 2 3 6" xfId="27076"/>
    <cellStyle name="Normal 2 7 2 3 6 2" xfId="27077"/>
    <cellStyle name="Normal 2 7 2 3 7" xfId="27078"/>
    <cellStyle name="Normal 2 7 2 4" xfId="664"/>
    <cellStyle name="Normal 2 7 2 4 2" xfId="1344"/>
    <cellStyle name="Normal 2 7 2 4 2 2" xfId="2704"/>
    <cellStyle name="Normal 2 7 2 4 2 2 2" xfId="5424"/>
    <cellStyle name="Normal 2 7 2 4 2 2 2 2" xfId="27079"/>
    <cellStyle name="Normal 2 7 2 4 2 2 2 2 2" xfId="27080"/>
    <cellStyle name="Normal 2 7 2 4 2 2 2 2 2 2" xfId="27081"/>
    <cellStyle name="Normal 2 7 2 4 2 2 2 2 3" xfId="27082"/>
    <cellStyle name="Normal 2 7 2 4 2 2 2 3" xfId="27083"/>
    <cellStyle name="Normal 2 7 2 4 2 2 2 3 2" xfId="27084"/>
    <cellStyle name="Normal 2 7 2 4 2 2 2 4" xfId="27085"/>
    <cellStyle name="Normal 2 7 2 4 2 2 3" xfId="27086"/>
    <cellStyle name="Normal 2 7 2 4 2 2 3 2" xfId="27087"/>
    <cellStyle name="Normal 2 7 2 4 2 2 3 2 2" xfId="27088"/>
    <cellStyle name="Normal 2 7 2 4 2 2 3 3" xfId="27089"/>
    <cellStyle name="Normal 2 7 2 4 2 2 4" xfId="27090"/>
    <cellStyle name="Normal 2 7 2 4 2 2 4 2" xfId="27091"/>
    <cellStyle name="Normal 2 7 2 4 2 2 5" xfId="27092"/>
    <cellStyle name="Normal 2 7 2 4 2 3" xfId="4064"/>
    <cellStyle name="Normal 2 7 2 4 2 3 2" xfId="27093"/>
    <cellStyle name="Normal 2 7 2 4 2 3 2 2" xfId="27094"/>
    <cellStyle name="Normal 2 7 2 4 2 3 2 2 2" xfId="27095"/>
    <cellStyle name="Normal 2 7 2 4 2 3 2 3" xfId="27096"/>
    <cellStyle name="Normal 2 7 2 4 2 3 3" xfId="27097"/>
    <cellStyle name="Normal 2 7 2 4 2 3 3 2" xfId="27098"/>
    <cellStyle name="Normal 2 7 2 4 2 3 4" xfId="27099"/>
    <cellStyle name="Normal 2 7 2 4 2 4" xfId="27100"/>
    <cellStyle name="Normal 2 7 2 4 2 4 2" xfId="27101"/>
    <cellStyle name="Normal 2 7 2 4 2 4 2 2" xfId="27102"/>
    <cellStyle name="Normal 2 7 2 4 2 4 3" xfId="27103"/>
    <cellStyle name="Normal 2 7 2 4 2 5" xfId="27104"/>
    <cellStyle name="Normal 2 7 2 4 2 5 2" xfId="27105"/>
    <cellStyle name="Normal 2 7 2 4 2 6" xfId="27106"/>
    <cellStyle name="Normal 2 7 2 4 3" xfId="2024"/>
    <cellStyle name="Normal 2 7 2 4 3 2" xfId="4744"/>
    <cellStyle name="Normal 2 7 2 4 3 2 2" xfId="27107"/>
    <cellStyle name="Normal 2 7 2 4 3 2 2 2" xfId="27108"/>
    <cellStyle name="Normal 2 7 2 4 3 2 2 2 2" xfId="27109"/>
    <cellStyle name="Normal 2 7 2 4 3 2 2 3" xfId="27110"/>
    <cellStyle name="Normal 2 7 2 4 3 2 3" xfId="27111"/>
    <cellStyle name="Normal 2 7 2 4 3 2 3 2" xfId="27112"/>
    <cellStyle name="Normal 2 7 2 4 3 2 4" xfId="27113"/>
    <cellStyle name="Normal 2 7 2 4 3 3" xfId="27114"/>
    <cellStyle name="Normal 2 7 2 4 3 3 2" xfId="27115"/>
    <cellStyle name="Normal 2 7 2 4 3 3 2 2" xfId="27116"/>
    <cellStyle name="Normal 2 7 2 4 3 3 3" xfId="27117"/>
    <cellStyle name="Normal 2 7 2 4 3 4" xfId="27118"/>
    <cellStyle name="Normal 2 7 2 4 3 4 2" xfId="27119"/>
    <cellStyle name="Normal 2 7 2 4 3 5" xfId="27120"/>
    <cellStyle name="Normal 2 7 2 4 4" xfId="3384"/>
    <cellStyle name="Normal 2 7 2 4 4 2" xfId="27121"/>
    <cellStyle name="Normal 2 7 2 4 4 2 2" xfId="27122"/>
    <cellStyle name="Normal 2 7 2 4 4 2 2 2" xfId="27123"/>
    <cellStyle name="Normal 2 7 2 4 4 2 3" xfId="27124"/>
    <cellStyle name="Normal 2 7 2 4 4 3" xfId="27125"/>
    <cellStyle name="Normal 2 7 2 4 4 3 2" xfId="27126"/>
    <cellStyle name="Normal 2 7 2 4 4 4" xfId="27127"/>
    <cellStyle name="Normal 2 7 2 4 5" xfId="27128"/>
    <cellStyle name="Normal 2 7 2 4 5 2" xfId="27129"/>
    <cellStyle name="Normal 2 7 2 4 5 2 2" xfId="27130"/>
    <cellStyle name="Normal 2 7 2 4 5 3" xfId="27131"/>
    <cellStyle name="Normal 2 7 2 4 6" xfId="27132"/>
    <cellStyle name="Normal 2 7 2 4 6 2" xfId="27133"/>
    <cellStyle name="Normal 2 7 2 4 7" xfId="27134"/>
    <cellStyle name="Normal 2 7 2 5" xfId="800"/>
    <cellStyle name="Normal 2 7 2 5 2" xfId="2160"/>
    <cellStyle name="Normal 2 7 2 5 2 2" xfId="4880"/>
    <cellStyle name="Normal 2 7 2 5 2 2 2" xfId="27135"/>
    <cellStyle name="Normal 2 7 2 5 2 2 2 2" xfId="27136"/>
    <cellStyle name="Normal 2 7 2 5 2 2 2 2 2" xfId="27137"/>
    <cellStyle name="Normal 2 7 2 5 2 2 2 3" xfId="27138"/>
    <cellStyle name="Normal 2 7 2 5 2 2 3" xfId="27139"/>
    <cellStyle name="Normal 2 7 2 5 2 2 3 2" xfId="27140"/>
    <cellStyle name="Normal 2 7 2 5 2 2 4" xfId="27141"/>
    <cellStyle name="Normal 2 7 2 5 2 3" xfId="27142"/>
    <cellStyle name="Normal 2 7 2 5 2 3 2" xfId="27143"/>
    <cellStyle name="Normal 2 7 2 5 2 3 2 2" xfId="27144"/>
    <cellStyle name="Normal 2 7 2 5 2 3 3" xfId="27145"/>
    <cellStyle name="Normal 2 7 2 5 2 4" xfId="27146"/>
    <cellStyle name="Normal 2 7 2 5 2 4 2" xfId="27147"/>
    <cellStyle name="Normal 2 7 2 5 2 5" xfId="27148"/>
    <cellStyle name="Normal 2 7 2 5 3" xfId="3520"/>
    <cellStyle name="Normal 2 7 2 5 3 2" xfId="27149"/>
    <cellStyle name="Normal 2 7 2 5 3 2 2" xfId="27150"/>
    <cellStyle name="Normal 2 7 2 5 3 2 2 2" xfId="27151"/>
    <cellStyle name="Normal 2 7 2 5 3 2 3" xfId="27152"/>
    <cellStyle name="Normal 2 7 2 5 3 3" xfId="27153"/>
    <cellStyle name="Normal 2 7 2 5 3 3 2" xfId="27154"/>
    <cellStyle name="Normal 2 7 2 5 3 4" xfId="27155"/>
    <cellStyle name="Normal 2 7 2 5 4" xfId="27156"/>
    <cellStyle name="Normal 2 7 2 5 4 2" xfId="27157"/>
    <cellStyle name="Normal 2 7 2 5 4 2 2" xfId="27158"/>
    <cellStyle name="Normal 2 7 2 5 4 3" xfId="27159"/>
    <cellStyle name="Normal 2 7 2 5 5" xfId="27160"/>
    <cellStyle name="Normal 2 7 2 5 5 2" xfId="27161"/>
    <cellStyle name="Normal 2 7 2 5 6" xfId="27162"/>
    <cellStyle name="Normal 2 7 2 6" xfId="1480"/>
    <cellStyle name="Normal 2 7 2 6 2" xfId="4200"/>
    <cellStyle name="Normal 2 7 2 6 2 2" xfId="27163"/>
    <cellStyle name="Normal 2 7 2 6 2 2 2" xfId="27164"/>
    <cellStyle name="Normal 2 7 2 6 2 2 2 2" xfId="27165"/>
    <cellStyle name="Normal 2 7 2 6 2 2 3" xfId="27166"/>
    <cellStyle name="Normal 2 7 2 6 2 3" xfId="27167"/>
    <cellStyle name="Normal 2 7 2 6 2 3 2" xfId="27168"/>
    <cellStyle name="Normal 2 7 2 6 2 4" xfId="27169"/>
    <cellStyle name="Normal 2 7 2 6 3" xfId="27170"/>
    <cellStyle name="Normal 2 7 2 6 3 2" xfId="27171"/>
    <cellStyle name="Normal 2 7 2 6 3 2 2" xfId="27172"/>
    <cellStyle name="Normal 2 7 2 6 3 3" xfId="27173"/>
    <cellStyle name="Normal 2 7 2 6 4" xfId="27174"/>
    <cellStyle name="Normal 2 7 2 6 4 2" xfId="27175"/>
    <cellStyle name="Normal 2 7 2 6 5" xfId="27176"/>
    <cellStyle name="Normal 2 7 2 7" xfId="2840"/>
    <cellStyle name="Normal 2 7 2 7 2" xfId="27177"/>
    <cellStyle name="Normal 2 7 2 7 2 2" xfId="27178"/>
    <cellStyle name="Normal 2 7 2 7 2 2 2" xfId="27179"/>
    <cellStyle name="Normal 2 7 2 7 2 3" xfId="27180"/>
    <cellStyle name="Normal 2 7 2 7 3" xfId="27181"/>
    <cellStyle name="Normal 2 7 2 7 3 2" xfId="27182"/>
    <cellStyle name="Normal 2 7 2 7 4" xfId="27183"/>
    <cellStyle name="Normal 2 7 2 8" xfId="27184"/>
    <cellStyle name="Normal 2 7 2 8 2" xfId="27185"/>
    <cellStyle name="Normal 2 7 2 8 2 2" xfId="27186"/>
    <cellStyle name="Normal 2 7 2 8 3" xfId="27187"/>
    <cellStyle name="Normal 2 7 2 9" xfId="27188"/>
    <cellStyle name="Normal 2 7 2 9 2" xfId="27189"/>
    <cellStyle name="Normal 2 7 3" xfId="188"/>
    <cellStyle name="Normal 2 7 3 2" xfId="460"/>
    <cellStyle name="Normal 2 7 3 2 2" xfId="1140"/>
    <cellStyle name="Normal 2 7 3 2 2 2" xfId="2500"/>
    <cellStyle name="Normal 2 7 3 2 2 2 2" xfId="5220"/>
    <cellStyle name="Normal 2 7 3 2 2 2 2 2" xfId="27190"/>
    <cellStyle name="Normal 2 7 3 2 2 2 2 2 2" xfId="27191"/>
    <cellStyle name="Normal 2 7 3 2 2 2 2 2 2 2" xfId="27192"/>
    <cellStyle name="Normal 2 7 3 2 2 2 2 2 3" xfId="27193"/>
    <cellStyle name="Normal 2 7 3 2 2 2 2 3" xfId="27194"/>
    <cellStyle name="Normal 2 7 3 2 2 2 2 3 2" xfId="27195"/>
    <cellStyle name="Normal 2 7 3 2 2 2 2 4" xfId="27196"/>
    <cellStyle name="Normal 2 7 3 2 2 2 3" xfId="27197"/>
    <cellStyle name="Normal 2 7 3 2 2 2 3 2" xfId="27198"/>
    <cellStyle name="Normal 2 7 3 2 2 2 3 2 2" xfId="27199"/>
    <cellStyle name="Normal 2 7 3 2 2 2 3 3" xfId="27200"/>
    <cellStyle name="Normal 2 7 3 2 2 2 4" xfId="27201"/>
    <cellStyle name="Normal 2 7 3 2 2 2 4 2" xfId="27202"/>
    <cellStyle name="Normal 2 7 3 2 2 2 5" xfId="27203"/>
    <cellStyle name="Normal 2 7 3 2 2 3" xfId="3860"/>
    <cellStyle name="Normal 2 7 3 2 2 3 2" xfId="27204"/>
    <cellStyle name="Normal 2 7 3 2 2 3 2 2" xfId="27205"/>
    <cellStyle name="Normal 2 7 3 2 2 3 2 2 2" xfId="27206"/>
    <cellStyle name="Normal 2 7 3 2 2 3 2 3" xfId="27207"/>
    <cellStyle name="Normal 2 7 3 2 2 3 3" xfId="27208"/>
    <cellStyle name="Normal 2 7 3 2 2 3 3 2" xfId="27209"/>
    <cellStyle name="Normal 2 7 3 2 2 3 4" xfId="27210"/>
    <cellStyle name="Normal 2 7 3 2 2 4" xfId="27211"/>
    <cellStyle name="Normal 2 7 3 2 2 4 2" xfId="27212"/>
    <cellStyle name="Normal 2 7 3 2 2 4 2 2" xfId="27213"/>
    <cellStyle name="Normal 2 7 3 2 2 4 3" xfId="27214"/>
    <cellStyle name="Normal 2 7 3 2 2 5" xfId="27215"/>
    <cellStyle name="Normal 2 7 3 2 2 5 2" xfId="27216"/>
    <cellStyle name="Normal 2 7 3 2 2 6" xfId="27217"/>
    <cellStyle name="Normal 2 7 3 2 3" xfId="1820"/>
    <cellStyle name="Normal 2 7 3 2 3 2" xfId="4540"/>
    <cellStyle name="Normal 2 7 3 2 3 2 2" xfId="27218"/>
    <cellStyle name="Normal 2 7 3 2 3 2 2 2" xfId="27219"/>
    <cellStyle name="Normal 2 7 3 2 3 2 2 2 2" xfId="27220"/>
    <cellStyle name="Normal 2 7 3 2 3 2 2 3" xfId="27221"/>
    <cellStyle name="Normal 2 7 3 2 3 2 3" xfId="27222"/>
    <cellStyle name="Normal 2 7 3 2 3 2 3 2" xfId="27223"/>
    <cellStyle name="Normal 2 7 3 2 3 2 4" xfId="27224"/>
    <cellStyle name="Normal 2 7 3 2 3 3" xfId="27225"/>
    <cellStyle name="Normal 2 7 3 2 3 3 2" xfId="27226"/>
    <cellStyle name="Normal 2 7 3 2 3 3 2 2" xfId="27227"/>
    <cellStyle name="Normal 2 7 3 2 3 3 3" xfId="27228"/>
    <cellStyle name="Normal 2 7 3 2 3 4" xfId="27229"/>
    <cellStyle name="Normal 2 7 3 2 3 4 2" xfId="27230"/>
    <cellStyle name="Normal 2 7 3 2 3 5" xfId="27231"/>
    <cellStyle name="Normal 2 7 3 2 4" xfId="3180"/>
    <cellStyle name="Normal 2 7 3 2 4 2" xfId="27232"/>
    <cellStyle name="Normal 2 7 3 2 4 2 2" xfId="27233"/>
    <cellStyle name="Normal 2 7 3 2 4 2 2 2" xfId="27234"/>
    <cellStyle name="Normal 2 7 3 2 4 2 3" xfId="27235"/>
    <cellStyle name="Normal 2 7 3 2 4 3" xfId="27236"/>
    <cellStyle name="Normal 2 7 3 2 4 3 2" xfId="27237"/>
    <cellStyle name="Normal 2 7 3 2 4 4" xfId="27238"/>
    <cellStyle name="Normal 2 7 3 2 5" xfId="27239"/>
    <cellStyle name="Normal 2 7 3 2 5 2" xfId="27240"/>
    <cellStyle name="Normal 2 7 3 2 5 2 2" xfId="27241"/>
    <cellStyle name="Normal 2 7 3 2 5 3" xfId="27242"/>
    <cellStyle name="Normal 2 7 3 2 6" xfId="27243"/>
    <cellStyle name="Normal 2 7 3 2 6 2" xfId="27244"/>
    <cellStyle name="Normal 2 7 3 2 7" xfId="27245"/>
    <cellStyle name="Normal 2 7 3 3" xfId="868"/>
    <cellStyle name="Normal 2 7 3 3 2" xfId="2228"/>
    <cellStyle name="Normal 2 7 3 3 2 2" xfId="4948"/>
    <cellStyle name="Normal 2 7 3 3 2 2 2" xfId="27246"/>
    <cellStyle name="Normal 2 7 3 3 2 2 2 2" xfId="27247"/>
    <cellStyle name="Normal 2 7 3 3 2 2 2 2 2" xfId="27248"/>
    <cellStyle name="Normal 2 7 3 3 2 2 2 3" xfId="27249"/>
    <cellStyle name="Normal 2 7 3 3 2 2 3" xfId="27250"/>
    <cellStyle name="Normal 2 7 3 3 2 2 3 2" xfId="27251"/>
    <cellStyle name="Normal 2 7 3 3 2 2 4" xfId="27252"/>
    <cellStyle name="Normal 2 7 3 3 2 3" xfId="27253"/>
    <cellStyle name="Normal 2 7 3 3 2 3 2" xfId="27254"/>
    <cellStyle name="Normal 2 7 3 3 2 3 2 2" xfId="27255"/>
    <cellStyle name="Normal 2 7 3 3 2 3 3" xfId="27256"/>
    <cellStyle name="Normal 2 7 3 3 2 4" xfId="27257"/>
    <cellStyle name="Normal 2 7 3 3 2 4 2" xfId="27258"/>
    <cellStyle name="Normal 2 7 3 3 2 5" xfId="27259"/>
    <cellStyle name="Normal 2 7 3 3 3" xfId="3588"/>
    <cellStyle name="Normal 2 7 3 3 3 2" xfId="27260"/>
    <cellStyle name="Normal 2 7 3 3 3 2 2" xfId="27261"/>
    <cellStyle name="Normal 2 7 3 3 3 2 2 2" xfId="27262"/>
    <cellStyle name="Normal 2 7 3 3 3 2 3" xfId="27263"/>
    <cellStyle name="Normal 2 7 3 3 3 3" xfId="27264"/>
    <cellStyle name="Normal 2 7 3 3 3 3 2" xfId="27265"/>
    <cellStyle name="Normal 2 7 3 3 3 4" xfId="27266"/>
    <cellStyle name="Normal 2 7 3 3 4" xfId="27267"/>
    <cellStyle name="Normal 2 7 3 3 4 2" xfId="27268"/>
    <cellStyle name="Normal 2 7 3 3 4 2 2" xfId="27269"/>
    <cellStyle name="Normal 2 7 3 3 4 3" xfId="27270"/>
    <cellStyle name="Normal 2 7 3 3 5" xfId="27271"/>
    <cellStyle name="Normal 2 7 3 3 5 2" xfId="27272"/>
    <cellStyle name="Normal 2 7 3 3 6" xfId="27273"/>
    <cellStyle name="Normal 2 7 3 4" xfId="1548"/>
    <cellStyle name="Normal 2 7 3 4 2" xfId="4268"/>
    <cellStyle name="Normal 2 7 3 4 2 2" xfId="27274"/>
    <cellStyle name="Normal 2 7 3 4 2 2 2" xfId="27275"/>
    <cellStyle name="Normal 2 7 3 4 2 2 2 2" xfId="27276"/>
    <cellStyle name="Normal 2 7 3 4 2 2 3" xfId="27277"/>
    <cellStyle name="Normal 2 7 3 4 2 3" xfId="27278"/>
    <cellStyle name="Normal 2 7 3 4 2 3 2" xfId="27279"/>
    <cellStyle name="Normal 2 7 3 4 2 4" xfId="27280"/>
    <cellStyle name="Normal 2 7 3 4 3" xfId="27281"/>
    <cellStyle name="Normal 2 7 3 4 3 2" xfId="27282"/>
    <cellStyle name="Normal 2 7 3 4 3 2 2" xfId="27283"/>
    <cellStyle name="Normal 2 7 3 4 3 3" xfId="27284"/>
    <cellStyle name="Normal 2 7 3 4 4" xfId="27285"/>
    <cellStyle name="Normal 2 7 3 4 4 2" xfId="27286"/>
    <cellStyle name="Normal 2 7 3 4 5" xfId="27287"/>
    <cellStyle name="Normal 2 7 3 5" xfId="2908"/>
    <cellStyle name="Normal 2 7 3 5 2" xfId="27288"/>
    <cellStyle name="Normal 2 7 3 5 2 2" xfId="27289"/>
    <cellStyle name="Normal 2 7 3 5 2 2 2" xfId="27290"/>
    <cellStyle name="Normal 2 7 3 5 2 3" xfId="27291"/>
    <cellStyle name="Normal 2 7 3 5 3" xfId="27292"/>
    <cellStyle name="Normal 2 7 3 5 3 2" xfId="27293"/>
    <cellStyle name="Normal 2 7 3 5 4" xfId="27294"/>
    <cellStyle name="Normal 2 7 3 6" xfId="27295"/>
    <cellStyle name="Normal 2 7 3 6 2" xfId="27296"/>
    <cellStyle name="Normal 2 7 3 6 2 2" xfId="27297"/>
    <cellStyle name="Normal 2 7 3 6 3" xfId="27298"/>
    <cellStyle name="Normal 2 7 3 7" xfId="27299"/>
    <cellStyle name="Normal 2 7 3 7 2" xfId="27300"/>
    <cellStyle name="Normal 2 7 3 8" xfId="27301"/>
    <cellStyle name="Normal 2 7 4" xfId="324"/>
    <cellStyle name="Normal 2 7 4 2" xfId="1004"/>
    <cellStyle name="Normal 2 7 4 2 2" xfId="2364"/>
    <cellStyle name="Normal 2 7 4 2 2 2" xfId="5084"/>
    <cellStyle name="Normal 2 7 4 2 2 2 2" xfId="27302"/>
    <cellStyle name="Normal 2 7 4 2 2 2 2 2" xfId="27303"/>
    <cellStyle name="Normal 2 7 4 2 2 2 2 2 2" xfId="27304"/>
    <cellStyle name="Normal 2 7 4 2 2 2 2 3" xfId="27305"/>
    <cellStyle name="Normal 2 7 4 2 2 2 3" xfId="27306"/>
    <cellStyle name="Normal 2 7 4 2 2 2 3 2" xfId="27307"/>
    <cellStyle name="Normal 2 7 4 2 2 2 4" xfId="27308"/>
    <cellStyle name="Normal 2 7 4 2 2 3" xfId="27309"/>
    <cellStyle name="Normal 2 7 4 2 2 3 2" xfId="27310"/>
    <cellStyle name="Normal 2 7 4 2 2 3 2 2" xfId="27311"/>
    <cellStyle name="Normal 2 7 4 2 2 3 3" xfId="27312"/>
    <cellStyle name="Normal 2 7 4 2 2 4" xfId="27313"/>
    <cellStyle name="Normal 2 7 4 2 2 4 2" xfId="27314"/>
    <cellStyle name="Normal 2 7 4 2 2 5" xfId="27315"/>
    <cellStyle name="Normal 2 7 4 2 3" xfId="3724"/>
    <cellStyle name="Normal 2 7 4 2 3 2" xfId="27316"/>
    <cellStyle name="Normal 2 7 4 2 3 2 2" xfId="27317"/>
    <cellStyle name="Normal 2 7 4 2 3 2 2 2" xfId="27318"/>
    <cellStyle name="Normal 2 7 4 2 3 2 3" xfId="27319"/>
    <cellStyle name="Normal 2 7 4 2 3 3" xfId="27320"/>
    <cellStyle name="Normal 2 7 4 2 3 3 2" xfId="27321"/>
    <cellStyle name="Normal 2 7 4 2 3 4" xfId="27322"/>
    <cellStyle name="Normal 2 7 4 2 4" xfId="27323"/>
    <cellStyle name="Normal 2 7 4 2 4 2" xfId="27324"/>
    <cellStyle name="Normal 2 7 4 2 4 2 2" xfId="27325"/>
    <cellStyle name="Normal 2 7 4 2 4 3" xfId="27326"/>
    <cellStyle name="Normal 2 7 4 2 5" xfId="27327"/>
    <cellStyle name="Normal 2 7 4 2 5 2" xfId="27328"/>
    <cellStyle name="Normal 2 7 4 2 6" xfId="27329"/>
    <cellStyle name="Normal 2 7 4 3" xfId="1684"/>
    <cellStyle name="Normal 2 7 4 3 2" xfId="4404"/>
    <cellStyle name="Normal 2 7 4 3 2 2" xfId="27330"/>
    <cellStyle name="Normal 2 7 4 3 2 2 2" xfId="27331"/>
    <cellStyle name="Normal 2 7 4 3 2 2 2 2" xfId="27332"/>
    <cellStyle name="Normal 2 7 4 3 2 2 3" xfId="27333"/>
    <cellStyle name="Normal 2 7 4 3 2 3" xfId="27334"/>
    <cellStyle name="Normal 2 7 4 3 2 3 2" xfId="27335"/>
    <cellStyle name="Normal 2 7 4 3 2 4" xfId="27336"/>
    <cellStyle name="Normal 2 7 4 3 3" xfId="27337"/>
    <cellStyle name="Normal 2 7 4 3 3 2" xfId="27338"/>
    <cellStyle name="Normal 2 7 4 3 3 2 2" xfId="27339"/>
    <cellStyle name="Normal 2 7 4 3 3 3" xfId="27340"/>
    <cellStyle name="Normal 2 7 4 3 4" xfId="27341"/>
    <cellStyle name="Normal 2 7 4 3 4 2" xfId="27342"/>
    <cellStyle name="Normal 2 7 4 3 5" xfId="27343"/>
    <cellStyle name="Normal 2 7 4 4" xfId="3044"/>
    <cellStyle name="Normal 2 7 4 4 2" xfId="27344"/>
    <cellStyle name="Normal 2 7 4 4 2 2" xfId="27345"/>
    <cellStyle name="Normal 2 7 4 4 2 2 2" xfId="27346"/>
    <cellStyle name="Normal 2 7 4 4 2 3" xfId="27347"/>
    <cellStyle name="Normal 2 7 4 4 3" xfId="27348"/>
    <cellStyle name="Normal 2 7 4 4 3 2" xfId="27349"/>
    <cellStyle name="Normal 2 7 4 4 4" xfId="27350"/>
    <cellStyle name="Normal 2 7 4 5" xfId="27351"/>
    <cellStyle name="Normal 2 7 4 5 2" xfId="27352"/>
    <cellStyle name="Normal 2 7 4 5 2 2" xfId="27353"/>
    <cellStyle name="Normal 2 7 4 5 3" xfId="27354"/>
    <cellStyle name="Normal 2 7 4 6" xfId="27355"/>
    <cellStyle name="Normal 2 7 4 6 2" xfId="27356"/>
    <cellStyle name="Normal 2 7 4 7" xfId="27357"/>
    <cellStyle name="Normal 2 7 5" xfId="596"/>
    <cellStyle name="Normal 2 7 5 2" xfId="1276"/>
    <cellStyle name="Normal 2 7 5 2 2" xfId="2636"/>
    <cellStyle name="Normal 2 7 5 2 2 2" xfId="5356"/>
    <cellStyle name="Normal 2 7 5 2 2 2 2" xfId="27358"/>
    <cellStyle name="Normal 2 7 5 2 2 2 2 2" xfId="27359"/>
    <cellStyle name="Normal 2 7 5 2 2 2 2 2 2" xfId="27360"/>
    <cellStyle name="Normal 2 7 5 2 2 2 2 3" xfId="27361"/>
    <cellStyle name="Normal 2 7 5 2 2 2 3" xfId="27362"/>
    <cellStyle name="Normal 2 7 5 2 2 2 3 2" xfId="27363"/>
    <cellStyle name="Normal 2 7 5 2 2 2 4" xfId="27364"/>
    <cellStyle name="Normal 2 7 5 2 2 3" xfId="27365"/>
    <cellStyle name="Normal 2 7 5 2 2 3 2" xfId="27366"/>
    <cellStyle name="Normal 2 7 5 2 2 3 2 2" xfId="27367"/>
    <cellStyle name="Normal 2 7 5 2 2 3 3" xfId="27368"/>
    <cellStyle name="Normal 2 7 5 2 2 4" xfId="27369"/>
    <cellStyle name="Normal 2 7 5 2 2 4 2" xfId="27370"/>
    <cellStyle name="Normal 2 7 5 2 2 5" xfId="27371"/>
    <cellStyle name="Normal 2 7 5 2 3" xfId="3996"/>
    <cellStyle name="Normal 2 7 5 2 3 2" xfId="27372"/>
    <cellStyle name="Normal 2 7 5 2 3 2 2" xfId="27373"/>
    <cellStyle name="Normal 2 7 5 2 3 2 2 2" xfId="27374"/>
    <cellStyle name="Normal 2 7 5 2 3 2 3" xfId="27375"/>
    <cellStyle name="Normal 2 7 5 2 3 3" xfId="27376"/>
    <cellStyle name="Normal 2 7 5 2 3 3 2" xfId="27377"/>
    <cellStyle name="Normal 2 7 5 2 3 4" xfId="27378"/>
    <cellStyle name="Normal 2 7 5 2 4" xfId="27379"/>
    <cellStyle name="Normal 2 7 5 2 4 2" xfId="27380"/>
    <cellStyle name="Normal 2 7 5 2 4 2 2" xfId="27381"/>
    <cellStyle name="Normal 2 7 5 2 4 3" xfId="27382"/>
    <cellStyle name="Normal 2 7 5 2 5" xfId="27383"/>
    <cellStyle name="Normal 2 7 5 2 5 2" xfId="27384"/>
    <cellStyle name="Normal 2 7 5 2 6" xfId="27385"/>
    <cellStyle name="Normal 2 7 5 3" xfId="1956"/>
    <cellStyle name="Normal 2 7 5 3 2" xfId="4676"/>
    <cellStyle name="Normal 2 7 5 3 2 2" xfId="27386"/>
    <cellStyle name="Normal 2 7 5 3 2 2 2" xfId="27387"/>
    <cellStyle name="Normal 2 7 5 3 2 2 2 2" xfId="27388"/>
    <cellStyle name="Normal 2 7 5 3 2 2 3" xfId="27389"/>
    <cellStyle name="Normal 2 7 5 3 2 3" xfId="27390"/>
    <cellStyle name="Normal 2 7 5 3 2 3 2" xfId="27391"/>
    <cellStyle name="Normal 2 7 5 3 2 4" xfId="27392"/>
    <cellStyle name="Normal 2 7 5 3 3" xfId="27393"/>
    <cellStyle name="Normal 2 7 5 3 3 2" xfId="27394"/>
    <cellStyle name="Normal 2 7 5 3 3 2 2" xfId="27395"/>
    <cellStyle name="Normal 2 7 5 3 3 3" xfId="27396"/>
    <cellStyle name="Normal 2 7 5 3 4" xfId="27397"/>
    <cellStyle name="Normal 2 7 5 3 4 2" xfId="27398"/>
    <cellStyle name="Normal 2 7 5 3 5" xfId="27399"/>
    <cellStyle name="Normal 2 7 5 4" xfId="3316"/>
    <cellStyle name="Normal 2 7 5 4 2" xfId="27400"/>
    <cellStyle name="Normal 2 7 5 4 2 2" xfId="27401"/>
    <cellStyle name="Normal 2 7 5 4 2 2 2" xfId="27402"/>
    <cellStyle name="Normal 2 7 5 4 2 3" xfId="27403"/>
    <cellStyle name="Normal 2 7 5 4 3" xfId="27404"/>
    <cellStyle name="Normal 2 7 5 4 3 2" xfId="27405"/>
    <cellStyle name="Normal 2 7 5 4 4" xfId="27406"/>
    <cellStyle name="Normal 2 7 5 5" xfId="27407"/>
    <cellStyle name="Normal 2 7 5 5 2" xfId="27408"/>
    <cellStyle name="Normal 2 7 5 5 2 2" xfId="27409"/>
    <cellStyle name="Normal 2 7 5 5 3" xfId="27410"/>
    <cellStyle name="Normal 2 7 5 6" xfId="27411"/>
    <cellStyle name="Normal 2 7 5 6 2" xfId="27412"/>
    <cellStyle name="Normal 2 7 5 7" xfId="27413"/>
    <cellStyle name="Normal 2 7 6" xfId="732"/>
    <cellStyle name="Normal 2 7 6 2" xfId="2092"/>
    <cellStyle name="Normal 2 7 6 2 2" xfId="4812"/>
    <cellStyle name="Normal 2 7 6 2 2 2" xfId="27414"/>
    <cellStyle name="Normal 2 7 6 2 2 2 2" xfId="27415"/>
    <cellStyle name="Normal 2 7 6 2 2 2 2 2" xfId="27416"/>
    <cellStyle name="Normal 2 7 6 2 2 2 3" xfId="27417"/>
    <cellStyle name="Normal 2 7 6 2 2 3" xfId="27418"/>
    <cellStyle name="Normal 2 7 6 2 2 3 2" xfId="27419"/>
    <cellStyle name="Normal 2 7 6 2 2 4" xfId="27420"/>
    <cellStyle name="Normal 2 7 6 2 3" xfId="27421"/>
    <cellStyle name="Normal 2 7 6 2 3 2" xfId="27422"/>
    <cellStyle name="Normal 2 7 6 2 3 2 2" xfId="27423"/>
    <cellStyle name="Normal 2 7 6 2 3 3" xfId="27424"/>
    <cellStyle name="Normal 2 7 6 2 4" xfId="27425"/>
    <cellStyle name="Normal 2 7 6 2 4 2" xfId="27426"/>
    <cellStyle name="Normal 2 7 6 2 5" xfId="27427"/>
    <cellStyle name="Normal 2 7 6 3" xfId="3452"/>
    <cellStyle name="Normal 2 7 6 3 2" xfId="27428"/>
    <cellStyle name="Normal 2 7 6 3 2 2" xfId="27429"/>
    <cellStyle name="Normal 2 7 6 3 2 2 2" xfId="27430"/>
    <cellStyle name="Normal 2 7 6 3 2 3" xfId="27431"/>
    <cellStyle name="Normal 2 7 6 3 3" xfId="27432"/>
    <cellStyle name="Normal 2 7 6 3 3 2" xfId="27433"/>
    <cellStyle name="Normal 2 7 6 3 4" xfId="27434"/>
    <cellStyle name="Normal 2 7 6 4" xfId="27435"/>
    <cellStyle name="Normal 2 7 6 4 2" xfId="27436"/>
    <cellStyle name="Normal 2 7 6 4 2 2" xfId="27437"/>
    <cellStyle name="Normal 2 7 6 4 3" xfId="27438"/>
    <cellStyle name="Normal 2 7 6 5" xfId="27439"/>
    <cellStyle name="Normal 2 7 6 5 2" xfId="27440"/>
    <cellStyle name="Normal 2 7 6 6" xfId="27441"/>
    <cellStyle name="Normal 2 7 7" xfId="1412"/>
    <cellStyle name="Normal 2 7 7 2" xfId="4132"/>
    <cellStyle name="Normal 2 7 7 2 2" xfId="27442"/>
    <cellStyle name="Normal 2 7 7 2 2 2" xfId="27443"/>
    <cellStyle name="Normal 2 7 7 2 2 2 2" xfId="27444"/>
    <cellStyle name="Normal 2 7 7 2 2 3" xfId="27445"/>
    <cellStyle name="Normal 2 7 7 2 3" xfId="27446"/>
    <cellStyle name="Normal 2 7 7 2 3 2" xfId="27447"/>
    <cellStyle name="Normal 2 7 7 2 4" xfId="27448"/>
    <cellStyle name="Normal 2 7 7 3" xfId="27449"/>
    <cellStyle name="Normal 2 7 7 3 2" xfId="27450"/>
    <cellStyle name="Normal 2 7 7 3 2 2" xfId="27451"/>
    <cellStyle name="Normal 2 7 7 3 3" xfId="27452"/>
    <cellStyle name="Normal 2 7 7 4" xfId="27453"/>
    <cellStyle name="Normal 2 7 7 4 2" xfId="27454"/>
    <cellStyle name="Normal 2 7 7 5" xfId="27455"/>
    <cellStyle name="Normal 2 7 8" xfId="2772"/>
    <cellStyle name="Normal 2 7 8 2" xfId="27456"/>
    <cellStyle name="Normal 2 7 8 2 2" xfId="27457"/>
    <cellStyle name="Normal 2 7 8 2 2 2" xfId="27458"/>
    <cellStyle name="Normal 2 7 8 2 3" xfId="27459"/>
    <cellStyle name="Normal 2 7 8 3" xfId="27460"/>
    <cellStyle name="Normal 2 7 8 3 2" xfId="27461"/>
    <cellStyle name="Normal 2 7 8 4" xfId="27462"/>
    <cellStyle name="Normal 2 7 9" xfId="27463"/>
    <cellStyle name="Normal 2 7 9 2" xfId="27464"/>
    <cellStyle name="Normal 2 7 9 2 2" xfId="27465"/>
    <cellStyle name="Normal 2 7 9 3" xfId="27466"/>
    <cellStyle name="Normal 2 8" xfId="85"/>
    <cellStyle name="Normal 2 8 10" xfId="27467"/>
    <cellStyle name="Normal 2 8 2" xfId="222"/>
    <cellStyle name="Normal 2 8 2 2" xfId="494"/>
    <cellStyle name="Normal 2 8 2 2 2" xfId="1174"/>
    <cellStyle name="Normal 2 8 2 2 2 2" xfId="2534"/>
    <cellStyle name="Normal 2 8 2 2 2 2 2" xfId="5254"/>
    <cellStyle name="Normal 2 8 2 2 2 2 2 2" xfId="27468"/>
    <cellStyle name="Normal 2 8 2 2 2 2 2 2 2" xfId="27469"/>
    <cellStyle name="Normal 2 8 2 2 2 2 2 2 2 2" xfId="27470"/>
    <cellStyle name="Normal 2 8 2 2 2 2 2 2 3" xfId="27471"/>
    <cellStyle name="Normal 2 8 2 2 2 2 2 3" xfId="27472"/>
    <cellStyle name="Normal 2 8 2 2 2 2 2 3 2" xfId="27473"/>
    <cellStyle name="Normal 2 8 2 2 2 2 2 4" xfId="27474"/>
    <cellStyle name="Normal 2 8 2 2 2 2 3" xfId="27475"/>
    <cellStyle name="Normal 2 8 2 2 2 2 3 2" xfId="27476"/>
    <cellStyle name="Normal 2 8 2 2 2 2 3 2 2" xfId="27477"/>
    <cellStyle name="Normal 2 8 2 2 2 2 3 3" xfId="27478"/>
    <cellStyle name="Normal 2 8 2 2 2 2 4" xfId="27479"/>
    <cellStyle name="Normal 2 8 2 2 2 2 4 2" xfId="27480"/>
    <cellStyle name="Normal 2 8 2 2 2 2 5" xfId="27481"/>
    <cellStyle name="Normal 2 8 2 2 2 3" xfId="3894"/>
    <cellStyle name="Normal 2 8 2 2 2 3 2" xfId="27482"/>
    <cellStyle name="Normal 2 8 2 2 2 3 2 2" xfId="27483"/>
    <cellStyle name="Normal 2 8 2 2 2 3 2 2 2" xfId="27484"/>
    <cellStyle name="Normal 2 8 2 2 2 3 2 3" xfId="27485"/>
    <cellStyle name="Normal 2 8 2 2 2 3 3" xfId="27486"/>
    <cellStyle name="Normal 2 8 2 2 2 3 3 2" xfId="27487"/>
    <cellStyle name="Normal 2 8 2 2 2 3 4" xfId="27488"/>
    <cellStyle name="Normal 2 8 2 2 2 4" xfId="27489"/>
    <cellStyle name="Normal 2 8 2 2 2 4 2" xfId="27490"/>
    <cellStyle name="Normal 2 8 2 2 2 4 2 2" xfId="27491"/>
    <cellStyle name="Normal 2 8 2 2 2 4 3" xfId="27492"/>
    <cellStyle name="Normal 2 8 2 2 2 5" xfId="27493"/>
    <cellStyle name="Normal 2 8 2 2 2 5 2" xfId="27494"/>
    <cellStyle name="Normal 2 8 2 2 2 6" xfId="27495"/>
    <cellStyle name="Normal 2 8 2 2 3" xfId="1854"/>
    <cellStyle name="Normal 2 8 2 2 3 2" xfId="4574"/>
    <cellStyle name="Normal 2 8 2 2 3 2 2" xfId="27496"/>
    <cellStyle name="Normal 2 8 2 2 3 2 2 2" xfId="27497"/>
    <cellStyle name="Normal 2 8 2 2 3 2 2 2 2" xfId="27498"/>
    <cellStyle name="Normal 2 8 2 2 3 2 2 3" xfId="27499"/>
    <cellStyle name="Normal 2 8 2 2 3 2 3" xfId="27500"/>
    <cellStyle name="Normal 2 8 2 2 3 2 3 2" xfId="27501"/>
    <cellStyle name="Normal 2 8 2 2 3 2 4" xfId="27502"/>
    <cellStyle name="Normal 2 8 2 2 3 3" xfId="27503"/>
    <cellStyle name="Normal 2 8 2 2 3 3 2" xfId="27504"/>
    <cellStyle name="Normal 2 8 2 2 3 3 2 2" xfId="27505"/>
    <cellStyle name="Normal 2 8 2 2 3 3 3" xfId="27506"/>
    <cellStyle name="Normal 2 8 2 2 3 4" xfId="27507"/>
    <cellStyle name="Normal 2 8 2 2 3 4 2" xfId="27508"/>
    <cellStyle name="Normal 2 8 2 2 3 5" xfId="27509"/>
    <cellStyle name="Normal 2 8 2 2 4" xfId="3214"/>
    <cellStyle name="Normal 2 8 2 2 4 2" xfId="27510"/>
    <cellStyle name="Normal 2 8 2 2 4 2 2" xfId="27511"/>
    <cellStyle name="Normal 2 8 2 2 4 2 2 2" xfId="27512"/>
    <cellStyle name="Normal 2 8 2 2 4 2 3" xfId="27513"/>
    <cellStyle name="Normal 2 8 2 2 4 3" xfId="27514"/>
    <cellStyle name="Normal 2 8 2 2 4 3 2" xfId="27515"/>
    <cellStyle name="Normal 2 8 2 2 4 4" xfId="27516"/>
    <cellStyle name="Normal 2 8 2 2 5" xfId="27517"/>
    <cellStyle name="Normal 2 8 2 2 5 2" xfId="27518"/>
    <cellStyle name="Normal 2 8 2 2 5 2 2" xfId="27519"/>
    <cellStyle name="Normal 2 8 2 2 5 3" xfId="27520"/>
    <cellStyle name="Normal 2 8 2 2 6" xfId="27521"/>
    <cellStyle name="Normal 2 8 2 2 6 2" xfId="27522"/>
    <cellStyle name="Normal 2 8 2 2 7" xfId="27523"/>
    <cellStyle name="Normal 2 8 2 3" xfId="902"/>
    <cellStyle name="Normal 2 8 2 3 2" xfId="2262"/>
    <cellStyle name="Normal 2 8 2 3 2 2" xfId="4982"/>
    <cellStyle name="Normal 2 8 2 3 2 2 2" xfId="27524"/>
    <cellStyle name="Normal 2 8 2 3 2 2 2 2" xfId="27525"/>
    <cellStyle name="Normal 2 8 2 3 2 2 2 2 2" xfId="27526"/>
    <cellStyle name="Normal 2 8 2 3 2 2 2 3" xfId="27527"/>
    <cellStyle name="Normal 2 8 2 3 2 2 3" xfId="27528"/>
    <cellStyle name="Normal 2 8 2 3 2 2 3 2" xfId="27529"/>
    <cellStyle name="Normal 2 8 2 3 2 2 4" xfId="27530"/>
    <cellStyle name="Normal 2 8 2 3 2 3" xfId="27531"/>
    <cellStyle name="Normal 2 8 2 3 2 3 2" xfId="27532"/>
    <cellStyle name="Normal 2 8 2 3 2 3 2 2" xfId="27533"/>
    <cellStyle name="Normal 2 8 2 3 2 3 3" xfId="27534"/>
    <cellStyle name="Normal 2 8 2 3 2 4" xfId="27535"/>
    <cellStyle name="Normal 2 8 2 3 2 4 2" xfId="27536"/>
    <cellStyle name="Normal 2 8 2 3 2 5" xfId="27537"/>
    <cellStyle name="Normal 2 8 2 3 3" xfId="3622"/>
    <cellStyle name="Normal 2 8 2 3 3 2" xfId="27538"/>
    <cellStyle name="Normal 2 8 2 3 3 2 2" xfId="27539"/>
    <cellStyle name="Normal 2 8 2 3 3 2 2 2" xfId="27540"/>
    <cellStyle name="Normal 2 8 2 3 3 2 3" xfId="27541"/>
    <cellStyle name="Normal 2 8 2 3 3 3" xfId="27542"/>
    <cellStyle name="Normal 2 8 2 3 3 3 2" xfId="27543"/>
    <cellStyle name="Normal 2 8 2 3 3 4" xfId="27544"/>
    <cellStyle name="Normal 2 8 2 3 4" xfId="27545"/>
    <cellStyle name="Normal 2 8 2 3 4 2" xfId="27546"/>
    <cellStyle name="Normal 2 8 2 3 4 2 2" xfId="27547"/>
    <cellStyle name="Normal 2 8 2 3 4 3" xfId="27548"/>
    <cellStyle name="Normal 2 8 2 3 5" xfId="27549"/>
    <cellStyle name="Normal 2 8 2 3 5 2" xfId="27550"/>
    <cellStyle name="Normal 2 8 2 3 6" xfId="27551"/>
    <cellStyle name="Normal 2 8 2 4" xfId="1582"/>
    <cellStyle name="Normal 2 8 2 4 2" xfId="4302"/>
    <cellStyle name="Normal 2 8 2 4 2 2" xfId="27552"/>
    <cellStyle name="Normal 2 8 2 4 2 2 2" xfId="27553"/>
    <cellStyle name="Normal 2 8 2 4 2 2 2 2" xfId="27554"/>
    <cellStyle name="Normal 2 8 2 4 2 2 3" xfId="27555"/>
    <cellStyle name="Normal 2 8 2 4 2 3" xfId="27556"/>
    <cellStyle name="Normal 2 8 2 4 2 3 2" xfId="27557"/>
    <cellStyle name="Normal 2 8 2 4 2 4" xfId="27558"/>
    <cellStyle name="Normal 2 8 2 4 3" xfId="27559"/>
    <cellStyle name="Normal 2 8 2 4 3 2" xfId="27560"/>
    <cellStyle name="Normal 2 8 2 4 3 2 2" xfId="27561"/>
    <cellStyle name="Normal 2 8 2 4 3 3" xfId="27562"/>
    <cellStyle name="Normal 2 8 2 4 4" xfId="27563"/>
    <cellStyle name="Normal 2 8 2 4 4 2" xfId="27564"/>
    <cellStyle name="Normal 2 8 2 4 5" xfId="27565"/>
    <cellStyle name="Normal 2 8 2 5" xfId="2942"/>
    <cellStyle name="Normal 2 8 2 5 2" xfId="27566"/>
    <cellStyle name="Normal 2 8 2 5 2 2" xfId="27567"/>
    <cellStyle name="Normal 2 8 2 5 2 2 2" xfId="27568"/>
    <cellStyle name="Normal 2 8 2 5 2 3" xfId="27569"/>
    <cellStyle name="Normal 2 8 2 5 3" xfId="27570"/>
    <cellStyle name="Normal 2 8 2 5 3 2" xfId="27571"/>
    <cellStyle name="Normal 2 8 2 5 4" xfId="27572"/>
    <cellStyle name="Normal 2 8 2 6" xfId="27573"/>
    <cellStyle name="Normal 2 8 2 6 2" xfId="27574"/>
    <cellStyle name="Normal 2 8 2 6 2 2" xfId="27575"/>
    <cellStyle name="Normal 2 8 2 6 3" xfId="27576"/>
    <cellStyle name="Normal 2 8 2 7" xfId="27577"/>
    <cellStyle name="Normal 2 8 2 7 2" xfId="27578"/>
    <cellStyle name="Normal 2 8 2 8" xfId="27579"/>
    <cellStyle name="Normal 2 8 3" xfId="358"/>
    <cellStyle name="Normal 2 8 3 2" xfId="1038"/>
    <cellStyle name="Normal 2 8 3 2 2" xfId="2398"/>
    <cellStyle name="Normal 2 8 3 2 2 2" xfId="5118"/>
    <cellStyle name="Normal 2 8 3 2 2 2 2" xfId="27580"/>
    <cellStyle name="Normal 2 8 3 2 2 2 2 2" xfId="27581"/>
    <cellStyle name="Normal 2 8 3 2 2 2 2 2 2" xfId="27582"/>
    <cellStyle name="Normal 2 8 3 2 2 2 2 3" xfId="27583"/>
    <cellStyle name="Normal 2 8 3 2 2 2 3" xfId="27584"/>
    <cellStyle name="Normal 2 8 3 2 2 2 3 2" xfId="27585"/>
    <cellStyle name="Normal 2 8 3 2 2 2 4" xfId="27586"/>
    <cellStyle name="Normal 2 8 3 2 2 3" xfId="27587"/>
    <cellStyle name="Normal 2 8 3 2 2 3 2" xfId="27588"/>
    <cellStyle name="Normal 2 8 3 2 2 3 2 2" xfId="27589"/>
    <cellStyle name="Normal 2 8 3 2 2 3 3" xfId="27590"/>
    <cellStyle name="Normal 2 8 3 2 2 4" xfId="27591"/>
    <cellStyle name="Normal 2 8 3 2 2 4 2" xfId="27592"/>
    <cellStyle name="Normal 2 8 3 2 2 5" xfId="27593"/>
    <cellStyle name="Normal 2 8 3 2 3" xfId="3758"/>
    <cellStyle name="Normal 2 8 3 2 3 2" xfId="27594"/>
    <cellStyle name="Normal 2 8 3 2 3 2 2" xfId="27595"/>
    <cellStyle name="Normal 2 8 3 2 3 2 2 2" xfId="27596"/>
    <cellStyle name="Normal 2 8 3 2 3 2 3" xfId="27597"/>
    <cellStyle name="Normal 2 8 3 2 3 3" xfId="27598"/>
    <cellStyle name="Normal 2 8 3 2 3 3 2" xfId="27599"/>
    <cellStyle name="Normal 2 8 3 2 3 4" xfId="27600"/>
    <cellStyle name="Normal 2 8 3 2 4" xfId="27601"/>
    <cellStyle name="Normal 2 8 3 2 4 2" xfId="27602"/>
    <cellStyle name="Normal 2 8 3 2 4 2 2" xfId="27603"/>
    <cellStyle name="Normal 2 8 3 2 4 3" xfId="27604"/>
    <cellStyle name="Normal 2 8 3 2 5" xfId="27605"/>
    <cellStyle name="Normal 2 8 3 2 5 2" xfId="27606"/>
    <cellStyle name="Normal 2 8 3 2 6" xfId="27607"/>
    <cellStyle name="Normal 2 8 3 3" xfId="1718"/>
    <cellStyle name="Normal 2 8 3 3 2" xfId="4438"/>
    <cellStyle name="Normal 2 8 3 3 2 2" xfId="27608"/>
    <cellStyle name="Normal 2 8 3 3 2 2 2" xfId="27609"/>
    <cellStyle name="Normal 2 8 3 3 2 2 2 2" xfId="27610"/>
    <cellStyle name="Normal 2 8 3 3 2 2 3" xfId="27611"/>
    <cellStyle name="Normal 2 8 3 3 2 3" xfId="27612"/>
    <cellStyle name="Normal 2 8 3 3 2 3 2" xfId="27613"/>
    <cellStyle name="Normal 2 8 3 3 2 4" xfId="27614"/>
    <cellStyle name="Normal 2 8 3 3 3" xfId="27615"/>
    <cellStyle name="Normal 2 8 3 3 3 2" xfId="27616"/>
    <cellStyle name="Normal 2 8 3 3 3 2 2" xfId="27617"/>
    <cellStyle name="Normal 2 8 3 3 3 3" xfId="27618"/>
    <cellStyle name="Normal 2 8 3 3 4" xfId="27619"/>
    <cellStyle name="Normal 2 8 3 3 4 2" xfId="27620"/>
    <cellStyle name="Normal 2 8 3 3 5" xfId="27621"/>
    <cellStyle name="Normal 2 8 3 4" xfId="3078"/>
    <cellStyle name="Normal 2 8 3 4 2" xfId="27622"/>
    <cellStyle name="Normal 2 8 3 4 2 2" xfId="27623"/>
    <cellStyle name="Normal 2 8 3 4 2 2 2" xfId="27624"/>
    <cellStyle name="Normal 2 8 3 4 2 3" xfId="27625"/>
    <cellStyle name="Normal 2 8 3 4 3" xfId="27626"/>
    <cellStyle name="Normal 2 8 3 4 3 2" xfId="27627"/>
    <cellStyle name="Normal 2 8 3 4 4" xfId="27628"/>
    <cellStyle name="Normal 2 8 3 5" xfId="27629"/>
    <cellStyle name="Normal 2 8 3 5 2" xfId="27630"/>
    <cellStyle name="Normal 2 8 3 5 2 2" xfId="27631"/>
    <cellStyle name="Normal 2 8 3 5 3" xfId="27632"/>
    <cellStyle name="Normal 2 8 3 6" xfId="27633"/>
    <cellStyle name="Normal 2 8 3 6 2" xfId="27634"/>
    <cellStyle name="Normal 2 8 3 7" xfId="27635"/>
    <cellStyle name="Normal 2 8 4" xfId="630"/>
    <cellStyle name="Normal 2 8 4 2" xfId="1310"/>
    <cellStyle name="Normal 2 8 4 2 2" xfId="2670"/>
    <cellStyle name="Normal 2 8 4 2 2 2" xfId="5390"/>
    <cellStyle name="Normal 2 8 4 2 2 2 2" xfId="27636"/>
    <cellStyle name="Normal 2 8 4 2 2 2 2 2" xfId="27637"/>
    <cellStyle name="Normal 2 8 4 2 2 2 2 2 2" xfId="27638"/>
    <cellStyle name="Normal 2 8 4 2 2 2 2 3" xfId="27639"/>
    <cellStyle name="Normal 2 8 4 2 2 2 3" xfId="27640"/>
    <cellStyle name="Normal 2 8 4 2 2 2 3 2" xfId="27641"/>
    <cellStyle name="Normal 2 8 4 2 2 2 4" xfId="27642"/>
    <cellStyle name="Normal 2 8 4 2 2 3" xfId="27643"/>
    <cellStyle name="Normal 2 8 4 2 2 3 2" xfId="27644"/>
    <cellStyle name="Normal 2 8 4 2 2 3 2 2" xfId="27645"/>
    <cellStyle name="Normal 2 8 4 2 2 3 3" xfId="27646"/>
    <cellStyle name="Normal 2 8 4 2 2 4" xfId="27647"/>
    <cellStyle name="Normal 2 8 4 2 2 4 2" xfId="27648"/>
    <cellStyle name="Normal 2 8 4 2 2 5" xfId="27649"/>
    <cellStyle name="Normal 2 8 4 2 3" xfId="4030"/>
    <cellStyle name="Normal 2 8 4 2 3 2" xfId="27650"/>
    <cellStyle name="Normal 2 8 4 2 3 2 2" xfId="27651"/>
    <cellStyle name="Normal 2 8 4 2 3 2 2 2" xfId="27652"/>
    <cellStyle name="Normal 2 8 4 2 3 2 3" xfId="27653"/>
    <cellStyle name="Normal 2 8 4 2 3 3" xfId="27654"/>
    <cellStyle name="Normal 2 8 4 2 3 3 2" xfId="27655"/>
    <cellStyle name="Normal 2 8 4 2 3 4" xfId="27656"/>
    <cellStyle name="Normal 2 8 4 2 4" xfId="27657"/>
    <cellStyle name="Normal 2 8 4 2 4 2" xfId="27658"/>
    <cellStyle name="Normal 2 8 4 2 4 2 2" xfId="27659"/>
    <cellStyle name="Normal 2 8 4 2 4 3" xfId="27660"/>
    <cellStyle name="Normal 2 8 4 2 5" xfId="27661"/>
    <cellStyle name="Normal 2 8 4 2 5 2" xfId="27662"/>
    <cellStyle name="Normal 2 8 4 2 6" xfId="27663"/>
    <cellStyle name="Normal 2 8 4 3" xfId="1990"/>
    <cellStyle name="Normal 2 8 4 3 2" xfId="4710"/>
    <cellStyle name="Normal 2 8 4 3 2 2" xfId="27664"/>
    <cellStyle name="Normal 2 8 4 3 2 2 2" xfId="27665"/>
    <cellStyle name="Normal 2 8 4 3 2 2 2 2" xfId="27666"/>
    <cellStyle name="Normal 2 8 4 3 2 2 3" xfId="27667"/>
    <cellStyle name="Normal 2 8 4 3 2 3" xfId="27668"/>
    <cellStyle name="Normal 2 8 4 3 2 3 2" xfId="27669"/>
    <cellStyle name="Normal 2 8 4 3 2 4" xfId="27670"/>
    <cellStyle name="Normal 2 8 4 3 3" xfId="27671"/>
    <cellStyle name="Normal 2 8 4 3 3 2" xfId="27672"/>
    <cellStyle name="Normal 2 8 4 3 3 2 2" xfId="27673"/>
    <cellStyle name="Normal 2 8 4 3 3 3" xfId="27674"/>
    <cellStyle name="Normal 2 8 4 3 4" xfId="27675"/>
    <cellStyle name="Normal 2 8 4 3 4 2" xfId="27676"/>
    <cellStyle name="Normal 2 8 4 3 5" xfId="27677"/>
    <cellStyle name="Normal 2 8 4 4" xfId="3350"/>
    <cellStyle name="Normal 2 8 4 4 2" xfId="27678"/>
    <cellStyle name="Normal 2 8 4 4 2 2" xfId="27679"/>
    <cellStyle name="Normal 2 8 4 4 2 2 2" xfId="27680"/>
    <cellStyle name="Normal 2 8 4 4 2 3" xfId="27681"/>
    <cellStyle name="Normal 2 8 4 4 3" xfId="27682"/>
    <cellStyle name="Normal 2 8 4 4 3 2" xfId="27683"/>
    <cellStyle name="Normal 2 8 4 4 4" xfId="27684"/>
    <cellStyle name="Normal 2 8 4 5" xfId="27685"/>
    <cellStyle name="Normal 2 8 4 5 2" xfId="27686"/>
    <cellStyle name="Normal 2 8 4 5 2 2" xfId="27687"/>
    <cellStyle name="Normal 2 8 4 5 3" xfId="27688"/>
    <cellStyle name="Normal 2 8 4 6" xfId="27689"/>
    <cellStyle name="Normal 2 8 4 6 2" xfId="27690"/>
    <cellStyle name="Normal 2 8 4 7" xfId="27691"/>
    <cellStyle name="Normal 2 8 5" xfId="766"/>
    <cellStyle name="Normal 2 8 5 2" xfId="2126"/>
    <cellStyle name="Normal 2 8 5 2 2" xfId="4846"/>
    <cellStyle name="Normal 2 8 5 2 2 2" xfId="27692"/>
    <cellStyle name="Normal 2 8 5 2 2 2 2" xfId="27693"/>
    <cellStyle name="Normal 2 8 5 2 2 2 2 2" xfId="27694"/>
    <cellStyle name="Normal 2 8 5 2 2 2 3" xfId="27695"/>
    <cellStyle name="Normal 2 8 5 2 2 3" xfId="27696"/>
    <cellStyle name="Normal 2 8 5 2 2 3 2" xfId="27697"/>
    <cellStyle name="Normal 2 8 5 2 2 4" xfId="27698"/>
    <cellStyle name="Normal 2 8 5 2 3" xfId="27699"/>
    <cellStyle name="Normal 2 8 5 2 3 2" xfId="27700"/>
    <cellStyle name="Normal 2 8 5 2 3 2 2" xfId="27701"/>
    <cellStyle name="Normal 2 8 5 2 3 3" xfId="27702"/>
    <cellStyle name="Normal 2 8 5 2 4" xfId="27703"/>
    <cellStyle name="Normal 2 8 5 2 4 2" xfId="27704"/>
    <cellStyle name="Normal 2 8 5 2 5" xfId="27705"/>
    <cellStyle name="Normal 2 8 5 3" xfId="3486"/>
    <cellStyle name="Normal 2 8 5 3 2" xfId="27706"/>
    <cellStyle name="Normal 2 8 5 3 2 2" xfId="27707"/>
    <cellStyle name="Normal 2 8 5 3 2 2 2" xfId="27708"/>
    <cellStyle name="Normal 2 8 5 3 2 3" xfId="27709"/>
    <cellStyle name="Normal 2 8 5 3 3" xfId="27710"/>
    <cellStyle name="Normal 2 8 5 3 3 2" xfId="27711"/>
    <cellStyle name="Normal 2 8 5 3 4" xfId="27712"/>
    <cellStyle name="Normal 2 8 5 4" xfId="27713"/>
    <cellStyle name="Normal 2 8 5 4 2" xfId="27714"/>
    <cellStyle name="Normal 2 8 5 4 2 2" xfId="27715"/>
    <cellStyle name="Normal 2 8 5 4 3" xfId="27716"/>
    <cellStyle name="Normal 2 8 5 5" xfId="27717"/>
    <cellStyle name="Normal 2 8 5 5 2" xfId="27718"/>
    <cellStyle name="Normal 2 8 5 6" xfId="27719"/>
    <cellStyle name="Normal 2 8 6" xfId="1446"/>
    <cellStyle name="Normal 2 8 6 2" xfId="4166"/>
    <cellStyle name="Normal 2 8 6 2 2" xfId="27720"/>
    <cellStyle name="Normal 2 8 6 2 2 2" xfId="27721"/>
    <cellStyle name="Normal 2 8 6 2 2 2 2" xfId="27722"/>
    <cellStyle name="Normal 2 8 6 2 2 3" xfId="27723"/>
    <cellStyle name="Normal 2 8 6 2 3" xfId="27724"/>
    <cellStyle name="Normal 2 8 6 2 3 2" xfId="27725"/>
    <cellStyle name="Normal 2 8 6 2 4" xfId="27726"/>
    <cellStyle name="Normal 2 8 6 3" xfId="27727"/>
    <cellStyle name="Normal 2 8 6 3 2" xfId="27728"/>
    <cellStyle name="Normal 2 8 6 3 2 2" xfId="27729"/>
    <cellStyle name="Normal 2 8 6 3 3" xfId="27730"/>
    <cellStyle name="Normal 2 8 6 4" xfId="27731"/>
    <cellStyle name="Normal 2 8 6 4 2" xfId="27732"/>
    <cellStyle name="Normal 2 8 6 5" xfId="27733"/>
    <cellStyle name="Normal 2 8 7" xfId="2806"/>
    <cellStyle name="Normal 2 8 7 2" xfId="27734"/>
    <cellStyle name="Normal 2 8 7 2 2" xfId="27735"/>
    <cellStyle name="Normal 2 8 7 2 2 2" xfId="27736"/>
    <cellStyle name="Normal 2 8 7 2 3" xfId="27737"/>
    <cellStyle name="Normal 2 8 7 3" xfId="27738"/>
    <cellStyle name="Normal 2 8 7 3 2" xfId="27739"/>
    <cellStyle name="Normal 2 8 7 4" xfId="27740"/>
    <cellStyle name="Normal 2 8 8" xfId="27741"/>
    <cellStyle name="Normal 2 8 8 2" xfId="27742"/>
    <cellStyle name="Normal 2 8 8 2 2" xfId="27743"/>
    <cellStyle name="Normal 2 8 8 3" xfId="27744"/>
    <cellStyle name="Normal 2 8 9" xfId="27745"/>
    <cellStyle name="Normal 2 8 9 2" xfId="27746"/>
    <cellStyle name="Normal 2 9" xfId="154"/>
    <cellStyle name="Normal 2 9 2" xfId="426"/>
    <cellStyle name="Normal 2 9 2 2" xfId="1106"/>
    <cellStyle name="Normal 2 9 2 2 2" xfId="2466"/>
    <cellStyle name="Normal 2 9 2 2 2 2" xfId="5186"/>
    <cellStyle name="Normal 2 9 2 2 2 2 2" xfId="27747"/>
    <cellStyle name="Normal 2 9 2 2 2 2 2 2" xfId="27748"/>
    <cellStyle name="Normal 2 9 2 2 2 2 2 2 2" xfId="27749"/>
    <cellStyle name="Normal 2 9 2 2 2 2 2 3" xfId="27750"/>
    <cellStyle name="Normal 2 9 2 2 2 2 3" xfId="27751"/>
    <cellStyle name="Normal 2 9 2 2 2 2 3 2" xfId="27752"/>
    <cellStyle name="Normal 2 9 2 2 2 2 4" xfId="27753"/>
    <cellStyle name="Normal 2 9 2 2 2 3" xfId="27754"/>
    <cellStyle name="Normal 2 9 2 2 2 3 2" xfId="27755"/>
    <cellStyle name="Normal 2 9 2 2 2 3 2 2" xfId="27756"/>
    <cellStyle name="Normal 2 9 2 2 2 3 3" xfId="27757"/>
    <cellStyle name="Normal 2 9 2 2 2 4" xfId="27758"/>
    <cellStyle name="Normal 2 9 2 2 2 4 2" xfId="27759"/>
    <cellStyle name="Normal 2 9 2 2 2 5" xfId="27760"/>
    <cellStyle name="Normal 2 9 2 2 3" xfId="3826"/>
    <cellStyle name="Normal 2 9 2 2 3 2" xfId="27761"/>
    <cellStyle name="Normal 2 9 2 2 3 2 2" xfId="27762"/>
    <cellStyle name="Normal 2 9 2 2 3 2 2 2" xfId="27763"/>
    <cellStyle name="Normal 2 9 2 2 3 2 3" xfId="27764"/>
    <cellStyle name="Normal 2 9 2 2 3 3" xfId="27765"/>
    <cellStyle name="Normal 2 9 2 2 3 3 2" xfId="27766"/>
    <cellStyle name="Normal 2 9 2 2 3 4" xfId="27767"/>
    <cellStyle name="Normal 2 9 2 2 4" xfId="27768"/>
    <cellStyle name="Normal 2 9 2 2 4 2" xfId="27769"/>
    <cellStyle name="Normal 2 9 2 2 4 2 2" xfId="27770"/>
    <cellStyle name="Normal 2 9 2 2 4 3" xfId="27771"/>
    <cellStyle name="Normal 2 9 2 2 5" xfId="27772"/>
    <cellStyle name="Normal 2 9 2 2 5 2" xfId="27773"/>
    <cellStyle name="Normal 2 9 2 2 6" xfId="27774"/>
    <cellStyle name="Normal 2 9 2 3" xfId="1786"/>
    <cellStyle name="Normal 2 9 2 3 2" xfId="4506"/>
    <cellStyle name="Normal 2 9 2 3 2 2" xfId="27775"/>
    <cellStyle name="Normal 2 9 2 3 2 2 2" xfId="27776"/>
    <cellStyle name="Normal 2 9 2 3 2 2 2 2" xfId="27777"/>
    <cellStyle name="Normal 2 9 2 3 2 2 3" xfId="27778"/>
    <cellStyle name="Normal 2 9 2 3 2 3" xfId="27779"/>
    <cellStyle name="Normal 2 9 2 3 2 3 2" xfId="27780"/>
    <cellStyle name="Normal 2 9 2 3 2 4" xfId="27781"/>
    <cellStyle name="Normal 2 9 2 3 3" xfId="27782"/>
    <cellStyle name="Normal 2 9 2 3 3 2" xfId="27783"/>
    <cellStyle name="Normal 2 9 2 3 3 2 2" xfId="27784"/>
    <cellStyle name="Normal 2 9 2 3 3 3" xfId="27785"/>
    <cellStyle name="Normal 2 9 2 3 4" xfId="27786"/>
    <cellStyle name="Normal 2 9 2 3 4 2" xfId="27787"/>
    <cellStyle name="Normal 2 9 2 3 5" xfId="27788"/>
    <cellStyle name="Normal 2 9 2 4" xfId="3146"/>
    <cellStyle name="Normal 2 9 2 4 2" xfId="27789"/>
    <cellStyle name="Normal 2 9 2 4 2 2" xfId="27790"/>
    <cellStyle name="Normal 2 9 2 4 2 2 2" xfId="27791"/>
    <cellStyle name="Normal 2 9 2 4 2 3" xfId="27792"/>
    <cellStyle name="Normal 2 9 2 4 3" xfId="27793"/>
    <cellStyle name="Normal 2 9 2 4 3 2" xfId="27794"/>
    <cellStyle name="Normal 2 9 2 4 4" xfId="27795"/>
    <cellStyle name="Normal 2 9 2 5" xfId="27796"/>
    <cellStyle name="Normal 2 9 2 5 2" xfId="27797"/>
    <cellStyle name="Normal 2 9 2 5 2 2" xfId="27798"/>
    <cellStyle name="Normal 2 9 2 5 3" xfId="27799"/>
    <cellStyle name="Normal 2 9 2 6" xfId="27800"/>
    <cellStyle name="Normal 2 9 2 6 2" xfId="27801"/>
    <cellStyle name="Normal 2 9 2 7" xfId="27802"/>
    <cellStyle name="Normal 2 9 3" xfId="834"/>
    <cellStyle name="Normal 2 9 3 2" xfId="2194"/>
    <cellStyle name="Normal 2 9 3 2 2" xfId="4914"/>
    <cellStyle name="Normal 2 9 3 2 2 2" xfId="27803"/>
    <cellStyle name="Normal 2 9 3 2 2 2 2" xfId="27804"/>
    <cellStyle name="Normal 2 9 3 2 2 2 2 2" xfId="27805"/>
    <cellStyle name="Normal 2 9 3 2 2 2 3" xfId="27806"/>
    <cellStyle name="Normal 2 9 3 2 2 3" xfId="27807"/>
    <cellStyle name="Normal 2 9 3 2 2 3 2" xfId="27808"/>
    <cellStyle name="Normal 2 9 3 2 2 4" xfId="27809"/>
    <cellStyle name="Normal 2 9 3 2 3" xfId="27810"/>
    <cellStyle name="Normal 2 9 3 2 3 2" xfId="27811"/>
    <cellStyle name="Normal 2 9 3 2 3 2 2" xfId="27812"/>
    <cellStyle name="Normal 2 9 3 2 3 3" xfId="27813"/>
    <cellStyle name="Normal 2 9 3 2 4" xfId="27814"/>
    <cellStyle name="Normal 2 9 3 2 4 2" xfId="27815"/>
    <cellStyle name="Normal 2 9 3 2 5" xfId="27816"/>
    <cellStyle name="Normal 2 9 3 3" xfId="3554"/>
    <cellStyle name="Normal 2 9 3 3 2" xfId="27817"/>
    <cellStyle name="Normal 2 9 3 3 2 2" xfId="27818"/>
    <cellStyle name="Normal 2 9 3 3 2 2 2" xfId="27819"/>
    <cellStyle name="Normal 2 9 3 3 2 3" xfId="27820"/>
    <cellStyle name="Normal 2 9 3 3 3" xfId="27821"/>
    <cellStyle name="Normal 2 9 3 3 3 2" xfId="27822"/>
    <cellStyle name="Normal 2 9 3 3 4" xfId="27823"/>
    <cellStyle name="Normal 2 9 3 4" xfId="27824"/>
    <cellStyle name="Normal 2 9 3 4 2" xfId="27825"/>
    <cellStyle name="Normal 2 9 3 4 2 2" xfId="27826"/>
    <cellStyle name="Normal 2 9 3 4 3" xfId="27827"/>
    <cellStyle name="Normal 2 9 3 5" xfId="27828"/>
    <cellStyle name="Normal 2 9 3 5 2" xfId="27829"/>
    <cellStyle name="Normal 2 9 3 6" xfId="27830"/>
    <cellStyle name="Normal 2 9 4" xfId="1514"/>
    <cellStyle name="Normal 2 9 4 2" xfId="4234"/>
    <cellStyle name="Normal 2 9 4 2 2" xfId="27831"/>
    <cellStyle name="Normal 2 9 4 2 2 2" xfId="27832"/>
    <cellStyle name="Normal 2 9 4 2 2 2 2" xfId="27833"/>
    <cellStyle name="Normal 2 9 4 2 2 3" xfId="27834"/>
    <cellStyle name="Normal 2 9 4 2 3" xfId="27835"/>
    <cellStyle name="Normal 2 9 4 2 3 2" xfId="27836"/>
    <cellStyle name="Normal 2 9 4 2 4" xfId="27837"/>
    <cellStyle name="Normal 2 9 4 3" xfId="27838"/>
    <cellStyle name="Normal 2 9 4 3 2" xfId="27839"/>
    <cellStyle name="Normal 2 9 4 3 2 2" xfId="27840"/>
    <cellStyle name="Normal 2 9 4 3 3" xfId="27841"/>
    <cellStyle name="Normal 2 9 4 4" xfId="27842"/>
    <cellStyle name="Normal 2 9 4 4 2" xfId="27843"/>
    <cellStyle name="Normal 2 9 4 5" xfId="27844"/>
    <cellStyle name="Normal 2 9 5" xfId="2874"/>
    <cellStyle name="Normal 2 9 5 2" xfId="27845"/>
    <cellStyle name="Normal 2 9 5 2 2" xfId="27846"/>
    <cellStyle name="Normal 2 9 5 2 2 2" xfId="27847"/>
    <cellStyle name="Normal 2 9 5 2 3" xfId="27848"/>
    <cellStyle name="Normal 2 9 5 3" xfId="27849"/>
    <cellStyle name="Normal 2 9 5 3 2" xfId="27850"/>
    <cellStyle name="Normal 2 9 5 4" xfId="27851"/>
    <cellStyle name="Normal 2 9 6" xfId="27852"/>
    <cellStyle name="Normal 2 9 6 2" xfId="27853"/>
    <cellStyle name="Normal 2 9 6 2 2" xfId="27854"/>
    <cellStyle name="Normal 2 9 6 3" xfId="27855"/>
    <cellStyle name="Normal 2 9 7" xfId="27856"/>
    <cellStyle name="Normal 2 9 7 2" xfId="27857"/>
    <cellStyle name="Normal 2 9 8" xfId="27858"/>
    <cellStyle name="Normal 2_SCAP_PT_Test_Matrix_December_14_2010" xfId="8"/>
    <cellStyle name="Normal 3" xfId="9"/>
    <cellStyle name="Normal 4" xfId="10"/>
    <cellStyle name="Normal 4 10" xfId="564"/>
    <cellStyle name="Normal 4 10 2" xfId="1244"/>
    <cellStyle name="Normal 4 10 2 2" xfId="2604"/>
    <cellStyle name="Normal 4 10 2 2 2" xfId="5324"/>
    <cellStyle name="Normal 4 10 2 2 2 2" xfId="27859"/>
    <cellStyle name="Normal 4 10 2 2 2 2 2" xfId="27860"/>
    <cellStyle name="Normal 4 10 2 2 2 2 2 2" xfId="27861"/>
    <cellStyle name="Normal 4 10 2 2 2 2 3" xfId="27862"/>
    <cellStyle name="Normal 4 10 2 2 2 3" xfId="27863"/>
    <cellStyle name="Normal 4 10 2 2 2 3 2" xfId="27864"/>
    <cellStyle name="Normal 4 10 2 2 2 4" xfId="27865"/>
    <cellStyle name="Normal 4 10 2 2 3" xfId="27866"/>
    <cellStyle name="Normal 4 10 2 2 3 2" xfId="27867"/>
    <cellStyle name="Normal 4 10 2 2 3 2 2" xfId="27868"/>
    <cellStyle name="Normal 4 10 2 2 3 3" xfId="27869"/>
    <cellStyle name="Normal 4 10 2 2 4" xfId="27870"/>
    <cellStyle name="Normal 4 10 2 2 4 2" xfId="27871"/>
    <cellStyle name="Normal 4 10 2 2 5" xfId="27872"/>
    <cellStyle name="Normal 4 10 2 3" xfId="3964"/>
    <cellStyle name="Normal 4 10 2 3 2" xfId="27873"/>
    <cellStyle name="Normal 4 10 2 3 2 2" xfId="27874"/>
    <cellStyle name="Normal 4 10 2 3 2 2 2" xfId="27875"/>
    <cellStyle name="Normal 4 10 2 3 2 3" xfId="27876"/>
    <cellStyle name="Normal 4 10 2 3 3" xfId="27877"/>
    <cellStyle name="Normal 4 10 2 3 3 2" xfId="27878"/>
    <cellStyle name="Normal 4 10 2 3 4" xfId="27879"/>
    <cellStyle name="Normal 4 10 2 4" xfId="27880"/>
    <cellStyle name="Normal 4 10 2 4 2" xfId="27881"/>
    <cellStyle name="Normal 4 10 2 4 2 2" xfId="27882"/>
    <cellStyle name="Normal 4 10 2 4 3" xfId="27883"/>
    <cellStyle name="Normal 4 10 2 5" xfId="27884"/>
    <cellStyle name="Normal 4 10 2 5 2" xfId="27885"/>
    <cellStyle name="Normal 4 10 2 6" xfId="27886"/>
    <cellStyle name="Normal 4 10 3" xfId="1924"/>
    <cellStyle name="Normal 4 10 3 2" xfId="4644"/>
    <cellStyle name="Normal 4 10 3 2 2" xfId="27887"/>
    <cellStyle name="Normal 4 10 3 2 2 2" xfId="27888"/>
    <cellStyle name="Normal 4 10 3 2 2 2 2" xfId="27889"/>
    <cellStyle name="Normal 4 10 3 2 2 3" xfId="27890"/>
    <cellStyle name="Normal 4 10 3 2 3" xfId="27891"/>
    <cellStyle name="Normal 4 10 3 2 3 2" xfId="27892"/>
    <cellStyle name="Normal 4 10 3 2 4" xfId="27893"/>
    <cellStyle name="Normal 4 10 3 3" xfId="27894"/>
    <cellStyle name="Normal 4 10 3 3 2" xfId="27895"/>
    <cellStyle name="Normal 4 10 3 3 2 2" xfId="27896"/>
    <cellStyle name="Normal 4 10 3 3 3" xfId="27897"/>
    <cellStyle name="Normal 4 10 3 4" xfId="27898"/>
    <cellStyle name="Normal 4 10 3 4 2" xfId="27899"/>
    <cellStyle name="Normal 4 10 3 5" xfId="27900"/>
    <cellStyle name="Normal 4 10 4" xfId="3284"/>
    <cellStyle name="Normal 4 10 4 2" xfId="27901"/>
    <cellStyle name="Normal 4 10 4 2 2" xfId="27902"/>
    <cellStyle name="Normal 4 10 4 2 2 2" xfId="27903"/>
    <cellStyle name="Normal 4 10 4 2 3" xfId="27904"/>
    <cellStyle name="Normal 4 10 4 3" xfId="27905"/>
    <cellStyle name="Normal 4 10 4 3 2" xfId="27906"/>
    <cellStyle name="Normal 4 10 4 4" xfId="27907"/>
    <cellStyle name="Normal 4 10 5" xfId="27908"/>
    <cellStyle name="Normal 4 10 5 2" xfId="27909"/>
    <cellStyle name="Normal 4 10 5 2 2" xfId="27910"/>
    <cellStyle name="Normal 4 10 5 3" xfId="27911"/>
    <cellStyle name="Normal 4 10 6" xfId="27912"/>
    <cellStyle name="Normal 4 10 6 2" xfId="27913"/>
    <cellStyle name="Normal 4 10 7" xfId="27914"/>
    <cellStyle name="Normal 4 11" xfId="700"/>
    <cellStyle name="Normal 4 11 2" xfId="2060"/>
    <cellStyle name="Normal 4 11 2 2" xfId="4780"/>
    <cellStyle name="Normal 4 11 2 2 2" xfId="27915"/>
    <cellStyle name="Normal 4 11 2 2 2 2" xfId="27916"/>
    <cellStyle name="Normal 4 11 2 2 2 2 2" xfId="27917"/>
    <cellStyle name="Normal 4 11 2 2 2 3" xfId="27918"/>
    <cellStyle name="Normal 4 11 2 2 3" xfId="27919"/>
    <cellStyle name="Normal 4 11 2 2 3 2" xfId="27920"/>
    <cellStyle name="Normal 4 11 2 2 4" xfId="27921"/>
    <cellStyle name="Normal 4 11 2 3" xfId="27922"/>
    <cellStyle name="Normal 4 11 2 3 2" xfId="27923"/>
    <cellStyle name="Normal 4 11 2 3 2 2" xfId="27924"/>
    <cellStyle name="Normal 4 11 2 3 3" xfId="27925"/>
    <cellStyle name="Normal 4 11 2 4" xfId="27926"/>
    <cellStyle name="Normal 4 11 2 4 2" xfId="27927"/>
    <cellStyle name="Normal 4 11 2 5" xfId="27928"/>
    <cellStyle name="Normal 4 11 3" xfId="3420"/>
    <cellStyle name="Normal 4 11 3 2" xfId="27929"/>
    <cellStyle name="Normal 4 11 3 2 2" xfId="27930"/>
    <cellStyle name="Normal 4 11 3 2 2 2" xfId="27931"/>
    <cellStyle name="Normal 4 11 3 2 3" xfId="27932"/>
    <cellStyle name="Normal 4 11 3 3" xfId="27933"/>
    <cellStyle name="Normal 4 11 3 3 2" xfId="27934"/>
    <cellStyle name="Normal 4 11 3 4" xfId="27935"/>
    <cellStyle name="Normal 4 11 4" xfId="27936"/>
    <cellStyle name="Normal 4 11 4 2" xfId="27937"/>
    <cellStyle name="Normal 4 11 4 2 2" xfId="27938"/>
    <cellStyle name="Normal 4 11 4 3" xfId="27939"/>
    <cellStyle name="Normal 4 11 5" xfId="27940"/>
    <cellStyle name="Normal 4 11 5 2" xfId="27941"/>
    <cellStyle name="Normal 4 11 6" xfId="27942"/>
    <cellStyle name="Normal 4 12" xfId="1380"/>
    <cellStyle name="Normal 4 12 2" xfId="4100"/>
    <cellStyle name="Normal 4 12 2 2" xfId="27943"/>
    <cellStyle name="Normal 4 12 2 2 2" xfId="27944"/>
    <cellStyle name="Normal 4 12 2 2 2 2" xfId="27945"/>
    <cellStyle name="Normal 4 12 2 2 3" xfId="27946"/>
    <cellStyle name="Normal 4 12 2 3" xfId="27947"/>
    <cellStyle name="Normal 4 12 2 3 2" xfId="27948"/>
    <cellStyle name="Normal 4 12 2 4" xfId="27949"/>
    <cellStyle name="Normal 4 12 3" xfId="27950"/>
    <cellStyle name="Normal 4 12 3 2" xfId="27951"/>
    <cellStyle name="Normal 4 12 3 2 2" xfId="27952"/>
    <cellStyle name="Normal 4 12 3 3" xfId="27953"/>
    <cellStyle name="Normal 4 12 4" xfId="27954"/>
    <cellStyle name="Normal 4 12 4 2" xfId="27955"/>
    <cellStyle name="Normal 4 12 5" xfId="27956"/>
    <cellStyle name="Normal 4 13" xfId="2740"/>
    <cellStyle name="Normal 4 13 2" xfId="27957"/>
    <cellStyle name="Normal 4 13 2 2" xfId="27958"/>
    <cellStyle name="Normal 4 13 2 2 2" xfId="27959"/>
    <cellStyle name="Normal 4 13 2 3" xfId="27960"/>
    <cellStyle name="Normal 4 13 3" xfId="27961"/>
    <cellStyle name="Normal 4 13 3 2" xfId="27962"/>
    <cellStyle name="Normal 4 13 4" xfId="27963"/>
    <cellStyle name="Normal 4 14" xfId="27964"/>
    <cellStyle name="Normal 4 14 2" xfId="27965"/>
    <cellStyle name="Normal 4 14 2 2" xfId="27966"/>
    <cellStyle name="Normal 4 14 3" xfId="27967"/>
    <cellStyle name="Normal 4 15" xfId="27968"/>
    <cellStyle name="Normal 4 15 2" xfId="27969"/>
    <cellStyle name="Normal 4 16" xfId="27970"/>
    <cellStyle name="Normal 4 2" xfId="22"/>
    <cellStyle name="Normal 4 2 10" xfId="1387"/>
    <cellStyle name="Normal 4 2 10 2" xfId="4107"/>
    <cellStyle name="Normal 4 2 10 2 2" xfId="27971"/>
    <cellStyle name="Normal 4 2 10 2 2 2" xfId="27972"/>
    <cellStyle name="Normal 4 2 10 2 2 2 2" xfId="27973"/>
    <cellStyle name="Normal 4 2 10 2 2 3" xfId="27974"/>
    <cellStyle name="Normal 4 2 10 2 3" xfId="27975"/>
    <cellStyle name="Normal 4 2 10 2 3 2" xfId="27976"/>
    <cellStyle name="Normal 4 2 10 2 4" xfId="27977"/>
    <cellStyle name="Normal 4 2 10 3" xfId="27978"/>
    <cellStyle name="Normal 4 2 10 3 2" xfId="27979"/>
    <cellStyle name="Normal 4 2 10 3 2 2" xfId="27980"/>
    <cellStyle name="Normal 4 2 10 3 3" xfId="27981"/>
    <cellStyle name="Normal 4 2 10 4" xfId="27982"/>
    <cellStyle name="Normal 4 2 10 4 2" xfId="27983"/>
    <cellStyle name="Normal 4 2 10 5" xfId="27984"/>
    <cellStyle name="Normal 4 2 11" xfId="2747"/>
    <cellStyle name="Normal 4 2 11 2" xfId="27985"/>
    <cellStyle name="Normal 4 2 11 2 2" xfId="27986"/>
    <cellStyle name="Normal 4 2 11 2 2 2" xfId="27987"/>
    <cellStyle name="Normal 4 2 11 2 3" xfId="27988"/>
    <cellStyle name="Normal 4 2 11 3" xfId="27989"/>
    <cellStyle name="Normal 4 2 11 3 2" xfId="27990"/>
    <cellStyle name="Normal 4 2 11 4" xfId="27991"/>
    <cellStyle name="Normal 4 2 12" xfId="27992"/>
    <cellStyle name="Normal 4 2 12 2" xfId="27993"/>
    <cellStyle name="Normal 4 2 12 2 2" xfId="27994"/>
    <cellStyle name="Normal 4 2 12 3" xfId="27995"/>
    <cellStyle name="Normal 4 2 13" xfId="27996"/>
    <cellStyle name="Normal 4 2 13 2" xfId="27997"/>
    <cellStyle name="Normal 4 2 14" xfId="27998"/>
    <cellStyle name="Normal 4 2 2" xfId="30"/>
    <cellStyle name="Normal 4 2 2 10" xfId="2754"/>
    <cellStyle name="Normal 4 2 2 10 2" xfId="27999"/>
    <cellStyle name="Normal 4 2 2 10 2 2" xfId="28000"/>
    <cellStyle name="Normal 4 2 2 10 2 2 2" xfId="28001"/>
    <cellStyle name="Normal 4 2 2 10 2 3" xfId="28002"/>
    <cellStyle name="Normal 4 2 2 10 3" xfId="28003"/>
    <cellStyle name="Normal 4 2 2 10 3 2" xfId="28004"/>
    <cellStyle name="Normal 4 2 2 10 4" xfId="28005"/>
    <cellStyle name="Normal 4 2 2 11" xfId="28006"/>
    <cellStyle name="Normal 4 2 2 11 2" xfId="28007"/>
    <cellStyle name="Normal 4 2 2 11 2 2" xfId="28008"/>
    <cellStyle name="Normal 4 2 2 11 3" xfId="28009"/>
    <cellStyle name="Normal 4 2 2 12" xfId="28010"/>
    <cellStyle name="Normal 4 2 2 12 2" xfId="28011"/>
    <cellStyle name="Normal 4 2 2 13" xfId="28012"/>
    <cellStyle name="Normal 4 2 2 2" xfId="49"/>
    <cellStyle name="Normal 4 2 2 2 10" xfId="28013"/>
    <cellStyle name="Normal 4 2 2 2 10 2" xfId="28014"/>
    <cellStyle name="Normal 4 2 2 2 10 2 2" xfId="28015"/>
    <cellStyle name="Normal 4 2 2 2 10 3" xfId="28016"/>
    <cellStyle name="Normal 4 2 2 2 11" xfId="28017"/>
    <cellStyle name="Normal 4 2 2 2 11 2" xfId="28018"/>
    <cellStyle name="Normal 4 2 2 2 12" xfId="28019"/>
    <cellStyle name="Normal 4 2 2 2 2" xfId="84"/>
    <cellStyle name="Normal 4 2 2 2 2 10" xfId="28020"/>
    <cellStyle name="Normal 4 2 2 2 2 10 2" xfId="28021"/>
    <cellStyle name="Normal 4 2 2 2 2 11" xfId="28022"/>
    <cellStyle name="Normal 4 2 2 2 2 2" xfId="152"/>
    <cellStyle name="Normal 4 2 2 2 2 2 10" xfId="28023"/>
    <cellStyle name="Normal 4 2 2 2 2 2 2" xfId="289"/>
    <cellStyle name="Normal 4 2 2 2 2 2 2 2" xfId="561"/>
    <cellStyle name="Normal 4 2 2 2 2 2 2 2 2" xfId="1241"/>
    <cellStyle name="Normal 4 2 2 2 2 2 2 2 2 2" xfId="2601"/>
    <cellStyle name="Normal 4 2 2 2 2 2 2 2 2 2 2" xfId="5321"/>
    <cellStyle name="Normal 4 2 2 2 2 2 2 2 2 2 2 2" xfId="28024"/>
    <cellStyle name="Normal 4 2 2 2 2 2 2 2 2 2 2 2 2" xfId="28025"/>
    <cellStyle name="Normal 4 2 2 2 2 2 2 2 2 2 2 2 2 2" xfId="28026"/>
    <cellStyle name="Normal 4 2 2 2 2 2 2 2 2 2 2 2 3" xfId="28027"/>
    <cellStyle name="Normal 4 2 2 2 2 2 2 2 2 2 2 3" xfId="28028"/>
    <cellStyle name="Normal 4 2 2 2 2 2 2 2 2 2 2 3 2" xfId="28029"/>
    <cellStyle name="Normal 4 2 2 2 2 2 2 2 2 2 2 4" xfId="28030"/>
    <cellStyle name="Normal 4 2 2 2 2 2 2 2 2 2 3" xfId="28031"/>
    <cellStyle name="Normal 4 2 2 2 2 2 2 2 2 2 3 2" xfId="28032"/>
    <cellStyle name="Normal 4 2 2 2 2 2 2 2 2 2 3 2 2" xfId="28033"/>
    <cellStyle name="Normal 4 2 2 2 2 2 2 2 2 2 3 3" xfId="28034"/>
    <cellStyle name="Normal 4 2 2 2 2 2 2 2 2 2 4" xfId="28035"/>
    <cellStyle name="Normal 4 2 2 2 2 2 2 2 2 2 4 2" xfId="28036"/>
    <cellStyle name="Normal 4 2 2 2 2 2 2 2 2 2 5" xfId="28037"/>
    <cellStyle name="Normal 4 2 2 2 2 2 2 2 2 3" xfId="3961"/>
    <cellStyle name="Normal 4 2 2 2 2 2 2 2 2 3 2" xfId="28038"/>
    <cellStyle name="Normal 4 2 2 2 2 2 2 2 2 3 2 2" xfId="28039"/>
    <cellStyle name="Normal 4 2 2 2 2 2 2 2 2 3 2 2 2" xfId="28040"/>
    <cellStyle name="Normal 4 2 2 2 2 2 2 2 2 3 2 3" xfId="28041"/>
    <cellStyle name="Normal 4 2 2 2 2 2 2 2 2 3 3" xfId="28042"/>
    <cellStyle name="Normal 4 2 2 2 2 2 2 2 2 3 3 2" xfId="28043"/>
    <cellStyle name="Normal 4 2 2 2 2 2 2 2 2 3 4" xfId="28044"/>
    <cellStyle name="Normal 4 2 2 2 2 2 2 2 2 4" xfId="28045"/>
    <cellStyle name="Normal 4 2 2 2 2 2 2 2 2 4 2" xfId="28046"/>
    <cellStyle name="Normal 4 2 2 2 2 2 2 2 2 4 2 2" xfId="28047"/>
    <cellStyle name="Normal 4 2 2 2 2 2 2 2 2 4 3" xfId="28048"/>
    <cellStyle name="Normal 4 2 2 2 2 2 2 2 2 5" xfId="28049"/>
    <cellStyle name="Normal 4 2 2 2 2 2 2 2 2 5 2" xfId="28050"/>
    <cellStyle name="Normal 4 2 2 2 2 2 2 2 2 6" xfId="28051"/>
    <cellStyle name="Normal 4 2 2 2 2 2 2 2 3" xfId="1921"/>
    <cellStyle name="Normal 4 2 2 2 2 2 2 2 3 2" xfId="4641"/>
    <cellStyle name="Normal 4 2 2 2 2 2 2 2 3 2 2" xfId="28052"/>
    <cellStyle name="Normal 4 2 2 2 2 2 2 2 3 2 2 2" xfId="28053"/>
    <cellStyle name="Normal 4 2 2 2 2 2 2 2 3 2 2 2 2" xfId="28054"/>
    <cellStyle name="Normal 4 2 2 2 2 2 2 2 3 2 2 3" xfId="28055"/>
    <cellStyle name="Normal 4 2 2 2 2 2 2 2 3 2 3" xfId="28056"/>
    <cellStyle name="Normal 4 2 2 2 2 2 2 2 3 2 3 2" xfId="28057"/>
    <cellStyle name="Normal 4 2 2 2 2 2 2 2 3 2 4" xfId="28058"/>
    <cellStyle name="Normal 4 2 2 2 2 2 2 2 3 3" xfId="28059"/>
    <cellStyle name="Normal 4 2 2 2 2 2 2 2 3 3 2" xfId="28060"/>
    <cellStyle name="Normal 4 2 2 2 2 2 2 2 3 3 2 2" xfId="28061"/>
    <cellStyle name="Normal 4 2 2 2 2 2 2 2 3 3 3" xfId="28062"/>
    <cellStyle name="Normal 4 2 2 2 2 2 2 2 3 4" xfId="28063"/>
    <cellStyle name="Normal 4 2 2 2 2 2 2 2 3 4 2" xfId="28064"/>
    <cellStyle name="Normal 4 2 2 2 2 2 2 2 3 5" xfId="28065"/>
    <cellStyle name="Normal 4 2 2 2 2 2 2 2 4" xfId="3281"/>
    <cellStyle name="Normal 4 2 2 2 2 2 2 2 4 2" xfId="28066"/>
    <cellStyle name="Normal 4 2 2 2 2 2 2 2 4 2 2" xfId="28067"/>
    <cellStyle name="Normal 4 2 2 2 2 2 2 2 4 2 2 2" xfId="28068"/>
    <cellStyle name="Normal 4 2 2 2 2 2 2 2 4 2 3" xfId="28069"/>
    <cellStyle name="Normal 4 2 2 2 2 2 2 2 4 3" xfId="28070"/>
    <cellStyle name="Normal 4 2 2 2 2 2 2 2 4 3 2" xfId="28071"/>
    <cellStyle name="Normal 4 2 2 2 2 2 2 2 4 4" xfId="28072"/>
    <cellStyle name="Normal 4 2 2 2 2 2 2 2 5" xfId="28073"/>
    <cellStyle name="Normal 4 2 2 2 2 2 2 2 5 2" xfId="28074"/>
    <cellStyle name="Normal 4 2 2 2 2 2 2 2 5 2 2" xfId="28075"/>
    <cellStyle name="Normal 4 2 2 2 2 2 2 2 5 3" xfId="28076"/>
    <cellStyle name="Normal 4 2 2 2 2 2 2 2 6" xfId="28077"/>
    <cellStyle name="Normal 4 2 2 2 2 2 2 2 6 2" xfId="28078"/>
    <cellStyle name="Normal 4 2 2 2 2 2 2 2 7" xfId="28079"/>
    <cellStyle name="Normal 4 2 2 2 2 2 2 3" xfId="969"/>
    <cellStyle name="Normal 4 2 2 2 2 2 2 3 2" xfId="2329"/>
    <cellStyle name="Normal 4 2 2 2 2 2 2 3 2 2" xfId="5049"/>
    <cellStyle name="Normal 4 2 2 2 2 2 2 3 2 2 2" xfId="28080"/>
    <cellStyle name="Normal 4 2 2 2 2 2 2 3 2 2 2 2" xfId="28081"/>
    <cellStyle name="Normal 4 2 2 2 2 2 2 3 2 2 2 2 2" xfId="28082"/>
    <cellStyle name="Normal 4 2 2 2 2 2 2 3 2 2 2 3" xfId="28083"/>
    <cellStyle name="Normal 4 2 2 2 2 2 2 3 2 2 3" xfId="28084"/>
    <cellStyle name="Normal 4 2 2 2 2 2 2 3 2 2 3 2" xfId="28085"/>
    <cellStyle name="Normal 4 2 2 2 2 2 2 3 2 2 4" xfId="28086"/>
    <cellStyle name="Normal 4 2 2 2 2 2 2 3 2 3" xfId="28087"/>
    <cellStyle name="Normal 4 2 2 2 2 2 2 3 2 3 2" xfId="28088"/>
    <cellStyle name="Normal 4 2 2 2 2 2 2 3 2 3 2 2" xfId="28089"/>
    <cellStyle name="Normal 4 2 2 2 2 2 2 3 2 3 3" xfId="28090"/>
    <cellStyle name="Normal 4 2 2 2 2 2 2 3 2 4" xfId="28091"/>
    <cellStyle name="Normal 4 2 2 2 2 2 2 3 2 4 2" xfId="28092"/>
    <cellStyle name="Normal 4 2 2 2 2 2 2 3 2 5" xfId="28093"/>
    <cellStyle name="Normal 4 2 2 2 2 2 2 3 3" xfId="3689"/>
    <cellStyle name="Normal 4 2 2 2 2 2 2 3 3 2" xfId="28094"/>
    <cellStyle name="Normal 4 2 2 2 2 2 2 3 3 2 2" xfId="28095"/>
    <cellStyle name="Normal 4 2 2 2 2 2 2 3 3 2 2 2" xfId="28096"/>
    <cellStyle name="Normal 4 2 2 2 2 2 2 3 3 2 3" xfId="28097"/>
    <cellStyle name="Normal 4 2 2 2 2 2 2 3 3 3" xfId="28098"/>
    <cellStyle name="Normal 4 2 2 2 2 2 2 3 3 3 2" xfId="28099"/>
    <cellStyle name="Normal 4 2 2 2 2 2 2 3 3 4" xfId="28100"/>
    <cellStyle name="Normal 4 2 2 2 2 2 2 3 4" xfId="28101"/>
    <cellStyle name="Normal 4 2 2 2 2 2 2 3 4 2" xfId="28102"/>
    <cellStyle name="Normal 4 2 2 2 2 2 2 3 4 2 2" xfId="28103"/>
    <cellStyle name="Normal 4 2 2 2 2 2 2 3 4 3" xfId="28104"/>
    <cellStyle name="Normal 4 2 2 2 2 2 2 3 5" xfId="28105"/>
    <cellStyle name="Normal 4 2 2 2 2 2 2 3 5 2" xfId="28106"/>
    <cellStyle name="Normal 4 2 2 2 2 2 2 3 6" xfId="28107"/>
    <cellStyle name="Normal 4 2 2 2 2 2 2 4" xfId="1649"/>
    <cellStyle name="Normal 4 2 2 2 2 2 2 4 2" xfId="4369"/>
    <cellStyle name="Normal 4 2 2 2 2 2 2 4 2 2" xfId="28108"/>
    <cellStyle name="Normal 4 2 2 2 2 2 2 4 2 2 2" xfId="28109"/>
    <cellStyle name="Normal 4 2 2 2 2 2 2 4 2 2 2 2" xfId="28110"/>
    <cellStyle name="Normal 4 2 2 2 2 2 2 4 2 2 3" xfId="28111"/>
    <cellStyle name="Normal 4 2 2 2 2 2 2 4 2 3" xfId="28112"/>
    <cellStyle name="Normal 4 2 2 2 2 2 2 4 2 3 2" xfId="28113"/>
    <cellStyle name="Normal 4 2 2 2 2 2 2 4 2 4" xfId="28114"/>
    <cellStyle name="Normal 4 2 2 2 2 2 2 4 3" xfId="28115"/>
    <cellStyle name="Normal 4 2 2 2 2 2 2 4 3 2" xfId="28116"/>
    <cellStyle name="Normal 4 2 2 2 2 2 2 4 3 2 2" xfId="28117"/>
    <cellStyle name="Normal 4 2 2 2 2 2 2 4 3 3" xfId="28118"/>
    <cellStyle name="Normal 4 2 2 2 2 2 2 4 4" xfId="28119"/>
    <cellStyle name="Normal 4 2 2 2 2 2 2 4 4 2" xfId="28120"/>
    <cellStyle name="Normal 4 2 2 2 2 2 2 4 5" xfId="28121"/>
    <cellStyle name="Normal 4 2 2 2 2 2 2 5" xfId="3009"/>
    <cellStyle name="Normal 4 2 2 2 2 2 2 5 2" xfId="28122"/>
    <cellStyle name="Normal 4 2 2 2 2 2 2 5 2 2" xfId="28123"/>
    <cellStyle name="Normal 4 2 2 2 2 2 2 5 2 2 2" xfId="28124"/>
    <cellStyle name="Normal 4 2 2 2 2 2 2 5 2 3" xfId="28125"/>
    <cellStyle name="Normal 4 2 2 2 2 2 2 5 3" xfId="28126"/>
    <cellStyle name="Normal 4 2 2 2 2 2 2 5 3 2" xfId="28127"/>
    <cellStyle name="Normal 4 2 2 2 2 2 2 5 4" xfId="28128"/>
    <cellStyle name="Normal 4 2 2 2 2 2 2 6" xfId="28129"/>
    <cellStyle name="Normal 4 2 2 2 2 2 2 6 2" xfId="28130"/>
    <cellStyle name="Normal 4 2 2 2 2 2 2 6 2 2" xfId="28131"/>
    <cellStyle name="Normal 4 2 2 2 2 2 2 6 3" xfId="28132"/>
    <cellStyle name="Normal 4 2 2 2 2 2 2 7" xfId="28133"/>
    <cellStyle name="Normal 4 2 2 2 2 2 2 7 2" xfId="28134"/>
    <cellStyle name="Normal 4 2 2 2 2 2 2 8" xfId="28135"/>
    <cellStyle name="Normal 4 2 2 2 2 2 3" xfId="425"/>
    <cellStyle name="Normal 4 2 2 2 2 2 3 2" xfId="1105"/>
    <cellStyle name="Normal 4 2 2 2 2 2 3 2 2" xfId="2465"/>
    <cellStyle name="Normal 4 2 2 2 2 2 3 2 2 2" xfId="5185"/>
    <cellStyle name="Normal 4 2 2 2 2 2 3 2 2 2 2" xfId="28136"/>
    <cellStyle name="Normal 4 2 2 2 2 2 3 2 2 2 2 2" xfId="28137"/>
    <cellStyle name="Normal 4 2 2 2 2 2 3 2 2 2 2 2 2" xfId="28138"/>
    <cellStyle name="Normal 4 2 2 2 2 2 3 2 2 2 2 3" xfId="28139"/>
    <cellStyle name="Normal 4 2 2 2 2 2 3 2 2 2 3" xfId="28140"/>
    <cellStyle name="Normal 4 2 2 2 2 2 3 2 2 2 3 2" xfId="28141"/>
    <cellStyle name="Normal 4 2 2 2 2 2 3 2 2 2 4" xfId="28142"/>
    <cellStyle name="Normal 4 2 2 2 2 2 3 2 2 3" xfId="28143"/>
    <cellStyle name="Normal 4 2 2 2 2 2 3 2 2 3 2" xfId="28144"/>
    <cellStyle name="Normal 4 2 2 2 2 2 3 2 2 3 2 2" xfId="28145"/>
    <cellStyle name="Normal 4 2 2 2 2 2 3 2 2 3 3" xfId="28146"/>
    <cellStyle name="Normal 4 2 2 2 2 2 3 2 2 4" xfId="28147"/>
    <cellStyle name="Normal 4 2 2 2 2 2 3 2 2 4 2" xfId="28148"/>
    <cellStyle name="Normal 4 2 2 2 2 2 3 2 2 5" xfId="28149"/>
    <cellStyle name="Normal 4 2 2 2 2 2 3 2 3" xfId="3825"/>
    <cellStyle name="Normal 4 2 2 2 2 2 3 2 3 2" xfId="28150"/>
    <cellStyle name="Normal 4 2 2 2 2 2 3 2 3 2 2" xfId="28151"/>
    <cellStyle name="Normal 4 2 2 2 2 2 3 2 3 2 2 2" xfId="28152"/>
    <cellStyle name="Normal 4 2 2 2 2 2 3 2 3 2 3" xfId="28153"/>
    <cellStyle name="Normal 4 2 2 2 2 2 3 2 3 3" xfId="28154"/>
    <cellStyle name="Normal 4 2 2 2 2 2 3 2 3 3 2" xfId="28155"/>
    <cellStyle name="Normal 4 2 2 2 2 2 3 2 3 4" xfId="28156"/>
    <cellStyle name="Normal 4 2 2 2 2 2 3 2 4" xfId="28157"/>
    <cellStyle name="Normal 4 2 2 2 2 2 3 2 4 2" xfId="28158"/>
    <cellStyle name="Normal 4 2 2 2 2 2 3 2 4 2 2" xfId="28159"/>
    <cellStyle name="Normal 4 2 2 2 2 2 3 2 4 3" xfId="28160"/>
    <cellStyle name="Normal 4 2 2 2 2 2 3 2 5" xfId="28161"/>
    <cellStyle name="Normal 4 2 2 2 2 2 3 2 5 2" xfId="28162"/>
    <cellStyle name="Normal 4 2 2 2 2 2 3 2 6" xfId="28163"/>
    <cellStyle name="Normal 4 2 2 2 2 2 3 3" xfId="1785"/>
    <cellStyle name="Normal 4 2 2 2 2 2 3 3 2" xfId="4505"/>
    <cellStyle name="Normal 4 2 2 2 2 2 3 3 2 2" xfId="28164"/>
    <cellStyle name="Normal 4 2 2 2 2 2 3 3 2 2 2" xfId="28165"/>
    <cellStyle name="Normal 4 2 2 2 2 2 3 3 2 2 2 2" xfId="28166"/>
    <cellStyle name="Normal 4 2 2 2 2 2 3 3 2 2 3" xfId="28167"/>
    <cellStyle name="Normal 4 2 2 2 2 2 3 3 2 3" xfId="28168"/>
    <cellStyle name="Normal 4 2 2 2 2 2 3 3 2 3 2" xfId="28169"/>
    <cellStyle name="Normal 4 2 2 2 2 2 3 3 2 4" xfId="28170"/>
    <cellStyle name="Normal 4 2 2 2 2 2 3 3 3" xfId="28171"/>
    <cellStyle name="Normal 4 2 2 2 2 2 3 3 3 2" xfId="28172"/>
    <cellStyle name="Normal 4 2 2 2 2 2 3 3 3 2 2" xfId="28173"/>
    <cellStyle name="Normal 4 2 2 2 2 2 3 3 3 3" xfId="28174"/>
    <cellStyle name="Normal 4 2 2 2 2 2 3 3 4" xfId="28175"/>
    <cellStyle name="Normal 4 2 2 2 2 2 3 3 4 2" xfId="28176"/>
    <cellStyle name="Normal 4 2 2 2 2 2 3 3 5" xfId="28177"/>
    <cellStyle name="Normal 4 2 2 2 2 2 3 4" xfId="3145"/>
    <cellStyle name="Normal 4 2 2 2 2 2 3 4 2" xfId="28178"/>
    <cellStyle name="Normal 4 2 2 2 2 2 3 4 2 2" xfId="28179"/>
    <cellStyle name="Normal 4 2 2 2 2 2 3 4 2 2 2" xfId="28180"/>
    <cellStyle name="Normal 4 2 2 2 2 2 3 4 2 3" xfId="28181"/>
    <cellStyle name="Normal 4 2 2 2 2 2 3 4 3" xfId="28182"/>
    <cellStyle name="Normal 4 2 2 2 2 2 3 4 3 2" xfId="28183"/>
    <cellStyle name="Normal 4 2 2 2 2 2 3 4 4" xfId="28184"/>
    <cellStyle name="Normal 4 2 2 2 2 2 3 5" xfId="28185"/>
    <cellStyle name="Normal 4 2 2 2 2 2 3 5 2" xfId="28186"/>
    <cellStyle name="Normal 4 2 2 2 2 2 3 5 2 2" xfId="28187"/>
    <cellStyle name="Normal 4 2 2 2 2 2 3 5 3" xfId="28188"/>
    <cellStyle name="Normal 4 2 2 2 2 2 3 6" xfId="28189"/>
    <cellStyle name="Normal 4 2 2 2 2 2 3 6 2" xfId="28190"/>
    <cellStyle name="Normal 4 2 2 2 2 2 3 7" xfId="28191"/>
    <cellStyle name="Normal 4 2 2 2 2 2 4" xfId="697"/>
    <cellStyle name="Normal 4 2 2 2 2 2 4 2" xfId="1377"/>
    <cellStyle name="Normal 4 2 2 2 2 2 4 2 2" xfId="2737"/>
    <cellStyle name="Normal 4 2 2 2 2 2 4 2 2 2" xfId="5457"/>
    <cellStyle name="Normal 4 2 2 2 2 2 4 2 2 2 2" xfId="28192"/>
    <cellStyle name="Normal 4 2 2 2 2 2 4 2 2 2 2 2" xfId="28193"/>
    <cellStyle name="Normal 4 2 2 2 2 2 4 2 2 2 2 2 2" xfId="28194"/>
    <cellStyle name="Normal 4 2 2 2 2 2 4 2 2 2 2 3" xfId="28195"/>
    <cellStyle name="Normal 4 2 2 2 2 2 4 2 2 2 3" xfId="28196"/>
    <cellStyle name="Normal 4 2 2 2 2 2 4 2 2 2 3 2" xfId="28197"/>
    <cellStyle name="Normal 4 2 2 2 2 2 4 2 2 2 4" xfId="28198"/>
    <cellStyle name="Normal 4 2 2 2 2 2 4 2 2 3" xfId="28199"/>
    <cellStyle name="Normal 4 2 2 2 2 2 4 2 2 3 2" xfId="28200"/>
    <cellStyle name="Normal 4 2 2 2 2 2 4 2 2 3 2 2" xfId="28201"/>
    <cellStyle name="Normal 4 2 2 2 2 2 4 2 2 3 3" xfId="28202"/>
    <cellStyle name="Normal 4 2 2 2 2 2 4 2 2 4" xfId="28203"/>
    <cellStyle name="Normal 4 2 2 2 2 2 4 2 2 4 2" xfId="28204"/>
    <cellStyle name="Normal 4 2 2 2 2 2 4 2 2 5" xfId="28205"/>
    <cellStyle name="Normal 4 2 2 2 2 2 4 2 3" xfId="4097"/>
    <cellStyle name="Normal 4 2 2 2 2 2 4 2 3 2" xfId="28206"/>
    <cellStyle name="Normal 4 2 2 2 2 2 4 2 3 2 2" xfId="28207"/>
    <cellStyle name="Normal 4 2 2 2 2 2 4 2 3 2 2 2" xfId="28208"/>
    <cellStyle name="Normal 4 2 2 2 2 2 4 2 3 2 3" xfId="28209"/>
    <cellStyle name="Normal 4 2 2 2 2 2 4 2 3 3" xfId="28210"/>
    <cellStyle name="Normal 4 2 2 2 2 2 4 2 3 3 2" xfId="28211"/>
    <cellStyle name="Normal 4 2 2 2 2 2 4 2 3 4" xfId="28212"/>
    <cellStyle name="Normal 4 2 2 2 2 2 4 2 4" xfId="28213"/>
    <cellStyle name="Normal 4 2 2 2 2 2 4 2 4 2" xfId="28214"/>
    <cellStyle name="Normal 4 2 2 2 2 2 4 2 4 2 2" xfId="28215"/>
    <cellStyle name="Normal 4 2 2 2 2 2 4 2 4 3" xfId="28216"/>
    <cellStyle name="Normal 4 2 2 2 2 2 4 2 5" xfId="28217"/>
    <cellStyle name="Normal 4 2 2 2 2 2 4 2 5 2" xfId="28218"/>
    <cellStyle name="Normal 4 2 2 2 2 2 4 2 6" xfId="28219"/>
    <cellStyle name="Normal 4 2 2 2 2 2 4 3" xfId="2057"/>
    <cellStyle name="Normal 4 2 2 2 2 2 4 3 2" xfId="4777"/>
    <cellStyle name="Normal 4 2 2 2 2 2 4 3 2 2" xfId="28220"/>
    <cellStyle name="Normal 4 2 2 2 2 2 4 3 2 2 2" xfId="28221"/>
    <cellStyle name="Normal 4 2 2 2 2 2 4 3 2 2 2 2" xfId="28222"/>
    <cellStyle name="Normal 4 2 2 2 2 2 4 3 2 2 3" xfId="28223"/>
    <cellStyle name="Normal 4 2 2 2 2 2 4 3 2 3" xfId="28224"/>
    <cellStyle name="Normal 4 2 2 2 2 2 4 3 2 3 2" xfId="28225"/>
    <cellStyle name="Normal 4 2 2 2 2 2 4 3 2 4" xfId="28226"/>
    <cellStyle name="Normal 4 2 2 2 2 2 4 3 3" xfId="28227"/>
    <cellStyle name="Normal 4 2 2 2 2 2 4 3 3 2" xfId="28228"/>
    <cellStyle name="Normal 4 2 2 2 2 2 4 3 3 2 2" xfId="28229"/>
    <cellStyle name="Normal 4 2 2 2 2 2 4 3 3 3" xfId="28230"/>
    <cellStyle name="Normal 4 2 2 2 2 2 4 3 4" xfId="28231"/>
    <cellStyle name="Normal 4 2 2 2 2 2 4 3 4 2" xfId="28232"/>
    <cellStyle name="Normal 4 2 2 2 2 2 4 3 5" xfId="28233"/>
    <cellStyle name="Normal 4 2 2 2 2 2 4 4" xfId="3417"/>
    <cellStyle name="Normal 4 2 2 2 2 2 4 4 2" xfId="28234"/>
    <cellStyle name="Normal 4 2 2 2 2 2 4 4 2 2" xfId="28235"/>
    <cellStyle name="Normal 4 2 2 2 2 2 4 4 2 2 2" xfId="28236"/>
    <cellStyle name="Normal 4 2 2 2 2 2 4 4 2 3" xfId="28237"/>
    <cellStyle name="Normal 4 2 2 2 2 2 4 4 3" xfId="28238"/>
    <cellStyle name="Normal 4 2 2 2 2 2 4 4 3 2" xfId="28239"/>
    <cellStyle name="Normal 4 2 2 2 2 2 4 4 4" xfId="28240"/>
    <cellStyle name="Normal 4 2 2 2 2 2 4 5" xfId="28241"/>
    <cellStyle name="Normal 4 2 2 2 2 2 4 5 2" xfId="28242"/>
    <cellStyle name="Normal 4 2 2 2 2 2 4 5 2 2" xfId="28243"/>
    <cellStyle name="Normal 4 2 2 2 2 2 4 5 3" xfId="28244"/>
    <cellStyle name="Normal 4 2 2 2 2 2 4 6" xfId="28245"/>
    <cellStyle name="Normal 4 2 2 2 2 2 4 6 2" xfId="28246"/>
    <cellStyle name="Normal 4 2 2 2 2 2 4 7" xfId="28247"/>
    <cellStyle name="Normal 4 2 2 2 2 2 5" xfId="833"/>
    <cellStyle name="Normal 4 2 2 2 2 2 5 2" xfId="2193"/>
    <cellStyle name="Normal 4 2 2 2 2 2 5 2 2" xfId="4913"/>
    <cellStyle name="Normal 4 2 2 2 2 2 5 2 2 2" xfId="28248"/>
    <cellStyle name="Normal 4 2 2 2 2 2 5 2 2 2 2" xfId="28249"/>
    <cellStyle name="Normal 4 2 2 2 2 2 5 2 2 2 2 2" xfId="28250"/>
    <cellStyle name="Normal 4 2 2 2 2 2 5 2 2 2 3" xfId="28251"/>
    <cellStyle name="Normal 4 2 2 2 2 2 5 2 2 3" xfId="28252"/>
    <cellStyle name="Normal 4 2 2 2 2 2 5 2 2 3 2" xfId="28253"/>
    <cellStyle name="Normal 4 2 2 2 2 2 5 2 2 4" xfId="28254"/>
    <cellStyle name="Normal 4 2 2 2 2 2 5 2 3" xfId="28255"/>
    <cellStyle name="Normal 4 2 2 2 2 2 5 2 3 2" xfId="28256"/>
    <cellStyle name="Normal 4 2 2 2 2 2 5 2 3 2 2" xfId="28257"/>
    <cellStyle name="Normal 4 2 2 2 2 2 5 2 3 3" xfId="28258"/>
    <cellStyle name="Normal 4 2 2 2 2 2 5 2 4" xfId="28259"/>
    <cellStyle name="Normal 4 2 2 2 2 2 5 2 4 2" xfId="28260"/>
    <cellStyle name="Normal 4 2 2 2 2 2 5 2 5" xfId="28261"/>
    <cellStyle name="Normal 4 2 2 2 2 2 5 3" xfId="3553"/>
    <cellStyle name="Normal 4 2 2 2 2 2 5 3 2" xfId="28262"/>
    <cellStyle name="Normal 4 2 2 2 2 2 5 3 2 2" xfId="28263"/>
    <cellStyle name="Normal 4 2 2 2 2 2 5 3 2 2 2" xfId="28264"/>
    <cellStyle name="Normal 4 2 2 2 2 2 5 3 2 3" xfId="28265"/>
    <cellStyle name="Normal 4 2 2 2 2 2 5 3 3" xfId="28266"/>
    <cellStyle name="Normal 4 2 2 2 2 2 5 3 3 2" xfId="28267"/>
    <cellStyle name="Normal 4 2 2 2 2 2 5 3 4" xfId="28268"/>
    <cellStyle name="Normal 4 2 2 2 2 2 5 4" xfId="28269"/>
    <cellStyle name="Normal 4 2 2 2 2 2 5 4 2" xfId="28270"/>
    <cellStyle name="Normal 4 2 2 2 2 2 5 4 2 2" xfId="28271"/>
    <cellStyle name="Normal 4 2 2 2 2 2 5 4 3" xfId="28272"/>
    <cellStyle name="Normal 4 2 2 2 2 2 5 5" xfId="28273"/>
    <cellStyle name="Normal 4 2 2 2 2 2 5 5 2" xfId="28274"/>
    <cellStyle name="Normal 4 2 2 2 2 2 5 6" xfId="28275"/>
    <cellStyle name="Normal 4 2 2 2 2 2 6" xfId="1513"/>
    <cellStyle name="Normal 4 2 2 2 2 2 6 2" xfId="4233"/>
    <cellStyle name="Normal 4 2 2 2 2 2 6 2 2" xfId="28276"/>
    <cellStyle name="Normal 4 2 2 2 2 2 6 2 2 2" xfId="28277"/>
    <cellStyle name="Normal 4 2 2 2 2 2 6 2 2 2 2" xfId="28278"/>
    <cellStyle name="Normal 4 2 2 2 2 2 6 2 2 3" xfId="28279"/>
    <cellStyle name="Normal 4 2 2 2 2 2 6 2 3" xfId="28280"/>
    <cellStyle name="Normal 4 2 2 2 2 2 6 2 3 2" xfId="28281"/>
    <cellStyle name="Normal 4 2 2 2 2 2 6 2 4" xfId="28282"/>
    <cellStyle name="Normal 4 2 2 2 2 2 6 3" xfId="28283"/>
    <cellStyle name="Normal 4 2 2 2 2 2 6 3 2" xfId="28284"/>
    <cellStyle name="Normal 4 2 2 2 2 2 6 3 2 2" xfId="28285"/>
    <cellStyle name="Normal 4 2 2 2 2 2 6 3 3" xfId="28286"/>
    <cellStyle name="Normal 4 2 2 2 2 2 6 4" xfId="28287"/>
    <cellStyle name="Normal 4 2 2 2 2 2 6 4 2" xfId="28288"/>
    <cellStyle name="Normal 4 2 2 2 2 2 6 5" xfId="28289"/>
    <cellStyle name="Normal 4 2 2 2 2 2 7" xfId="2873"/>
    <cellStyle name="Normal 4 2 2 2 2 2 7 2" xfId="28290"/>
    <cellStyle name="Normal 4 2 2 2 2 2 7 2 2" xfId="28291"/>
    <cellStyle name="Normal 4 2 2 2 2 2 7 2 2 2" xfId="28292"/>
    <cellStyle name="Normal 4 2 2 2 2 2 7 2 3" xfId="28293"/>
    <cellStyle name="Normal 4 2 2 2 2 2 7 3" xfId="28294"/>
    <cellStyle name="Normal 4 2 2 2 2 2 7 3 2" xfId="28295"/>
    <cellStyle name="Normal 4 2 2 2 2 2 7 4" xfId="28296"/>
    <cellStyle name="Normal 4 2 2 2 2 2 8" xfId="28297"/>
    <cellStyle name="Normal 4 2 2 2 2 2 8 2" xfId="28298"/>
    <cellStyle name="Normal 4 2 2 2 2 2 8 2 2" xfId="28299"/>
    <cellStyle name="Normal 4 2 2 2 2 2 8 3" xfId="28300"/>
    <cellStyle name="Normal 4 2 2 2 2 2 9" xfId="28301"/>
    <cellStyle name="Normal 4 2 2 2 2 2 9 2" xfId="28302"/>
    <cellStyle name="Normal 4 2 2 2 2 3" xfId="221"/>
    <cellStyle name="Normal 4 2 2 2 2 3 2" xfId="493"/>
    <cellStyle name="Normal 4 2 2 2 2 3 2 2" xfId="1173"/>
    <cellStyle name="Normal 4 2 2 2 2 3 2 2 2" xfId="2533"/>
    <cellStyle name="Normal 4 2 2 2 2 3 2 2 2 2" xfId="5253"/>
    <cellStyle name="Normal 4 2 2 2 2 3 2 2 2 2 2" xfId="28303"/>
    <cellStyle name="Normal 4 2 2 2 2 3 2 2 2 2 2 2" xfId="28304"/>
    <cellStyle name="Normal 4 2 2 2 2 3 2 2 2 2 2 2 2" xfId="28305"/>
    <cellStyle name="Normal 4 2 2 2 2 3 2 2 2 2 2 3" xfId="28306"/>
    <cellStyle name="Normal 4 2 2 2 2 3 2 2 2 2 3" xfId="28307"/>
    <cellStyle name="Normal 4 2 2 2 2 3 2 2 2 2 3 2" xfId="28308"/>
    <cellStyle name="Normal 4 2 2 2 2 3 2 2 2 2 4" xfId="28309"/>
    <cellStyle name="Normal 4 2 2 2 2 3 2 2 2 3" xfId="28310"/>
    <cellStyle name="Normal 4 2 2 2 2 3 2 2 2 3 2" xfId="28311"/>
    <cellStyle name="Normal 4 2 2 2 2 3 2 2 2 3 2 2" xfId="28312"/>
    <cellStyle name="Normal 4 2 2 2 2 3 2 2 2 3 3" xfId="28313"/>
    <cellStyle name="Normal 4 2 2 2 2 3 2 2 2 4" xfId="28314"/>
    <cellStyle name="Normal 4 2 2 2 2 3 2 2 2 4 2" xfId="28315"/>
    <cellStyle name="Normal 4 2 2 2 2 3 2 2 2 5" xfId="28316"/>
    <cellStyle name="Normal 4 2 2 2 2 3 2 2 3" xfId="3893"/>
    <cellStyle name="Normal 4 2 2 2 2 3 2 2 3 2" xfId="28317"/>
    <cellStyle name="Normal 4 2 2 2 2 3 2 2 3 2 2" xfId="28318"/>
    <cellStyle name="Normal 4 2 2 2 2 3 2 2 3 2 2 2" xfId="28319"/>
    <cellStyle name="Normal 4 2 2 2 2 3 2 2 3 2 3" xfId="28320"/>
    <cellStyle name="Normal 4 2 2 2 2 3 2 2 3 3" xfId="28321"/>
    <cellStyle name="Normal 4 2 2 2 2 3 2 2 3 3 2" xfId="28322"/>
    <cellStyle name="Normal 4 2 2 2 2 3 2 2 3 4" xfId="28323"/>
    <cellStyle name="Normal 4 2 2 2 2 3 2 2 4" xfId="28324"/>
    <cellStyle name="Normal 4 2 2 2 2 3 2 2 4 2" xfId="28325"/>
    <cellStyle name="Normal 4 2 2 2 2 3 2 2 4 2 2" xfId="28326"/>
    <cellStyle name="Normal 4 2 2 2 2 3 2 2 4 3" xfId="28327"/>
    <cellStyle name="Normal 4 2 2 2 2 3 2 2 5" xfId="28328"/>
    <cellStyle name="Normal 4 2 2 2 2 3 2 2 5 2" xfId="28329"/>
    <cellStyle name="Normal 4 2 2 2 2 3 2 2 6" xfId="28330"/>
    <cellStyle name="Normal 4 2 2 2 2 3 2 3" xfId="1853"/>
    <cellStyle name="Normal 4 2 2 2 2 3 2 3 2" xfId="4573"/>
    <cellStyle name="Normal 4 2 2 2 2 3 2 3 2 2" xfId="28331"/>
    <cellStyle name="Normal 4 2 2 2 2 3 2 3 2 2 2" xfId="28332"/>
    <cellStyle name="Normal 4 2 2 2 2 3 2 3 2 2 2 2" xfId="28333"/>
    <cellStyle name="Normal 4 2 2 2 2 3 2 3 2 2 3" xfId="28334"/>
    <cellStyle name="Normal 4 2 2 2 2 3 2 3 2 3" xfId="28335"/>
    <cellStyle name="Normal 4 2 2 2 2 3 2 3 2 3 2" xfId="28336"/>
    <cellStyle name="Normal 4 2 2 2 2 3 2 3 2 4" xfId="28337"/>
    <cellStyle name="Normal 4 2 2 2 2 3 2 3 3" xfId="28338"/>
    <cellStyle name="Normal 4 2 2 2 2 3 2 3 3 2" xfId="28339"/>
    <cellStyle name="Normal 4 2 2 2 2 3 2 3 3 2 2" xfId="28340"/>
    <cellStyle name="Normal 4 2 2 2 2 3 2 3 3 3" xfId="28341"/>
    <cellStyle name="Normal 4 2 2 2 2 3 2 3 4" xfId="28342"/>
    <cellStyle name="Normal 4 2 2 2 2 3 2 3 4 2" xfId="28343"/>
    <cellStyle name="Normal 4 2 2 2 2 3 2 3 5" xfId="28344"/>
    <cellStyle name="Normal 4 2 2 2 2 3 2 4" xfId="3213"/>
    <cellStyle name="Normal 4 2 2 2 2 3 2 4 2" xfId="28345"/>
    <cellStyle name="Normal 4 2 2 2 2 3 2 4 2 2" xfId="28346"/>
    <cellStyle name="Normal 4 2 2 2 2 3 2 4 2 2 2" xfId="28347"/>
    <cellStyle name="Normal 4 2 2 2 2 3 2 4 2 3" xfId="28348"/>
    <cellStyle name="Normal 4 2 2 2 2 3 2 4 3" xfId="28349"/>
    <cellStyle name="Normal 4 2 2 2 2 3 2 4 3 2" xfId="28350"/>
    <cellStyle name="Normal 4 2 2 2 2 3 2 4 4" xfId="28351"/>
    <cellStyle name="Normal 4 2 2 2 2 3 2 5" xfId="28352"/>
    <cellStyle name="Normal 4 2 2 2 2 3 2 5 2" xfId="28353"/>
    <cellStyle name="Normal 4 2 2 2 2 3 2 5 2 2" xfId="28354"/>
    <cellStyle name="Normal 4 2 2 2 2 3 2 5 3" xfId="28355"/>
    <cellStyle name="Normal 4 2 2 2 2 3 2 6" xfId="28356"/>
    <cellStyle name="Normal 4 2 2 2 2 3 2 6 2" xfId="28357"/>
    <cellStyle name="Normal 4 2 2 2 2 3 2 7" xfId="28358"/>
    <cellStyle name="Normal 4 2 2 2 2 3 3" xfId="901"/>
    <cellStyle name="Normal 4 2 2 2 2 3 3 2" xfId="2261"/>
    <cellStyle name="Normal 4 2 2 2 2 3 3 2 2" xfId="4981"/>
    <cellStyle name="Normal 4 2 2 2 2 3 3 2 2 2" xfId="28359"/>
    <cellStyle name="Normal 4 2 2 2 2 3 3 2 2 2 2" xfId="28360"/>
    <cellStyle name="Normal 4 2 2 2 2 3 3 2 2 2 2 2" xfId="28361"/>
    <cellStyle name="Normal 4 2 2 2 2 3 3 2 2 2 3" xfId="28362"/>
    <cellStyle name="Normal 4 2 2 2 2 3 3 2 2 3" xfId="28363"/>
    <cellStyle name="Normal 4 2 2 2 2 3 3 2 2 3 2" xfId="28364"/>
    <cellStyle name="Normal 4 2 2 2 2 3 3 2 2 4" xfId="28365"/>
    <cellStyle name="Normal 4 2 2 2 2 3 3 2 3" xfId="28366"/>
    <cellStyle name="Normal 4 2 2 2 2 3 3 2 3 2" xfId="28367"/>
    <cellStyle name="Normal 4 2 2 2 2 3 3 2 3 2 2" xfId="28368"/>
    <cellStyle name="Normal 4 2 2 2 2 3 3 2 3 3" xfId="28369"/>
    <cellStyle name="Normal 4 2 2 2 2 3 3 2 4" xfId="28370"/>
    <cellStyle name="Normal 4 2 2 2 2 3 3 2 4 2" xfId="28371"/>
    <cellStyle name="Normal 4 2 2 2 2 3 3 2 5" xfId="28372"/>
    <cellStyle name="Normal 4 2 2 2 2 3 3 3" xfId="3621"/>
    <cellStyle name="Normal 4 2 2 2 2 3 3 3 2" xfId="28373"/>
    <cellStyle name="Normal 4 2 2 2 2 3 3 3 2 2" xfId="28374"/>
    <cellStyle name="Normal 4 2 2 2 2 3 3 3 2 2 2" xfId="28375"/>
    <cellStyle name="Normal 4 2 2 2 2 3 3 3 2 3" xfId="28376"/>
    <cellStyle name="Normal 4 2 2 2 2 3 3 3 3" xfId="28377"/>
    <cellStyle name="Normal 4 2 2 2 2 3 3 3 3 2" xfId="28378"/>
    <cellStyle name="Normal 4 2 2 2 2 3 3 3 4" xfId="28379"/>
    <cellStyle name="Normal 4 2 2 2 2 3 3 4" xfId="28380"/>
    <cellStyle name="Normal 4 2 2 2 2 3 3 4 2" xfId="28381"/>
    <cellStyle name="Normal 4 2 2 2 2 3 3 4 2 2" xfId="28382"/>
    <cellStyle name="Normal 4 2 2 2 2 3 3 4 3" xfId="28383"/>
    <cellStyle name="Normal 4 2 2 2 2 3 3 5" xfId="28384"/>
    <cellStyle name="Normal 4 2 2 2 2 3 3 5 2" xfId="28385"/>
    <cellStyle name="Normal 4 2 2 2 2 3 3 6" xfId="28386"/>
    <cellStyle name="Normal 4 2 2 2 2 3 4" xfId="1581"/>
    <cellStyle name="Normal 4 2 2 2 2 3 4 2" xfId="4301"/>
    <cellStyle name="Normal 4 2 2 2 2 3 4 2 2" xfId="28387"/>
    <cellStyle name="Normal 4 2 2 2 2 3 4 2 2 2" xfId="28388"/>
    <cellStyle name="Normal 4 2 2 2 2 3 4 2 2 2 2" xfId="28389"/>
    <cellStyle name="Normal 4 2 2 2 2 3 4 2 2 3" xfId="28390"/>
    <cellStyle name="Normal 4 2 2 2 2 3 4 2 3" xfId="28391"/>
    <cellStyle name="Normal 4 2 2 2 2 3 4 2 3 2" xfId="28392"/>
    <cellStyle name="Normal 4 2 2 2 2 3 4 2 4" xfId="28393"/>
    <cellStyle name="Normal 4 2 2 2 2 3 4 3" xfId="28394"/>
    <cellStyle name="Normal 4 2 2 2 2 3 4 3 2" xfId="28395"/>
    <cellStyle name="Normal 4 2 2 2 2 3 4 3 2 2" xfId="28396"/>
    <cellStyle name="Normal 4 2 2 2 2 3 4 3 3" xfId="28397"/>
    <cellStyle name="Normal 4 2 2 2 2 3 4 4" xfId="28398"/>
    <cellStyle name="Normal 4 2 2 2 2 3 4 4 2" xfId="28399"/>
    <cellStyle name="Normal 4 2 2 2 2 3 4 5" xfId="28400"/>
    <cellStyle name="Normal 4 2 2 2 2 3 5" xfId="2941"/>
    <cellStyle name="Normal 4 2 2 2 2 3 5 2" xfId="28401"/>
    <cellStyle name="Normal 4 2 2 2 2 3 5 2 2" xfId="28402"/>
    <cellStyle name="Normal 4 2 2 2 2 3 5 2 2 2" xfId="28403"/>
    <cellStyle name="Normal 4 2 2 2 2 3 5 2 3" xfId="28404"/>
    <cellStyle name="Normal 4 2 2 2 2 3 5 3" xfId="28405"/>
    <cellStyle name="Normal 4 2 2 2 2 3 5 3 2" xfId="28406"/>
    <cellStyle name="Normal 4 2 2 2 2 3 5 4" xfId="28407"/>
    <cellStyle name="Normal 4 2 2 2 2 3 6" xfId="28408"/>
    <cellStyle name="Normal 4 2 2 2 2 3 6 2" xfId="28409"/>
    <cellStyle name="Normal 4 2 2 2 2 3 6 2 2" xfId="28410"/>
    <cellStyle name="Normal 4 2 2 2 2 3 6 3" xfId="28411"/>
    <cellStyle name="Normal 4 2 2 2 2 3 7" xfId="28412"/>
    <cellStyle name="Normal 4 2 2 2 2 3 7 2" xfId="28413"/>
    <cellStyle name="Normal 4 2 2 2 2 3 8" xfId="28414"/>
    <cellStyle name="Normal 4 2 2 2 2 4" xfId="357"/>
    <cellStyle name="Normal 4 2 2 2 2 4 2" xfId="1037"/>
    <cellStyle name="Normal 4 2 2 2 2 4 2 2" xfId="2397"/>
    <cellStyle name="Normal 4 2 2 2 2 4 2 2 2" xfId="5117"/>
    <cellStyle name="Normal 4 2 2 2 2 4 2 2 2 2" xfId="28415"/>
    <cellStyle name="Normal 4 2 2 2 2 4 2 2 2 2 2" xfId="28416"/>
    <cellStyle name="Normal 4 2 2 2 2 4 2 2 2 2 2 2" xfId="28417"/>
    <cellStyle name="Normal 4 2 2 2 2 4 2 2 2 2 3" xfId="28418"/>
    <cellStyle name="Normal 4 2 2 2 2 4 2 2 2 3" xfId="28419"/>
    <cellStyle name="Normal 4 2 2 2 2 4 2 2 2 3 2" xfId="28420"/>
    <cellStyle name="Normal 4 2 2 2 2 4 2 2 2 4" xfId="28421"/>
    <cellStyle name="Normal 4 2 2 2 2 4 2 2 3" xfId="28422"/>
    <cellStyle name="Normal 4 2 2 2 2 4 2 2 3 2" xfId="28423"/>
    <cellStyle name="Normal 4 2 2 2 2 4 2 2 3 2 2" xfId="28424"/>
    <cellStyle name="Normal 4 2 2 2 2 4 2 2 3 3" xfId="28425"/>
    <cellStyle name="Normal 4 2 2 2 2 4 2 2 4" xfId="28426"/>
    <cellStyle name="Normal 4 2 2 2 2 4 2 2 4 2" xfId="28427"/>
    <cellStyle name="Normal 4 2 2 2 2 4 2 2 5" xfId="28428"/>
    <cellStyle name="Normal 4 2 2 2 2 4 2 3" xfId="3757"/>
    <cellStyle name="Normal 4 2 2 2 2 4 2 3 2" xfId="28429"/>
    <cellStyle name="Normal 4 2 2 2 2 4 2 3 2 2" xfId="28430"/>
    <cellStyle name="Normal 4 2 2 2 2 4 2 3 2 2 2" xfId="28431"/>
    <cellStyle name="Normal 4 2 2 2 2 4 2 3 2 3" xfId="28432"/>
    <cellStyle name="Normal 4 2 2 2 2 4 2 3 3" xfId="28433"/>
    <cellStyle name="Normal 4 2 2 2 2 4 2 3 3 2" xfId="28434"/>
    <cellStyle name="Normal 4 2 2 2 2 4 2 3 4" xfId="28435"/>
    <cellStyle name="Normal 4 2 2 2 2 4 2 4" xfId="28436"/>
    <cellStyle name="Normal 4 2 2 2 2 4 2 4 2" xfId="28437"/>
    <cellStyle name="Normal 4 2 2 2 2 4 2 4 2 2" xfId="28438"/>
    <cellStyle name="Normal 4 2 2 2 2 4 2 4 3" xfId="28439"/>
    <cellStyle name="Normal 4 2 2 2 2 4 2 5" xfId="28440"/>
    <cellStyle name="Normal 4 2 2 2 2 4 2 5 2" xfId="28441"/>
    <cellStyle name="Normal 4 2 2 2 2 4 2 6" xfId="28442"/>
    <cellStyle name="Normal 4 2 2 2 2 4 3" xfId="1717"/>
    <cellStyle name="Normal 4 2 2 2 2 4 3 2" xfId="4437"/>
    <cellStyle name="Normal 4 2 2 2 2 4 3 2 2" xfId="28443"/>
    <cellStyle name="Normal 4 2 2 2 2 4 3 2 2 2" xfId="28444"/>
    <cellStyle name="Normal 4 2 2 2 2 4 3 2 2 2 2" xfId="28445"/>
    <cellStyle name="Normal 4 2 2 2 2 4 3 2 2 3" xfId="28446"/>
    <cellStyle name="Normal 4 2 2 2 2 4 3 2 3" xfId="28447"/>
    <cellStyle name="Normal 4 2 2 2 2 4 3 2 3 2" xfId="28448"/>
    <cellStyle name="Normal 4 2 2 2 2 4 3 2 4" xfId="28449"/>
    <cellStyle name="Normal 4 2 2 2 2 4 3 3" xfId="28450"/>
    <cellStyle name="Normal 4 2 2 2 2 4 3 3 2" xfId="28451"/>
    <cellStyle name="Normal 4 2 2 2 2 4 3 3 2 2" xfId="28452"/>
    <cellStyle name="Normal 4 2 2 2 2 4 3 3 3" xfId="28453"/>
    <cellStyle name="Normal 4 2 2 2 2 4 3 4" xfId="28454"/>
    <cellStyle name="Normal 4 2 2 2 2 4 3 4 2" xfId="28455"/>
    <cellStyle name="Normal 4 2 2 2 2 4 3 5" xfId="28456"/>
    <cellStyle name="Normal 4 2 2 2 2 4 4" xfId="3077"/>
    <cellStyle name="Normal 4 2 2 2 2 4 4 2" xfId="28457"/>
    <cellStyle name="Normal 4 2 2 2 2 4 4 2 2" xfId="28458"/>
    <cellStyle name="Normal 4 2 2 2 2 4 4 2 2 2" xfId="28459"/>
    <cellStyle name="Normal 4 2 2 2 2 4 4 2 3" xfId="28460"/>
    <cellStyle name="Normal 4 2 2 2 2 4 4 3" xfId="28461"/>
    <cellStyle name="Normal 4 2 2 2 2 4 4 3 2" xfId="28462"/>
    <cellStyle name="Normal 4 2 2 2 2 4 4 4" xfId="28463"/>
    <cellStyle name="Normal 4 2 2 2 2 4 5" xfId="28464"/>
    <cellStyle name="Normal 4 2 2 2 2 4 5 2" xfId="28465"/>
    <cellStyle name="Normal 4 2 2 2 2 4 5 2 2" xfId="28466"/>
    <cellStyle name="Normal 4 2 2 2 2 4 5 3" xfId="28467"/>
    <cellStyle name="Normal 4 2 2 2 2 4 6" xfId="28468"/>
    <cellStyle name="Normal 4 2 2 2 2 4 6 2" xfId="28469"/>
    <cellStyle name="Normal 4 2 2 2 2 4 7" xfId="28470"/>
    <cellStyle name="Normal 4 2 2 2 2 5" xfId="629"/>
    <cellStyle name="Normal 4 2 2 2 2 5 2" xfId="1309"/>
    <cellStyle name="Normal 4 2 2 2 2 5 2 2" xfId="2669"/>
    <cellStyle name="Normal 4 2 2 2 2 5 2 2 2" xfId="5389"/>
    <cellStyle name="Normal 4 2 2 2 2 5 2 2 2 2" xfId="28471"/>
    <cellStyle name="Normal 4 2 2 2 2 5 2 2 2 2 2" xfId="28472"/>
    <cellStyle name="Normal 4 2 2 2 2 5 2 2 2 2 2 2" xfId="28473"/>
    <cellStyle name="Normal 4 2 2 2 2 5 2 2 2 2 3" xfId="28474"/>
    <cellStyle name="Normal 4 2 2 2 2 5 2 2 2 3" xfId="28475"/>
    <cellStyle name="Normal 4 2 2 2 2 5 2 2 2 3 2" xfId="28476"/>
    <cellStyle name="Normal 4 2 2 2 2 5 2 2 2 4" xfId="28477"/>
    <cellStyle name="Normal 4 2 2 2 2 5 2 2 3" xfId="28478"/>
    <cellStyle name="Normal 4 2 2 2 2 5 2 2 3 2" xfId="28479"/>
    <cellStyle name="Normal 4 2 2 2 2 5 2 2 3 2 2" xfId="28480"/>
    <cellStyle name="Normal 4 2 2 2 2 5 2 2 3 3" xfId="28481"/>
    <cellStyle name="Normal 4 2 2 2 2 5 2 2 4" xfId="28482"/>
    <cellStyle name="Normal 4 2 2 2 2 5 2 2 4 2" xfId="28483"/>
    <cellStyle name="Normal 4 2 2 2 2 5 2 2 5" xfId="28484"/>
    <cellStyle name="Normal 4 2 2 2 2 5 2 3" xfId="4029"/>
    <cellStyle name="Normal 4 2 2 2 2 5 2 3 2" xfId="28485"/>
    <cellStyle name="Normal 4 2 2 2 2 5 2 3 2 2" xfId="28486"/>
    <cellStyle name="Normal 4 2 2 2 2 5 2 3 2 2 2" xfId="28487"/>
    <cellStyle name="Normal 4 2 2 2 2 5 2 3 2 3" xfId="28488"/>
    <cellStyle name="Normal 4 2 2 2 2 5 2 3 3" xfId="28489"/>
    <cellStyle name="Normal 4 2 2 2 2 5 2 3 3 2" xfId="28490"/>
    <cellStyle name="Normal 4 2 2 2 2 5 2 3 4" xfId="28491"/>
    <cellStyle name="Normal 4 2 2 2 2 5 2 4" xfId="28492"/>
    <cellStyle name="Normal 4 2 2 2 2 5 2 4 2" xfId="28493"/>
    <cellStyle name="Normal 4 2 2 2 2 5 2 4 2 2" xfId="28494"/>
    <cellStyle name="Normal 4 2 2 2 2 5 2 4 3" xfId="28495"/>
    <cellStyle name="Normal 4 2 2 2 2 5 2 5" xfId="28496"/>
    <cellStyle name="Normal 4 2 2 2 2 5 2 5 2" xfId="28497"/>
    <cellStyle name="Normal 4 2 2 2 2 5 2 6" xfId="28498"/>
    <cellStyle name="Normal 4 2 2 2 2 5 3" xfId="1989"/>
    <cellStyle name="Normal 4 2 2 2 2 5 3 2" xfId="4709"/>
    <cellStyle name="Normal 4 2 2 2 2 5 3 2 2" xfId="28499"/>
    <cellStyle name="Normal 4 2 2 2 2 5 3 2 2 2" xfId="28500"/>
    <cellStyle name="Normal 4 2 2 2 2 5 3 2 2 2 2" xfId="28501"/>
    <cellStyle name="Normal 4 2 2 2 2 5 3 2 2 3" xfId="28502"/>
    <cellStyle name="Normal 4 2 2 2 2 5 3 2 3" xfId="28503"/>
    <cellStyle name="Normal 4 2 2 2 2 5 3 2 3 2" xfId="28504"/>
    <cellStyle name="Normal 4 2 2 2 2 5 3 2 4" xfId="28505"/>
    <cellStyle name="Normal 4 2 2 2 2 5 3 3" xfId="28506"/>
    <cellStyle name="Normal 4 2 2 2 2 5 3 3 2" xfId="28507"/>
    <cellStyle name="Normal 4 2 2 2 2 5 3 3 2 2" xfId="28508"/>
    <cellStyle name="Normal 4 2 2 2 2 5 3 3 3" xfId="28509"/>
    <cellStyle name="Normal 4 2 2 2 2 5 3 4" xfId="28510"/>
    <cellStyle name="Normal 4 2 2 2 2 5 3 4 2" xfId="28511"/>
    <cellStyle name="Normal 4 2 2 2 2 5 3 5" xfId="28512"/>
    <cellStyle name="Normal 4 2 2 2 2 5 4" xfId="3349"/>
    <cellStyle name="Normal 4 2 2 2 2 5 4 2" xfId="28513"/>
    <cellStyle name="Normal 4 2 2 2 2 5 4 2 2" xfId="28514"/>
    <cellStyle name="Normal 4 2 2 2 2 5 4 2 2 2" xfId="28515"/>
    <cellStyle name="Normal 4 2 2 2 2 5 4 2 3" xfId="28516"/>
    <cellStyle name="Normal 4 2 2 2 2 5 4 3" xfId="28517"/>
    <cellStyle name="Normal 4 2 2 2 2 5 4 3 2" xfId="28518"/>
    <cellStyle name="Normal 4 2 2 2 2 5 4 4" xfId="28519"/>
    <cellStyle name="Normal 4 2 2 2 2 5 5" xfId="28520"/>
    <cellStyle name="Normal 4 2 2 2 2 5 5 2" xfId="28521"/>
    <cellStyle name="Normal 4 2 2 2 2 5 5 2 2" xfId="28522"/>
    <cellStyle name="Normal 4 2 2 2 2 5 5 3" xfId="28523"/>
    <cellStyle name="Normal 4 2 2 2 2 5 6" xfId="28524"/>
    <cellStyle name="Normal 4 2 2 2 2 5 6 2" xfId="28525"/>
    <cellStyle name="Normal 4 2 2 2 2 5 7" xfId="28526"/>
    <cellStyle name="Normal 4 2 2 2 2 6" xfId="765"/>
    <cellStyle name="Normal 4 2 2 2 2 6 2" xfId="2125"/>
    <cellStyle name="Normal 4 2 2 2 2 6 2 2" xfId="4845"/>
    <cellStyle name="Normal 4 2 2 2 2 6 2 2 2" xfId="28527"/>
    <cellStyle name="Normal 4 2 2 2 2 6 2 2 2 2" xfId="28528"/>
    <cellStyle name="Normal 4 2 2 2 2 6 2 2 2 2 2" xfId="28529"/>
    <cellStyle name="Normal 4 2 2 2 2 6 2 2 2 3" xfId="28530"/>
    <cellStyle name="Normal 4 2 2 2 2 6 2 2 3" xfId="28531"/>
    <cellStyle name="Normal 4 2 2 2 2 6 2 2 3 2" xfId="28532"/>
    <cellStyle name="Normal 4 2 2 2 2 6 2 2 4" xfId="28533"/>
    <cellStyle name="Normal 4 2 2 2 2 6 2 3" xfId="28534"/>
    <cellStyle name="Normal 4 2 2 2 2 6 2 3 2" xfId="28535"/>
    <cellStyle name="Normal 4 2 2 2 2 6 2 3 2 2" xfId="28536"/>
    <cellStyle name="Normal 4 2 2 2 2 6 2 3 3" xfId="28537"/>
    <cellStyle name="Normal 4 2 2 2 2 6 2 4" xfId="28538"/>
    <cellStyle name="Normal 4 2 2 2 2 6 2 4 2" xfId="28539"/>
    <cellStyle name="Normal 4 2 2 2 2 6 2 5" xfId="28540"/>
    <cellStyle name="Normal 4 2 2 2 2 6 3" xfId="3485"/>
    <cellStyle name="Normal 4 2 2 2 2 6 3 2" xfId="28541"/>
    <cellStyle name="Normal 4 2 2 2 2 6 3 2 2" xfId="28542"/>
    <cellStyle name="Normal 4 2 2 2 2 6 3 2 2 2" xfId="28543"/>
    <cellStyle name="Normal 4 2 2 2 2 6 3 2 3" xfId="28544"/>
    <cellStyle name="Normal 4 2 2 2 2 6 3 3" xfId="28545"/>
    <cellStyle name="Normal 4 2 2 2 2 6 3 3 2" xfId="28546"/>
    <cellStyle name="Normal 4 2 2 2 2 6 3 4" xfId="28547"/>
    <cellStyle name="Normal 4 2 2 2 2 6 4" xfId="28548"/>
    <cellStyle name="Normal 4 2 2 2 2 6 4 2" xfId="28549"/>
    <cellStyle name="Normal 4 2 2 2 2 6 4 2 2" xfId="28550"/>
    <cellStyle name="Normal 4 2 2 2 2 6 4 3" xfId="28551"/>
    <cellStyle name="Normal 4 2 2 2 2 6 5" xfId="28552"/>
    <cellStyle name="Normal 4 2 2 2 2 6 5 2" xfId="28553"/>
    <cellStyle name="Normal 4 2 2 2 2 6 6" xfId="28554"/>
    <cellStyle name="Normal 4 2 2 2 2 7" xfId="1445"/>
    <cellStyle name="Normal 4 2 2 2 2 7 2" xfId="4165"/>
    <cellStyle name="Normal 4 2 2 2 2 7 2 2" xfId="28555"/>
    <cellStyle name="Normal 4 2 2 2 2 7 2 2 2" xfId="28556"/>
    <cellStyle name="Normal 4 2 2 2 2 7 2 2 2 2" xfId="28557"/>
    <cellStyle name="Normal 4 2 2 2 2 7 2 2 3" xfId="28558"/>
    <cellStyle name="Normal 4 2 2 2 2 7 2 3" xfId="28559"/>
    <cellStyle name="Normal 4 2 2 2 2 7 2 3 2" xfId="28560"/>
    <cellStyle name="Normal 4 2 2 2 2 7 2 4" xfId="28561"/>
    <cellStyle name="Normal 4 2 2 2 2 7 3" xfId="28562"/>
    <cellStyle name="Normal 4 2 2 2 2 7 3 2" xfId="28563"/>
    <cellStyle name="Normal 4 2 2 2 2 7 3 2 2" xfId="28564"/>
    <cellStyle name="Normal 4 2 2 2 2 7 3 3" xfId="28565"/>
    <cellStyle name="Normal 4 2 2 2 2 7 4" xfId="28566"/>
    <cellStyle name="Normal 4 2 2 2 2 7 4 2" xfId="28567"/>
    <cellStyle name="Normal 4 2 2 2 2 7 5" xfId="28568"/>
    <cellStyle name="Normal 4 2 2 2 2 8" xfId="2805"/>
    <cellStyle name="Normal 4 2 2 2 2 8 2" xfId="28569"/>
    <cellStyle name="Normal 4 2 2 2 2 8 2 2" xfId="28570"/>
    <cellStyle name="Normal 4 2 2 2 2 8 2 2 2" xfId="28571"/>
    <cellStyle name="Normal 4 2 2 2 2 8 2 3" xfId="28572"/>
    <cellStyle name="Normal 4 2 2 2 2 8 3" xfId="28573"/>
    <cellStyle name="Normal 4 2 2 2 2 8 3 2" xfId="28574"/>
    <cellStyle name="Normal 4 2 2 2 2 8 4" xfId="28575"/>
    <cellStyle name="Normal 4 2 2 2 2 9" xfId="28576"/>
    <cellStyle name="Normal 4 2 2 2 2 9 2" xfId="28577"/>
    <cellStyle name="Normal 4 2 2 2 2 9 2 2" xfId="28578"/>
    <cellStyle name="Normal 4 2 2 2 2 9 3" xfId="28579"/>
    <cellStyle name="Normal 4 2 2 2 3" xfId="118"/>
    <cellStyle name="Normal 4 2 2 2 3 10" xfId="28580"/>
    <cellStyle name="Normal 4 2 2 2 3 2" xfId="255"/>
    <cellStyle name="Normal 4 2 2 2 3 2 2" xfId="527"/>
    <cellStyle name="Normal 4 2 2 2 3 2 2 2" xfId="1207"/>
    <cellStyle name="Normal 4 2 2 2 3 2 2 2 2" xfId="2567"/>
    <cellStyle name="Normal 4 2 2 2 3 2 2 2 2 2" xfId="5287"/>
    <cellStyle name="Normal 4 2 2 2 3 2 2 2 2 2 2" xfId="28581"/>
    <cellStyle name="Normal 4 2 2 2 3 2 2 2 2 2 2 2" xfId="28582"/>
    <cellStyle name="Normal 4 2 2 2 3 2 2 2 2 2 2 2 2" xfId="28583"/>
    <cellStyle name="Normal 4 2 2 2 3 2 2 2 2 2 2 3" xfId="28584"/>
    <cellStyle name="Normal 4 2 2 2 3 2 2 2 2 2 3" xfId="28585"/>
    <cellStyle name="Normal 4 2 2 2 3 2 2 2 2 2 3 2" xfId="28586"/>
    <cellStyle name="Normal 4 2 2 2 3 2 2 2 2 2 4" xfId="28587"/>
    <cellStyle name="Normal 4 2 2 2 3 2 2 2 2 3" xfId="28588"/>
    <cellStyle name="Normal 4 2 2 2 3 2 2 2 2 3 2" xfId="28589"/>
    <cellStyle name="Normal 4 2 2 2 3 2 2 2 2 3 2 2" xfId="28590"/>
    <cellStyle name="Normal 4 2 2 2 3 2 2 2 2 3 3" xfId="28591"/>
    <cellStyle name="Normal 4 2 2 2 3 2 2 2 2 4" xfId="28592"/>
    <cellStyle name="Normal 4 2 2 2 3 2 2 2 2 4 2" xfId="28593"/>
    <cellStyle name="Normal 4 2 2 2 3 2 2 2 2 5" xfId="28594"/>
    <cellStyle name="Normal 4 2 2 2 3 2 2 2 3" xfId="3927"/>
    <cellStyle name="Normal 4 2 2 2 3 2 2 2 3 2" xfId="28595"/>
    <cellStyle name="Normal 4 2 2 2 3 2 2 2 3 2 2" xfId="28596"/>
    <cellStyle name="Normal 4 2 2 2 3 2 2 2 3 2 2 2" xfId="28597"/>
    <cellStyle name="Normal 4 2 2 2 3 2 2 2 3 2 3" xfId="28598"/>
    <cellStyle name="Normal 4 2 2 2 3 2 2 2 3 3" xfId="28599"/>
    <cellStyle name="Normal 4 2 2 2 3 2 2 2 3 3 2" xfId="28600"/>
    <cellStyle name="Normal 4 2 2 2 3 2 2 2 3 4" xfId="28601"/>
    <cellStyle name="Normal 4 2 2 2 3 2 2 2 4" xfId="28602"/>
    <cellStyle name="Normal 4 2 2 2 3 2 2 2 4 2" xfId="28603"/>
    <cellStyle name="Normal 4 2 2 2 3 2 2 2 4 2 2" xfId="28604"/>
    <cellStyle name="Normal 4 2 2 2 3 2 2 2 4 3" xfId="28605"/>
    <cellStyle name="Normal 4 2 2 2 3 2 2 2 5" xfId="28606"/>
    <cellStyle name="Normal 4 2 2 2 3 2 2 2 5 2" xfId="28607"/>
    <cellStyle name="Normal 4 2 2 2 3 2 2 2 6" xfId="28608"/>
    <cellStyle name="Normal 4 2 2 2 3 2 2 3" xfId="1887"/>
    <cellStyle name="Normal 4 2 2 2 3 2 2 3 2" xfId="4607"/>
    <cellStyle name="Normal 4 2 2 2 3 2 2 3 2 2" xfId="28609"/>
    <cellStyle name="Normal 4 2 2 2 3 2 2 3 2 2 2" xfId="28610"/>
    <cellStyle name="Normal 4 2 2 2 3 2 2 3 2 2 2 2" xfId="28611"/>
    <cellStyle name="Normal 4 2 2 2 3 2 2 3 2 2 3" xfId="28612"/>
    <cellStyle name="Normal 4 2 2 2 3 2 2 3 2 3" xfId="28613"/>
    <cellStyle name="Normal 4 2 2 2 3 2 2 3 2 3 2" xfId="28614"/>
    <cellStyle name="Normal 4 2 2 2 3 2 2 3 2 4" xfId="28615"/>
    <cellStyle name="Normal 4 2 2 2 3 2 2 3 3" xfId="28616"/>
    <cellStyle name="Normal 4 2 2 2 3 2 2 3 3 2" xfId="28617"/>
    <cellStyle name="Normal 4 2 2 2 3 2 2 3 3 2 2" xfId="28618"/>
    <cellStyle name="Normal 4 2 2 2 3 2 2 3 3 3" xfId="28619"/>
    <cellStyle name="Normal 4 2 2 2 3 2 2 3 4" xfId="28620"/>
    <cellStyle name="Normal 4 2 2 2 3 2 2 3 4 2" xfId="28621"/>
    <cellStyle name="Normal 4 2 2 2 3 2 2 3 5" xfId="28622"/>
    <cellStyle name="Normal 4 2 2 2 3 2 2 4" xfId="3247"/>
    <cellStyle name="Normal 4 2 2 2 3 2 2 4 2" xfId="28623"/>
    <cellStyle name="Normal 4 2 2 2 3 2 2 4 2 2" xfId="28624"/>
    <cellStyle name="Normal 4 2 2 2 3 2 2 4 2 2 2" xfId="28625"/>
    <cellStyle name="Normal 4 2 2 2 3 2 2 4 2 3" xfId="28626"/>
    <cellStyle name="Normal 4 2 2 2 3 2 2 4 3" xfId="28627"/>
    <cellStyle name="Normal 4 2 2 2 3 2 2 4 3 2" xfId="28628"/>
    <cellStyle name="Normal 4 2 2 2 3 2 2 4 4" xfId="28629"/>
    <cellStyle name="Normal 4 2 2 2 3 2 2 5" xfId="28630"/>
    <cellStyle name="Normal 4 2 2 2 3 2 2 5 2" xfId="28631"/>
    <cellStyle name="Normal 4 2 2 2 3 2 2 5 2 2" xfId="28632"/>
    <cellStyle name="Normal 4 2 2 2 3 2 2 5 3" xfId="28633"/>
    <cellStyle name="Normal 4 2 2 2 3 2 2 6" xfId="28634"/>
    <cellStyle name="Normal 4 2 2 2 3 2 2 6 2" xfId="28635"/>
    <cellStyle name="Normal 4 2 2 2 3 2 2 7" xfId="28636"/>
    <cellStyle name="Normal 4 2 2 2 3 2 3" xfId="935"/>
    <cellStyle name="Normal 4 2 2 2 3 2 3 2" xfId="2295"/>
    <cellStyle name="Normal 4 2 2 2 3 2 3 2 2" xfId="5015"/>
    <cellStyle name="Normal 4 2 2 2 3 2 3 2 2 2" xfId="28637"/>
    <cellStyle name="Normal 4 2 2 2 3 2 3 2 2 2 2" xfId="28638"/>
    <cellStyle name="Normal 4 2 2 2 3 2 3 2 2 2 2 2" xfId="28639"/>
    <cellStyle name="Normal 4 2 2 2 3 2 3 2 2 2 3" xfId="28640"/>
    <cellStyle name="Normal 4 2 2 2 3 2 3 2 2 3" xfId="28641"/>
    <cellStyle name="Normal 4 2 2 2 3 2 3 2 2 3 2" xfId="28642"/>
    <cellStyle name="Normal 4 2 2 2 3 2 3 2 2 4" xfId="28643"/>
    <cellStyle name="Normal 4 2 2 2 3 2 3 2 3" xfId="28644"/>
    <cellStyle name="Normal 4 2 2 2 3 2 3 2 3 2" xfId="28645"/>
    <cellStyle name="Normal 4 2 2 2 3 2 3 2 3 2 2" xfId="28646"/>
    <cellStyle name="Normal 4 2 2 2 3 2 3 2 3 3" xfId="28647"/>
    <cellStyle name="Normal 4 2 2 2 3 2 3 2 4" xfId="28648"/>
    <cellStyle name="Normal 4 2 2 2 3 2 3 2 4 2" xfId="28649"/>
    <cellStyle name="Normal 4 2 2 2 3 2 3 2 5" xfId="28650"/>
    <cellStyle name="Normal 4 2 2 2 3 2 3 3" xfId="3655"/>
    <cellStyle name="Normal 4 2 2 2 3 2 3 3 2" xfId="28651"/>
    <cellStyle name="Normal 4 2 2 2 3 2 3 3 2 2" xfId="28652"/>
    <cellStyle name="Normal 4 2 2 2 3 2 3 3 2 2 2" xfId="28653"/>
    <cellStyle name="Normal 4 2 2 2 3 2 3 3 2 3" xfId="28654"/>
    <cellStyle name="Normal 4 2 2 2 3 2 3 3 3" xfId="28655"/>
    <cellStyle name="Normal 4 2 2 2 3 2 3 3 3 2" xfId="28656"/>
    <cellStyle name="Normal 4 2 2 2 3 2 3 3 4" xfId="28657"/>
    <cellStyle name="Normal 4 2 2 2 3 2 3 4" xfId="28658"/>
    <cellStyle name="Normal 4 2 2 2 3 2 3 4 2" xfId="28659"/>
    <cellStyle name="Normal 4 2 2 2 3 2 3 4 2 2" xfId="28660"/>
    <cellStyle name="Normal 4 2 2 2 3 2 3 4 3" xfId="28661"/>
    <cellStyle name="Normal 4 2 2 2 3 2 3 5" xfId="28662"/>
    <cellStyle name="Normal 4 2 2 2 3 2 3 5 2" xfId="28663"/>
    <cellStyle name="Normal 4 2 2 2 3 2 3 6" xfId="28664"/>
    <cellStyle name="Normal 4 2 2 2 3 2 4" xfId="1615"/>
    <cellStyle name="Normal 4 2 2 2 3 2 4 2" xfId="4335"/>
    <cellStyle name="Normal 4 2 2 2 3 2 4 2 2" xfId="28665"/>
    <cellStyle name="Normal 4 2 2 2 3 2 4 2 2 2" xfId="28666"/>
    <cellStyle name="Normal 4 2 2 2 3 2 4 2 2 2 2" xfId="28667"/>
    <cellStyle name="Normal 4 2 2 2 3 2 4 2 2 3" xfId="28668"/>
    <cellStyle name="Normal 4 2 2 2 3 2 4 2 3" xfId="28669"/>
    <cellStyle name="Normal 4 2 2 2 3 2 4 2 3 2" xfId="28670"/>
    <cellStyle name="Normal 4 2 2 2 3 2 4 2 4" xfId="28671"/>
    <cellStyle name="Normal 4 2 2 2 3 2 4 3" xfId="28672"/>
    <cellStyle name="Normal 4 2 2 2 3 2 4 3 2" xfId="28673"/>
    <cellStyle name="Normal 4 2 2 2 3 2 4 3 2 2" xfId="28674"/>
    <cellStyle name="Normal 4 2 2 2 3 2 4 3 3" xfId="28675"/>
    <cellStyle name="Normal 4 2 2 2 3 2 4 4" xfId="28676"/>
    <cellStyle name="Normal 4 2 2 2 3 2 4 4 2" xfId="28677"/>
    <cellStyle name="Normal 4 2 2 2 3 2 4 5" xfId="28678"/>
    <cellStyle name="Normal 4 2 2 2 3 2 5" xfId="2975"/>
    <cellStyle name="Normal 4 2 2 2 3 2 5 2" xfId="28679"/>
    <cellStyle name="Normal 4 2 2 2 3 2 5 2 2" xfId="28680"/>
    <cellStyle name="Normal 4 2 2 2 3 2 5 2 2 2" xfId="28681"/>
    <cellStyle name="Normal 4 2 2 2 3 2 5 2 3" xfId="28682"/>
    <cellStyle name="Normal 4 2 2 2 3 2 5 3" xfId="28683"/>
    <cellStyle name="Normal 4 2 2 2 3 2 5 3 2" xfId="28684"/>
    <cellStyle name="Normal 4 2 2 2 3 2 5 4" xfId="28685"/>
    <cellStyle name="Normal 4 2 2 2 3 2 6" xfId="28686"/>
    <cellStyle name="Normal 4 2 2 2 3 2 6 2" xfId="28687"/>
    <cellStyle name="Normal 4 2 2 2 3 2 6 2 2" xfId="28688"/>
    <cellStyle name="Normal 4 2 2 2 3 2 6 3" xfId="28689"/>
    <cellStyle name="Normal 4 2 2 2 3 2 7" xfId="28690"/>
    <cellStyle name="Normal 4 2 2 2 3 2 7 2" xfId="28691"/>
    <cellStyle name="Normal 4 2 2 2 3 2 8" xfId="28692"/>
    <cellStyle name="Normal 4 2 2 2 3 3" xfId="391"/>
    <cellStyle name="Normal 4 2 2 2 3 3 2" xfId="1071"/>
    <cellStyle name="Normal 4 2 2 2 3 3 2 2" xfId="2431"/>
    <cellStyle name="Normal 4 2 2 2 3 3 2 2 2" xfId="5151"/>
    <cellStyle name="Normal 4 2 2 2 3 3 2 2 2 2" xfId="28693"/>
    <cellStyle name="Normal 4 2 2 2 3 3 2 2 2 2 2" xfId="28694"/>
    <cellStyle name="Normal 4 2 2 2 3 3 2 2 2 2 2 2" xfId="28695"/>
    <cellStyle name="Normal 4 2 2 2 3 3 2 2 2 2 3" xfId="28696"/>
    <cellStyle name="Normal 4 2 2 2 3 3 2 2 2 3" xfId="28697"/>
    <cellStyle name="Normal 4 2 2 2 3 3 2 2 2 3 2" xfId="28698"/>
    <cellStyle name="Normal 4 2 2 2 3 3 2 2 2 4" xfId="28699"/>
    <cellStyle name="Normal 4 2 2 2 3 3 2 2 3" xfId="28700"/>
    <cellStyle name="Normal 4 2 2 2 3 3 2 2 3 2" xfId="28701"/>
    <cellStyle name="Normal 4 2 2 2 3 3 2 2 3 2 2" xfId="28702"/>
    <cellStyle name="Normal 4 2 2 2 3 3 2 2 3 3" xfId="28703"/>
    <cellStyle name="Normal 4 2 2 2 3 3 2 2 4" xfId="28704"/>
    <cellStyle name="Normal 4 2 2 2 3 3 2 2 4 2" xfId="28705"/>
    <cellStyle name="Normal 4 2 2 2 3 3 2 2 5" xfId="28706"/>
    <cellStyle name="Normal 4 2 2 2 3 3 2 3" xfId="3791"/>
    <cellStyle name="Normal 4 2 2 2 3 3 2 3 2" xfId="28707"/>
    <cellStyle name="Normal 4 2 2 2 3 3 2 3 2 2" xfId="28708"/>
    <cellStyle name="Normal 4 2 2 2 3 3 2 3 2 2 2" xfId="28709"/>
    <cellStyle name="Normal 4 2 2 2 3 3 2 3 2 3" xfId="28710"/>
    <cellStyle name="Normal 4 2 2 2 3 3 2 3 3" xfId="28711"/>
    <cellStyle name="Normal 4 2 2 2 3 3 2 3 3 2" xfId="28712"/>
    <cellStyle name="Normal 4 2 2 2 3 3 2 3 4" xfId="28713"/>
    <cellStyle name="Normal 4 2 2 2 3 3 2 4" xfId="28714"/>
    <cellStyle name="Normal 4 2 2 2 3 3 2 4 2" xfId="28715"/>
    <cellStyle name="Normal 4 2 2 2 3 3 2 4 2 2" xfId="28716"/>
    <cellStyle name="Normal 4 2 2 2 3 3 2 4 3" xfId="28717"/>
    <cellStyle name="Normal 4 2 2 2 3 3 2 5" xfId="28718"/>
    <cellStyle name="Normal 4 2 2 2 3 3 2 5 2" xfId="28719"/>
    <cellStyle name="Normal 4 2 2 2 3 3 2 6" xfId="28720"/>
    <cellStyle name="Normal 4 2 2 2 3 3 3" xfId="1751"/>
    <cellStyle name="Normal 4 2 2 2 3 3 3 2" xfId="4471"/>
    <cellStyle name="Normal 4 2 2 2 3 3 3 2 2" xfId="28721"/>
    <cellStyle name="Normal 4 2 2 2 3 3 3 2 2 2" xfId="28722"/>
    <cellStyle name="Normal 4 2 2 2 3 3 3 2 2 2 2" xfId="28723"/>
    <cellStyle name="Normal 4 2 2 2 3 3 3 2 2 3" xfId="28724"/>
    <cellStyle name="Normal 4 2 2 2 3 3 3 2 3" xfId="28725"/>
    <cellStyle name="Normal 4 2 2 2 3 3 3 2 3 2" xfId="28726"/>
    <cellStyle name="Normal 4 2 2 2 3 3 3 2 4" xfId="28727"/>
    <cellStyle name="Normal 4 2 2 2 3 3 3 3" xfId="28728"/>
    <cellStyle name="Normal 4 2 2 2 3 3 3 3 2" xfId="28729"/>
    <cellStyle name="Normal 4 2 2 2 3 3 3 3 2 2" xfId="28730"/>
    <cellStyle name="Normal 4 2 2 2 3 3 3 3 3" xfId="28731"/>
    <cellStyle name="Normal 4 2 2 2 3 3 3 4" xfId="28732"/>
    <cellStyle name="Normal 4 2 2 2 3 3 3 4 2" xfId="28733"/>
    <cellStyle name="Normal 4 2 2 2 3 3 3 5" xfId="28734"/>
    <cellStyle name="Normal 4 2 2 2 3 3 4" xfId="3111"/>
    <cellStyle name="Normal 4 2 2 2 3 3 4 2" xfId="28735"/>
    <cellStyle name="Normal 4 2 2 2 3 3 4 2 2" xfId="28736"/>
    <cellStyle name="Normal 4 2 2 2 3 3 4 2 2 2" xfId="28737"/>
    <cellStyle name="Normal 4 2 2 2 3 3 4 2 3" xfId="28738"/>
    <cellStyle name="Normal 4 2 2 2 3 3 4 3" xfId="28739"/>
    <cellStyle name="Normal 4 2 2 2 3 3 4 3 2" xfId="28740"/>
    <cellStyle name="Normal 4 2 2 2 3 3 4 4" xfId="28741"/>
    <cellStyle name="Normal 4 2 2 2 3 3 5" xfId="28742"/>
    <cellStyle name="Normal 4 2 2 2 3 3 5 2" xfId="28743"/>
    <cellStyle name="Normal 4 2 2 2 3 3 5 2 2" xfId="28744"/>
    <cellStyle name="Normal 4 2 2 2 3 3 5 3" xfId="28745"/>
    <cellStyle name="Normal 4 2 2 2 3 3 6" xfId="28746"/>
    <cellStyle name="Normal 4 2 2 2 3 3 6 2" xfId="28747"/>
    <cellStyle name="Normal 4 2 2 2 3 3 7" xfId="28748"/>
    <cellStyle name="Normal 4 2 2 2 3 4" xfId="663"/>
    <cellStyle name="Normal 4 2 2 2 3 4 2" xfId="1343"/>
    <cellStyle name="Normal 4 2 2 2 3 4 2 2" xfId="2703"/>
    <cellStyle name="Normal 4 2 2 2 3 4 2 2 2" xfId="5423"/>
    <cellStyle name="Normal 4 2 2 2 3 4 2 2 2 2" xfId="28749"/>
    <cellStyle name="Normal 4 2 2 2 3 4 2 2 2 2 2" xfId="28750"/>
    <cellStyle name="Normal 4 2 2 2 3 4 2 2 2 2 2 2" xfId="28751"/>
    <cellStyle name="Normal 4 2 2 2 3 4 2 2 2 2 3" xfId="28752"/>
    <cellStyle name="Normal 4 2 2 2 3 4 2 2 2 3" xfId="28753"/>
    <cellStyle name="Normal 4 2 2 2 3 4 2 2 2 3 2" xfId="28754"/>
    <cellStyle name="Normal 4 2 2 2 3 4 2 2 2 4" xfId="28755"/>
    <cellStyle name="Normal 4 2 2 2 3 4 2 2 3" xfId="28756"/>
    <cellStyle name="Normal 4 2 2 2 3 4 2 2 3 2" xfId="28757"/>
    <cellStyle name="Normal 4 2 2 2 3 4 2 2 3 2 2" xfId="28758"/>
    <cellStyle name="Normal 4 2 2 2 3 4 2 2 3 3" xfId="28759"/>
    <cellStyle name="Normal 4 2 2 2 3 4 2 2 4" xfId="28760"/>
    <cellStyle name="Normal 4 2 2 2 3 4 2 2 4 2" xfId="28761"/>
    <cellStyle name="Normal 4 2 2 2 3 4 2 2 5" xfId="28762"/>
    <cellStyle name="Normal 4 2 2 2 3 4 2 3" xfId="4063"/>
    <cellStyle name="Normal 4 2 2 2 3 4 2 3 2" xfId="28763"/>
    <cellStyle name="Normal 4 2 2 2 3 4 2 3 2 2" xfId="28764"/>
    <cellStyle name="Normal 4 2 2 2 3 4 2 3 2 2 2" xfId="28765"/>
    <cellStyle name="Normal 4 2 2 2 3 4 2 3 2 3" xfId="28766"/>
    <cellStyle name="Normal 4 2 2 2 3 4 2 3 3" xfId="28767"/>
    <cellStyle name="Normal 4 2 2 2 3 4 2 3 3 2" xfId="28768"/>
    <cellStyle name="Normal 4 2 2 2 3 4 2 3 4" xfId="28769"/>
    <cellStyle name="Normal 4 2 2 2 3 4 2 4" xfId="28770"/>
    <cellStyle name="Normal 4 2 2 2 3 4 2 4 2" xfId="28771"/>
    <cellStyle name="Normal 4 2 2 2 3 4 2 4 2 2" xfId="28772"/>
    <cellStyle name="Normal 4 2 2 2 3 4 2 4 3" xfId="28773"/>
    <cellStyle name="Normal 4 2 2 2 3 4 2 5" xfId="28774"/>
    <cellStyle name="Normal 4 2 2 2 3 4 2 5 2" xfId="28775"/>
    <cellStyle name="Normal 4 2 2 2 3 4 2 6" xfId="28776"/>
    <cellStyle name="Normal 4 2 2 2 3 4 3" xfId="2023"/>
    <cellStyle name="Normal 4 2 2 2 3 4 3 2" xfId="4743"/>
    <cellStyle name="Normal 4 2 2 2 3 4 3 2 2" xfId="28777"/>
    <cellStyle name="Normal 4 2 2 2 3 4 3 2 2 2" xfId="28778"/>
    <cellStyle name="Normal 4 2 2 2 3 4 3 2 2 2 2" xfId="28779"/>
    <cellStyle name="Normal 4 2 2 2 3 4 3 2 2 3" xfId="28780"/>
    <cellStyle name="Normal 4 2 2 2 3 4 3 2 3" xfId="28781"/>
    <cellStyle name="Normal 4 2 2 2 3 4 3 2 3 2" xfId="28782"/>
    <cellStyle name="Normal 4 2 2 2 3 4 3 2 4" xfId="28783"/>
    <cellStyle name="Normal 4 2 2 2 3 4 3 3" xfId="28784"/>
    <cellStyle name="Normal 4 2 2 2 3 4 3 3 2" xfId="28785"/>
    <cellStyle name="Normal 4 2 2 2 3 4 3 3 2 2" xfId="28786"/>
    <cellStyle name="Normal 4 2 2 2 3 4 3 3 3" xfId="28787"/>
    <cellStyle name="Normal 4 2 2 2 3 4 3 4" xfId="28788"/>
    <cellStyle name="Normal 4 2 2 2 3 4 3 4 2" xfId="28789"/>
    <cellStyle name="Normal 4 2 2 2 3 4 3 5" xfId="28790"/>
    <cellStyle name="Normal 4 2 2 2 3 4 4" xfId="3383"/>
    <cellStyle name="Normal 4 2 2 2 3 4 4 2" xfId="28791"/>
    <cellStyle name="Normal 4 2 2 2 3 4 4 2 2" xfId="28792"/>
    <cellStyle name="Normal 4 2 2 2 3 4 4 2 2 2" xfId="28793"/>
    <cellStyle name="Normal 4 2 2 2 3 4 4 2 3" xfId="28794"/>
    <cellStyle name="Normal 4 2 2 2 3 4 4 3" xfId="28795"/>
    <cellStyle name="Normal 4 2 2 2 3 4 4 3 2" xfId="28796"/>
    <cellStyle name="Normal 4 2 2 2 3 4 4 4" xfId="28797"/>
    <cellStyle name="Normal 4 2 2 2 3 4 5" xfId="28798"/>
    <cellStyle name="Normal 4 2 2 2 3 4 5 2" xfId="28799"/>
    <cellStyle name="Normal 4 2 2 2 3 4 5 2 2" xfId="28800"/>
    <cellStyle name="Normal 4 2 2 2 3 4 5 3" xfId="28801"/>
    <cellStyle name="Normal 4 2 2 2 3 4 6" xfId="28802"/>
    <cellStyle name="Normal 4 2 2 2 3 4 6 2" xfId="28803"/>
    <cellStyle name="Normal 4 2 2 2 3 4 7" xfId="28804"/>
    <cellStyle name="Normal 4 2 2 2 3 5" xfId="799"/>
    <cellStyle name="Normal 4 2 2 2 3 5 2" xfId="2159"/>
    <cellStyle name="Normal 4 2 2 2 3 5 2 2" xfId="4879"/>
    <cellStyle name="Normal 4 2 2 2 3 5 2 2 2" xfId="28805"/>
    <cellStyle name="Normal 4 2 2 2 3 5 2 2 2 2" xfId="28806"/>
    <cellStyle name="Normal 4 2 2 2 3 5 2 2 2 2 2" xfId="28807"/>
    <cellStyle name="Normal 4 2 2 2 3 5 2 2 2 3" xfId="28808"/>
    <cellStyle name="Normal 4 2 2 2 3 5 2 2 3" xfId="28809"/>
    <cellStyle name="Normal 4 2 2 2 3 5 2 2 3 2" xfId="28810"/>
    <cellStyle name="Normal 4 2 2 2 3 5 2 2 4" xfId="28811"/>
    <cellStyle name="Normal 4 2 2 2 3 5 2 3" xfId="28812"/>
    <cellStyle name="Normal 4 2 2 2 3 5 2 3 2" xfId="28813"/>
    <cellStyle name="Normal 4 2 2 2 3 5 2 3 2 2" xfId="28814"/>
    <cellStyle name="Normal 4 2 2 2 3 5 2 3 3" xfId="28815"/>
    <cellStyle name="Normal 4 2 2 2 3 5 2 4" xfId="28816"/>
    <cellStyle name="Normal 4 2 2 2 3 5 2 4 2" xfId="28817"/>
    <cellStyle name="Normal 4 2 2 2 3 5 2 5" xfId="28818"/>
    <cellStyle name="Normal 4 2 2 2 3 5 3" xfId="3519"/>
    <cellStyle name="Normal 4 2 2 2 3 5 3 2" xfId="28819"/>
    <cellStyle name="Normal 4 2 2 2 3 5 3 2 2" xfId="28820"/>
    <cellStyle name="Normal 4 2 2 2 3 5 3 2 2 2" xfId="28821"/>
    <cellStyle name="Normal 4 2 2 2 3 5 3 2 3" xfId="28822"/>
    <cellStyle name="Normal 4 2 2 2 3 5 3 3" xfId="28823"/>
    <cellStyle name="Normal 4 2 2 2 3 5 3 3 2" xfId="28824"/>
    <cellStyle name="Normal 4 2 2 2 3 5 3 4" xfId="28825"/>
    <cellStyle name="Normal 4 2 2 2 3 5 4" xfId="28826"/>
    <cellStyle name="Normal 4 2 2 2 3 5 4 2" xfId="28827"/>
    <cellStyle name="Normal 4 2 2 2 3 5 4 2 2" xfId="28828"/>
    <cellStyle name="Normal 4 2 2 2 3 5 4 3" xfId="28829"/>
    <cellStyle name="Normal 4 2 2 2 3 5 5" xfId="28830"/>
    <cellStyle name="Normal 4 2 2 2 3 5 5 2" xfId="28831"/>
    <cellStyle name="Normal 4 2 2 2 3 5 6" xfId="28832"/>
    <cellStyle name="Normal 4 2 2 2 3 6" xfId="1479"/>
    <cellStyle name="Normal 4 2 2 2 3 6 2" xfId="4199"/>
    <cellStyle name="Normal 4 2 2 2 3 6 2 2" xfId="28833"/>
    <cellStyle name="Normal 4 2 2 2 3 6 2 2 2" xfId="28834"/>
    <cellStyle name="Normal 4 2 2 2 3 6 2 2 2 2" xfId="28835"/>
    <cellStyle name="Normal 4 2 2 2 3 6 2 2 3" xfId="28836"/>
    <cellStyle name="Normal 4 2 2 2 3 6 2 3" xfId="28837"/>
    <cellStyle name="Normal 4 2 2 2 3 6 2 3 2" xfId="28838"/>
    <cellStyle name="Normal 4 2 2 2 3 6 2 4" xfId="28839"/>
    <cellStyle name="Normal 4 2 2 2 3 6 3" xfId="28840"/>
    <cellStyle name="Normal 4 2 2 2 3 6 3 2" xfId="28841"/>
    <cellStyle name="Normal 4 2 2 2 3 6 3 2 2" xfId="28842"/>
    <cellStyle name="Normal 4 2 2 2 3 6 3 3" xfId="28843"/>
    <cellStyle name="Normal 4 2 2 2 3 6 4" xfId="28844"/>
    <cellStyle name="Normal 4 2 2 2 3 6 4 2" xfId="28845"/>
    <cellStyle name="Normal 4 2 2 2 3 6 5" xfId="28846"/>
    <cellStyle name="Normal 4 2 2 2 3 7" xfId="2839"/>
    <cellStyle name="Normal 4 2 2 2 3 7 2" xfId="28847"/>
    <cellStyle name="Normal 4 2 2 2 3 7 2 2" xfId="28848"/>
    <cellStyle name="Normal 4 2 2 2 3 7 2 2 2" xfId="28849"/>
    <cellStyle name="Normal 4 2 2 2 3 7 2 3" xfId="28850"/>
    <cellStyle name="Normal 4 2 2 2 3 7 3" xfId="28851"/>
    <cellStyle name="Normal 4 2 2 2 3 7 3 2" xfId="28852"/>
    <cellStyle name="Normal 4 2 2 2 3 7 4" xfId="28853"/>
    <cellStyle name="Normal 4 2 2 2 3 8" xfId="28854"/>
    <cellStyle name="Normal 4 2 2 2 3 8 2" xfId="28855"/>
    <cellStyle name="Normal 4 2 2 2 3 8 2 2" xfId="28856"/>
    <cellStyle name="Normal 4 2 2 2 3 8 3" xfId="28857"/>
    <cellStyle name="Normal 4 2 2 2 3 9" xfId="28858"/>
    <cellStyle name="Normal 4 2 2 2 3 9 2" xfId="28859"/>
    <cellStyle name="Normal 4 2 2 2 4" xfId="187"/>
    <cellStyle name="Normal 4 2 2 2 4 2" xfId="459"/>
    <cellStyle name="Normal 4 2 2 2 4 2 2" xfId="1139"/>
    <cellStyle name="Normal 4 2 2 2 4 2 2 2" xfId="2499"/>
    <cellStyle name="Normal 4 2 2 2 4 2 2 2 2" xfId="5219"/>
    <cellStyle name="Normal 4 2 2 2 4 2 2 2 2 2" xfId="28860"/>
    <cellStyle name="Normal 4 2 2 2 4 2 2 2 2 2 2" xfId="28861"/>
    <cellStyle name="Normal 4 2 2 2 4 2 2 2 2 2 2 2" xfId="28862"/>
    <cellStyle name="Normal 4 2 2 2 4 2 2 2 2 2 3" xfId="28863"/>
    <cellStyle name="Normal 4 2 2 2 4 2 2 2 2 3" xfId="28864"/>
    <cellStyle name="Normal 4 2 2 2 4 2 2 2 2 3 2" xfId="28865"/>
    <cellStyle name="Normal 4 2 2 2 4 2 2 2 2 4" xfId="28866"/>
    <cellStyle name="Normal 4 2 2 2 4 2 2 2 3" xfId="28867"/>
    <cellStyle name="Normal 4 2 2 2 4 2 2 2 3 2" xfId="28868"/>
    <cellStyle name="Normal 4 2 2 2 4 2 2 2 3 2 2" xfId="28869"/>
    <cellStyle name="Normal 4 2 2 2 4 2 2 2 3 3" xfId="28870"/>
    <cellStyle name="Normal 4 2 2 2 4 2 2 2 4" xfId="28871"/>
    <cellStyle name="Normal 4 2 2 2 4 2 2 2 4 2" xfId="28872"/>
    <cellStyle name="Normal 4 2 2 2 4 2 2 2 5" xfId="28873"/>
    <cellStyle name="Normal 4 2 2 2 4 2 2 3" xfId="3859"/>
    <cellStyle name="Normal 4 2 2 2 4 2 2 3 2" xfId="28874"/>
    <cellStyle name="Normal 4 2 2 2 4 2 2 3 2 2" xfId="28875"/>
    <cellStyle name="Normal 4 2 2 2 4 2 2 3 2 2 2" xfId="28876"/>
    <cellStyle name="Normal 4 2 2 2 4 2 2 3 2 3" xfId="28877"/>
    <cellStyle name="Normal 4 2 2 2 4 2 2 3 3" xfId="28878"/>
    <cellStyle name="Normal 4 2 2 2 4 2 2 3 3 2" xfId="28879"/>
    <cellStyle name="Normal 4 2 2 2 4 2 2 3 4" xfId="28880"/>
    <cellStyle name="Normal 4 2 2 2 4 2 2 4" xfId="28881"/>
    <cellStyle name="Normal 4 2 2 2 4 2 2 4 2" xfId="28882"/>
    <cellStyle name="Normal 4 2 2 2 4 2 2 4 2 2" xfId="28883"/>
    <cellStyle name="Normal 4 2 2 2 4 2 2 4 3" xfId="28884"/>
    <cellStyle name="Normal 4 2 2 2 4 2 2 5" xfId="28885"/>
    <cellStyle name="Normal 4 2 2 2 4 2 2 5 2" xfId="28886"/>
    <cellStyle name="Normal 4 2 2 2 4 2 2 6" xfId="28887"/>
    <cellStyle name="Normal 4 2 2 2 4 2 3" xfId="1819"/>
    <cellStyle name="Normal 4 2 2 2 4 2 3 2" xfId="4539"/>
    <cellStyle name="Normal 4 2 2 2 4 2 3 2 2" xfId="28888"/>
    <cellStyle name="Normal 4 2 2 2 4 2 3 2 2 2" xfId="28889"/>
    <cellStyle name="Normal 4 2 2 2 4 2 3 2 2 2 2" xfId="28890"/>
    <cellStyle name="Normal 4 2 2 2 4 2 3 2 2 3" xfId="28891"/>
    <cellStyle name="Normal 4 2 2 2 4 2 3 2 3" xfId="28892"/>
    <cellStyle name="Normal 4 2 2 2 4 2 3 2 3 2" xfId="28893"/>
    <cellStyle name="Normal 4 2 2 2 4 2 3 2 4" xfId="28894"/>
    <cellStyle name="Normal 4 2 2 2 4 2 3 3" xfId="28895"/>
    <cellStyle name="Normal 4 2 2 2 4 2 3 3 2" xfId="28896"/>
    <cellStyle name="Normal 4 2 2 2 4 2 3 3 2 2" xfId="28897"/>
    <cellStyle name="Normal 4 2 2 2 4 2 3 3 3" xfId="28898"/>
    <cellStyle name="Normal 4 2 2 2 4 2 3 4" xfId="28899"/>
    <cellStyle name="Normal 4 2 2 2 4 2 3 4 2" xfId="28900"/>
    <cellStyle name="Normal 4 2 2 2 4 2 3 5" xfId="28901"/>
    <cellStyle name="Normal 4 2 2 2 4 2 4" xfId="3179"/>
    <cellStyle name="Normal 4 2 2 2 4 2 4 2" xfId="28902"/>
    <cellStyle name="Normal 4 2 2 2 4 2 4 2 2" xfId="28903"/>
    <cellStyle name="Normal 4 2 2 2 4 2 4 2 2 2" xfId="28904"/>
    <cellStyle name="Normal 4 2 2 2 4 2 4 2 3" xfId="28905"/>
    <cellStyle name="Normal 4 2 2 2 4 2 4 3" xfId="28906"/>
    <cellStyle name="Normal 4 2 2 2 4 2 4 3 2" xfId="28907"/>
    <cellStyle name="Normal 4 2 2 2 4 2 4 4" xfId="28908"/>
    <cellStyle name="Normal 4 2 2 2 4 2 5" xfId="28909"/>
    <cellStyle name="Normal 4 2 2 2 4 2 5 2" xfId="28910"/>
    <cellStyle name="Normal 4 2 2 2 4 2 5 2 2" xfId="28911"/>
    <cellStyle name="Normal 4 2 2 2 4 2 5 3" xfId="28912"/>
    <cellStyle name="Normal 4 2 2 2 4 2 6" xfId="28913"/>
    <cellStyle name="Normal 4 2 2 2 4 2 6 2" xfId="28914"/>
    <cellStyle name="Normal 4 2 2 2 4 2 7" xfId="28915"/>
    <cellStyle name="Normal 4 2 2 2 4 3" xfId="867"/>
    <cellStyle name="Normal 4 2 2 2 4 3 2" xfId="2227"/>
    <cellStyle name="Normal 4 2 2 2 4 3 2 2" xfId="4947"/>
    <cellStyle name="Normal 4 2 2 2 4 3 2 2 2" xfId="28916"/>
    <cellStyle name="Normal 4 2 2 2 4 3 2 2 2 2" xfId="28917"/>
    <cellStyle name="Normal 4 2 2 2 4 3 2 2 2 2 2" xfId="28918"/>
    <cellStyle name="Normal 4 2 2 2 4 3 2 2 2 3" xfId="28919"/>
    <cellStyle name="Normal 4 2 2 2 4 3 2 2 3" xfId="28920"/>
    <cellStyle name="Normal 4 2 2 2 4 3 2 2 3 2" xfId="28921"/>
    <cellStyle name="Normal 4 2 2 2 4 3 2 2 4" xfId="28922"/>
    <cellStyle name="Normal 4 2 2 2 4 3 2 3" xfId="28923"/>
    <cellStyle name="Normal 4 2 2 2 4 3 2 3 2" xfId="28924"/>
    <cellStyle name="Normal 4 2 2 2 4 3 2 3 2 2" xfId="28925"/>
    <cellStyle name="Normal 4 2 2 2 4 3 2 3 3" xfId="28926"/>
    <cellStyle name="Normal 4 2 2 2 4 3 2 4" xfId="28927"/>
    <cellStyle name="Normal 4 2 2 2 4 3 2 4 2" xfId="28928"/>
    <cellStyle name="Normal 4 2 2 2 4 3 2 5" xfId="28929"/>
    <cellStyle name="Normal 4 2 2 2 4 3 3" xfId="3587"/>
    <cellStyle name="Normal 4 2 2 2 4 3 3 2" xfId="28930"/>
    <cellStyle name="Normal 4 2 2 2 4 3 3 2 2" xfId="28931"/>
    <cellStyle name="Normal 4 2 2 2 4 3 3 2 2 2" xfId="28932"/>
    <cellStyle name="Normal 4 2 2 2 4 3 3 2 3" xfId="28933"/>
    <cellStyle name="Normal 4 2 2 2 4 3 3 3" xfId="28934"/>
    <cellStyle name="Normal 4 2 2 2 4 3 3 3 2" xfId="28935"/>
    <cellStyle name="Normal 4 2 2 2 4 3 3 4" xfId="28936"/>
    <cellStyle name="Normal 4 2 2 2 4 3 4" xfId="28937"/>
    <cellStyle name="Normal 4 2 2 2 4 3 4 2" xfId="28938"/>
    <cellStyle name="Normal 4 2 2 2 4 3 4 2 2" xfId="28939"/>
    <cellStyle name="Normal 4 2 2 2 4 3 4 3" xfId="28940"/>
    <cellStyle name="Normal 4 2 2 2 4 3 5" xfId="28941"/>
    <cellStyle name="Normal 4 2 2 2 4 3 5 2" xfId="28942"/>
    <cellStyle name="Normal 4 2 2 2 4 3 6" xfId="28943"/>
    <cellStyle name="Normal 4 2 2 2 4 4" xfId="1547"/>
    <cellStyle name="Normal 4 2 2 2 4 4 2" xfId="4267"/>
    <cellStyle name="Normal 4 2 2 2 4 4 2 2" xfId="28944"/>
    <cellStyle name="Normal 4 2 2 2 4 4 2 2 2" xfId="28945"/>
    <cellStyle name="Normal 4 2 2 2 4 4 2 2 2 2" xfId="28946"/>
    <cellStyle name="Normal 4 2 2 2 4 4 2 2 3" xfId="28947"/>
    <cellStyle name="Normal 4 2 2 2 4 4 2 3" xfId="28948"/>
    <cellStyle name="Normal 4 2 2 2 4 4 2 3 2" xfId="28949"/>
    <cellStyle name="Normal 4 2 2 2 4 4 2 4" xfId="28950"/>
    <cellStyle name="Normal 4 2 2 2 4 4 3" xfId="28951"/>
    <cellStyle name="Normal 4 2 2 2 4 4 3 2" xfId="28952"/>
    <cellStyle name="Normal 4 2 2 2 4 4 3 2 2" xfId="28953"/>
    <cellStyle name="Normal 4 2 2 2 4 4 3 3" xfId="28954"/>
    <cellStyle name="Normal 4 2 2 2 4 4 4" xfId="28955"/>
    <cellStyle name="Normal 4 2 2 2 4 4 4 2" xfId="28956"/>
    <cellStyle name="Normal 4 2 2 2 4 4 5" xfId="28957"/>
    <cellStyle name="Normal 4 2 2 2 4 5" xfId="2907"/>
    <cellStyle name="Normal 4 2 2 2 4 5 2" xfId="28958"/>
    <cellStyle name="Normal 4 2 2 2 4 5 2 2" xfId="28959"/>
    <cellStyle name="Normal 4 2 2 2 4 5 2 2 2" xfId="28960"/>
    <cellStyle name="Normal 4 2 2 2 4 5 2 3" xfId="28961"/>
    <cellStyle name="Normal 4 2 2 2 4 5 3" xfId="28962"/>
    <cellStyle name="Normal 4 2 2 2 4 5 3 2" xfId="28963"/>
    <cellStyle name="Normal 4 2 2 2 4 5 4" xfId="28964"/>
    <cellStyle name="Normal 4 2 2 2 4 6" xfId="28965"/>
    <cellStyle name="Normal 4 2 2 2 4 6 2" xfId="28966"/>
    <cellStyle name="Normal 4 2 2 2 4 6 2 2" xfId="28967"/>
    <cellStyle name="Normal 4 2 2 2 4 6 3" xfId="28968"/>
    <cellStyle name="Normal 4 2 2 2 4 7" xfId="28969"/>
    <cellStyle name="Normal 4 2 2 2 4 7 2" xfId="28970"/>
    <cellStyle name="Normal 4 2 2 2 4 8" xfId="28971"/>
    <cellStyle name="Normal 4 2 2 2 5" xfId="323"/>
    <cellStyle name="Normal 4 2 2 2 5 2" xfId="1003"/>
    <cellStyle name="Normal 4 2 2 2 5 2 2" xfId="2363"/>
    <cellStyle name="Normal 4 2 2 2 5 2 2 2" xfId="5083"/>
    <cellStyle name="Normal 4 2 2 2 5 2 2 2 2" xfId="28972"/>
    <cellStyle name="Normal 4 2 2 2 5 2 2 2 2 2" xfId="28973"/>
    <cellStyle name="Normal 4 2 2 2 5 2 2 2 2 2 2" xfId="28974"/>
    <cellStyle name="Normal 4 2 2 2 5 2 2 2 2 3" xfId="28975"/>
    <cellStyle name="Normal 4 2 2 2 5 2 2 2 3" xfId="28976"/>
    <cellStyle name="Normal 4 2 2 2 5 2 2 2 3 2" xfId="28977"/>
    <cellStyle name="Normal 4 2 2 2 5 2 2 2 4" xfId="28978"/>
    <cellStyle name="Normal 4 2 2 2 5 2 2 3" xfId="28979"/>
    <cellStyle name="Normal 4 2 2 2 5 2 2 3 2" xfId="28980"/>
    <cellStyle name="Normal 4 2 2 2 5 2 2 3 2 2" xfId="28981"/>
    <cellStyle name="Normal 4 2 2 2 5 2 2 3 3" xfId="28982"/>
    <cellStyle name="Normal 4 2 2 2 5 2 2 4" xfId="28983"/>
    <cellStyle name="Normal 4 2 2 2 5 2 2 4 2" xfId="28984"/>
    <cellStyle name="Normal 4 2 2 2 5 2 2 5" xfId="28985"/>
    <cellStyle name="Normal 4 2 2 2 5 2 3" xfId="3723"/>
    <cellStyle name="Normal 4 2 2 2 5 2 3 2" xfId="28986"/>
    <cellStyle name="Normal 4 2 2 2 5 2 3 2 2" xfId="28987"/>
    <cellStyle name="Normal 4 2 2 2 5 2 3 2 2 2" xfId="28988"/>
    <cellStyle name="Normal 4 2 2 2 5 2 3 2 3" xfId="28989"/>
    <cellStyle name="Normal 4 2 2 2 5 2 3 3" xfId="28990"/>
    <cellStyle name="Normal 4 2 2 2 5 2 3 3 2" xfId="28991"/>
    <cellStyle name="Normal 4 2 2 2 5 2 3 4" xfId="28992"/>
    <cellStyle name="Normal 4 2 2 2 5 2 4" xfId="28993"/>
    <cellStyle name="Normal 4 2 2 2 5 2 4 2" xfId="28994"/>
    <cellStyle name="Normal 4 2 2 2 5 2 4 2 2" xfId="28995"/>
    <cellStyle name="Normal 4 2 2 2 5 2 4 3" xfId="28996"/>
    <cellStyle name="Normal 4 2 2 2 5 2 5" xfId="28997"/>
    <cellStyle name="Normal 4 2 2 2 5 2 5 2" xfId="28998"/>
    <cellStyle name="Normal 4 2 2 2 5 2 6" xfId="28999"/>
    <cellStyle name="Normal 4 2 2 2 5 3" xfId="1683"/>
    <cellStyle name="Normal 4 2 2 2 5 3 2" xfId="4403"/>
    <cellStyle name="Normal 4 2 2 2 5 3 2 2" xfId="29000"/>
    <cellStyle name="Normal 4 2 2 2 5 3 2 2 2" xfId="29001"/>
    <cellStyle name="Normal 4 2 2 2 5 3 2 2 2 2" xfId="29002"/>
    <cellStyle name="Normal 4 2 2 2 5 3 2 2 3" xfId="29003"/>
    <cellStyle name="Normal 4 2 2 2 5 3 2 3" xfId="29004"/>
    <cellStyle name="Normal 4 2 2 2 5 3 2 3 2" xfId="29005"/>
    <cellStyle name="Normal 4 2 2 2 5 3 2 4" xfId="29006"/>
    <cellStyle name="Normal 4 2 2 2 5 3 3" xfId="29007"/>
    <cellStyle name="Normal 4 2 2 2 5 3 3 2" xfId="29008"/>
    <cellStyle name="Normal 4 2 2 2 5 3 3 2 2" xfId="29009"/>
    <cellStyle name="Normal 4 2 2 2 5 3 3 3" xfId="29010"/>
    <cellStyle name="Normal 4 2 2 2 5 3 4" xfId="29011"/>
    <cellStyle name="Normal 4 2 2 2 5 3 4 2" xfId="29012"/>
    <cellStyle name="Normal 4 2 2 2 5 3 5" xfId="29013"/>
    <cellStyle name="Normal 4 2 2 2 5 4" xfId="3043"/>
    <cellStyle name="Normal 4 2 2 2 5 4 2" xfId="29014"/>
    <cellStyle name="Normal 4 2 2 2 5 4 2 2" xfId="29015"/>
    <cellStyle name="Normal 4 2 2 2 5 4 2 2 2" xfId="29016"/>
    <cellStyle name="Normal 4 2 2 2 5 4 2 3" xfId="29017"/>
    <cellStyle name="Normal 4 2 2 2 5 4 3" xfId="29018"/>
    <cellStyle name="Normal 4 2 2 2 5 4 3 2" xfId="29019"/>
    <cellStyle name="Normal 4 2 2 2 5 4 4" xfId="29020"/>
    <cellStyle name="Normal 4 2 2 2 5 5" xfId="29021"/>
    <cellStyle name="Normal 4 2 2 2 5 5 2" xfId="29022"/>
    <cellStyle name="Normal 4 2 2 2 5 5 2 2" xfId="29023"/>
    <cellStyle name="Normal 4 2 2 2 5 5 3" xfId="29024"/>
    <cellStyle name="Normal 4 2 2 2 5 6" xfId="29025"/>
    <cellStyle name="Normal 4 2 2 2 5 6 2" xfId="29026"/>
    <cellStyle name="Normal 4 2 2 2 5 7" xfId="29027"/>
    <cellStyle name="Normal 4 2 2 2 6" xfId="595"/>
    <cellStyle name="Normal 4 2 2 2 6 2" xfId="1275"/>
    <cellStyle name="Normal 4 2 2 2 6 2 2" xfId="2635"/>
    <cellStyle name="Normal 4 2 2 2 6 2 2 2" xfId="5355"/>
    <cellStyle name="Normal 4 2 2 2 6 2 2 2 2" xfId="29028"/>
    <cellStyle name="Normal 4 2 2 2 6 2 2 2 2 2" xfId="29029"/>
    <cellStyle name="Normal 4 2 2 2 6 2 2 2 2 2 2" xfId="29030"/>
    <cellStyle name="Normal 4 2 2 2 6 2 2 2 2 3" xfId="29031"/>
    <cellStyle name="Normal 4 2 2 2 6 2 2 2 3" xfId="29032"/>
    <cellStyle name="Normal 4 2 2 2 6 2 2 2 3 2" xfId="29033"/>
    <cellStyle name="Normal 4 2 2 2 6 2 2 2 4" xfId="29034"/>
    <cellStyle name="Normal 4 2 2 2 6 2 2 3" xfId="29035"/>
    <cellStyle name="Normal 4 2 2 2 6 2 2 3 2" xfId="29036"/>
    <cellStyle name="Normal 4 2 2 2 6 2 2 3 2 2" xfId="29037"/>
    <cellStyle name="Normal 4 2 2 2 6 2 2 3 3" xfId="29038"/>
    <cellStyle name="Normal 4 2 2 2 6 2 2 4" xfId="29039"/>
    <cellStyle name="Normal 4 2 2 2 6 2 2 4 2" xfId="29040"/>
    <cellStyle name="Normal 4 2 2 2 6 2 2 5" xfId="29041"/>
    <cellStyle name="Normal 4 2 2 2 6 2 3" xfId="3995"/>
    <cellStyle name="Normal 4 2 2 2 6 2 3 2" xfId="29042"/>
    <cellStyle name="Normal 4 2 2 2 6 2 3 2 2" xfId="29043"/>
    <cellStyle name="Normal 4 2 2 2 6 2 3 2 2 2" xfId="29044"/>
    <cellStyle name="Normal 4 2 2 2 6 2 3 2 3" xfId="29045"/>
    <cellStyle name="Normal 4 2 2 2 6 2 3 3" xfId="29046"/>
    <cellStyle name="Normal 4 2 2 2 6 2 3 3 2" xfId="29047"/>
    <cellStyle name="Normal 4 2 2 2 6 2 3 4" xfId="29048"/>
    <cellStyle name="Normal 4 2 2 2 6 2 4" xfId="29049"/>
    <cellStyle name="Normal 4 2 2 2 6 2 4 2" xfId="29050"/>
    <cellStyle name="Normal 4 2 2 2 6 2 4 2 2" xfId="29051"/>
    <cellStyle name="Normal 4 2 2 2 6 2 4 3" xfId="29052"/>
    <cellStyle name="Normal 4 2 2 2 6 2 5" xfId="29053"/>
    <cellStyle name="Normal 4 2 2 2 6 2 5 2" xfId="29054"/>
    <cellStyle name="Normal 4 2 2 2 6 2 6" xfId="29055"/>
    <cellStyle name="Normal 4 2 2 2 6 3" xfId="1955"/>
    <cellStyle name="Normal 4 2 2 2 6 3 2" xfId="4675"/>
    <cellStyle name="Normal 4 2 2 2 6 3 2 2" xfId="29056"/>
    <cellStyle name="Normal 4 2 2 2 6 3 2 2 2" xfId="29057"/>
    <cellStyle name="Normal 4 2 2 2 6 3 2 2 2 2" xfId="29058"/>
    <cellStyle name="Normal 4 2 2 2 6 3 2 2 3" xfId="29059"/>
    <cellStyle name="Normal 4 2 2 2 6 3 2 3" xfId="29060"/>
    <cellStyle name="Normal 4 2 2 2 6 3 2 3 2" xfId="29061"/>
    <cellStyle name="Normal 4 2 2 2 6 3 2 4" xfId="29062"/>
    <cellStyle name="Normal 4 2 2 2 6 3 3" xfId="29063"/>
    <cellStyle name="Normal 4 2 2 2 6 3 3 2" xfId="29064"/>
    <cellStyle name="Normal 4 2 2 2 6 3 3 2 2" xfId="29065"/>
    <cellStyle name="Normal 4 2 2 2 6 3 3 3" xfId="29066"/>
    <cellStyle name="Normal 4 2 2 2 6 3 4" xfId="29067"/>
    <cellStyle name="Normal 4 2 2 2 6 3 4 2" xfId="29068"/>
    <cellStyle name="Normal 4 2 2 2 6 3 5" xfId="29069"/>
    <cellStyle name="Normal 4 2 2 2 6 4" xfId="3315"/>
    <cellStyle name="Normal 4 2 2 2 6 4 2" xfId="29070"/>
    <cellStyle name="Normal 4 2 2 2 6 4 2 2" xfId="29071"/>
    <cellStyle name="Normal 4 2 2 2 6 4 2 2 2" xfId="29072"/>
    <cellStyle name="Normal 4 2 2 2 6 4 2 3" xfId="29073"/>
    <cellStyle name="Normal 4 2 2 2 6 4 3" xfId="29074"/>
    <cellStyle name="Normal 4 2 2 2 6 4 3 2" xfId="29075"/>
    <cellStyle name="Normal 4 2 2 2 6 4 4" xfId="29076"/>
    <cellStyle name="Normal 4 2 2 2 6 5" xfId="29077"/>
    <cellStyle name="Normal 4 2 2 2 6 5 2" xfId="29078"/>
    <cellStyle name="Normal 4 2 2 2 6 5 2 2" xfId="29079"/>
    <cellStyle name="Normal 4 2 2 2 6 5 3" xfId="29080"/>
    <cellStyle name="Normal 4 2 2 2 6 6" xfId="29081"/>
    <cellStyle name="Normal 4 2 2 2 6 6 2" xfId="29082"/>
    <cellStyle name="Normal 4 2 2 2 6 7" xfId="29083"/>
    <cellStyle name="Normal 4 2 2 2 7" xfId="731"/>
    <cellStyle name="Normal 4 2 2 2 7 2" xfId="2091"/>
    <cellStyle name="Normal 4 2 2 2 7 2 2" xfId="4811"/>
    <cellStyle name="Normal 4 2 2 2 7 2 2 2" xfId="29084"/>
    <cellStyle name="Normal 4 2 2 2 7 2 2 2 2" xfId="29085"/>
    <cellStyle name="Normal 4 2 2 2 7 2 2 2 2 2" xfId="29086"/>
    <cellStyle name="Normal 4 2 2 2 7 2 2 2 3" xfId="29087"/>
    <cellStyle name="Normal 4 2 2 2 7 2 2 3" xfId="29088"/>
    <cellStyle name="Normal 4 2 2 2 7 2 2 3 2" xfId="29089"/>
    <cellStyle name="Normal 4 2 2 2 7 2 2 4" xfId="29090"/>
    <cellStyle name="Normal 4 2 2 2 7 2 3" xfId="29091"/>
    <cellStyle name="Normal 4 2 2 2 7 2 3 2" xfId="29092"/>
    <cellStyle name="Normal 4 2 2 2 7 2 3 2 2" xfId="29093"/>
    <cellStyle name="Normal 4 2 2 2 7 2 3 3" xfId="29094"/>
    <cellStyle name="Normal 4 2 2 2 7 2 4" xfId="29095"/>
    <cellStyle name="Normal 4 2 2 2 7 2 4 2" xfId="29096"/>
    <cellStyle name="Normal 4 2 2 2 7 2 5" xfId="29097"/>
    <cellStyle name="Normal 4 2 2 2 7 3" xfId="3451"/>
    <cellStyle name="Normal 4 2 2 2 7 3 2" xfId="29098"/>
    <cellStyle name="Normal 4 2 2 2 7 3 2 2" xfId="29099"/>
    <cellStyle name="Normal 4 2 2 2 7 3 2 2 2" xfId="29100"/>
    <cellStyle name="Normal 4 2 2 2 7 3 2 3" xfId="29101"/>
    <cellStyle name="Normal 4 2 2 2 7 3 3" xfId="29102"/>
    <cellStyle name="Normal 4 2 2 2 7 3 3 2" xfId="29103"/>
    <cellStyle name="Normal 4 2 2 2 7 3 4" xfId="29104"/>
    <cellStyle name="Normal 4 2 2 2 7 4" xfId="29105"/>
    <cellStyle name="Normal 4 2 2 2 7 4 2" xfId="29106"/>
    <cellStyle name="Normal 4 2 2 2 7 4 2 2" xfId="29107"/>
    <cellStyle name="Normal 4 2 2 2 7 4 3" xfId="29108"/>
    <cellStyle name="Normal 4 2 2 2 7 5" xfId="29109"/>
    <cellStyle name="Normal 4 2 2 2 7 5 2" xfId="29110"/>
    <cellStyle name="Normal 4 2 2 2 7 6" xfId="29111"/>
    <cellStyle name="Normal 4 2 2 2 8" xfId="1411"/>
    <cellStyle name="Normal 4 2 2 2 8 2" xfId="4131"/>
    <cellStyle name="Normal 4 2 2 2 8 2 2" xfId="29112"/>
    <cellStyle name="Normal 4 2 2 2 8 2 2 2" xfId="29113"/>
    <cellStyle name="Normal 4 2 2 2 8 2 2 2 2" xfId="29114"/>
    <cellStyle name="Normal 4 2 2 2 8 2 2 3" xfId="29115"/>
    <cellStyle name="Normal 4 2 2 2 8 2 3" xfId="29116"/>
    <cellStyle name="Normal 4 2 2 2 8 2 3 2" xfId="29117"/>
    <cellStyle name="Normal 4 2 2 2 8 2 4" xfId="29118"/>
    <cellStyle name="Normal 4 2 2 2 8 3" xfId="29119"/>
    <cellStyle name="Normal 4 2 2 2 8 3 2" xfId="29120"/>
    <cellStyle name="Normal 4 2 2 2 8 3 2 2" xfId="29121"/>
    <cellStyle name="Normal 4 2 2 2 8 3 3" xfId="29122"/>
    <cellStyle name="Normal 4 2 2 2 8 4" xfId="29123"/>
    <cellStyle name="Normal 4 2 2 2 8 4 2" xfId="29124"/>
    <cellStyle name="Normal 4 2 2 2 8 5" xfId="29125"/>
    <cellStyle name="Normal 4 2 2 2 9" xfId="2771"/>
    <cellStyle name="Normal 4 2 2 2 9 2" xfId="29126"/>
    <cellStyle name="Normal 4 2 2 2 9 2 2" xfId="29127"/>
    <cellStyle name="Normal 4 2 2 2 9 2 2 2" xfId="29128"/>
    <cellStyle name="Normal 4 2 2 2 9 2 3" xfId="29129"/>
    <cellStyle name="Normal 4 2 2 2 9 3" xfId="29130"/>
    <cellStyle name="Normal 4 2 2 2 9 3 2" xfId="29131"/>
    <cellStyle name="Normal 4 2 2 2 9 4" xfId="29132"/>
    <cellStyle name="Normal 4 2 2 3" xfId="67"/>
    <cellStyle name="Normal 4 2 2 3 10" xfId="29133"/>
    <cellStyle name="Normal 4 2 2 3 10 2" xfId="29134"/>
    <cellStyle name="Normal 4 2 2 3 11" xfId="29135"/>
    <cellStyle name="Normal 4 2 2 3 2" xfId="135"/>
    <cellStyle name="Normal 4 2 2 3 2 10" xfId="29136"/>
    <cellStyle name="Normal 4 2 2 3 2 2" xfId="272"/>
    <cellStyle name="Normal 4 2 2 3 2 2 2" xfId="544"/>
    <cellStyle name="Normal 4 2 2 3 2 2 2 2" xfId="1224"/>
    <cellStyle name="Normal 4 2 2 3 2 2 2 2 2" xfId="2584"/>
    <cellStyle name="Normal 4 2 2 3 2 2 2 2 2 2" xfId="5304"/>
    <cellStyle name="Normal 4 2 2 3 2 2 2 2 2 2 2" xfId="29137"/>
    <cellStyle name="Normal 4 2 2 3 2 2 2 2 2 2 2 2" xfId="29138"/>
    <cellStyle name="Normal 4 2 2 3 2 2 2 2 2 2 2 2 2" xfId="29139"/>
    <cellStyle name="Normal 4 2 2 3 2 2 2 2 2 2 2 3" xfId="29140"/>
    <cellStyle name="Normal 4 2 2 3 2 2 2 2 2 2 3" xfId="29141"/>
    <cellStyle name="Normal 4 2 2 3 2 2 2 2 2 2 3 2" xfId="29142"/>
    <cellStyle name="Normal 4 2 2 3 2 2 2 2 2 2 4" xfId="29143"/>
    <cellStyle name="Normal 4 2 2 3 2 2 2 2 2 3" xfId="29144"/>
    <cellStyle name="Normal 4 2 2 3 2 2 2 2 2 3 2" xfId="29145"/>
    <cellStyle name="Normal 4 2 2 3 2 2 2 2 2 3 2 2" xfId="29146"/>
    <cellStyle name="Normal 4 2 2 3 2 2 2 2 2 3 3" xfId="29147"/>
    <cellStyle name="Normal 4 2 2 3 2 2 2 2 2 4" xfId="29148"/>
    <cellStyle name="Normal 4 2 2 3 2 2 2 2 2 4 2" xfId="29149"/>
    <cellStyle name="Normal 4 2 2 3 2 2 2 2 2 5" xfId="29150"/>
    <cellStyle name="Normal 4 2 2 3 2 2 2 2 3" xfId="3944"/>
    <cellStyle name="Normal 4 2 2 3 2 2 2 2 3 2" xfId="29151"/>
    <cellStyle name="Normal 4 2 2 3 2 2 2 2 3 2 2" xfId="29152"/>
    <cellStyle name="Normal 4 2 2 3 2 2 2 2 3 2 2 2" xfId="29153"/>
    <cellStyle name="Normal 4 2 2 3 2 2 2 2 3 2 3" xfId="29154"/>
    <cellStyle name="Normal 4 2 2 3 2 2 2 2 3 3" xfId="29155"/>
    <cellStyle name="Normal 4 2 2 3 2 2 2 2 3 3 2" xfId="29156"/>
    <cellStyle name="Normal 4 2 2 3 2 2 2 2 3 4" xfId="29157"/>
    <cellStyle name="Normal 4 2 2 3 2 2 2 2 4" xfId="29158"/>
    <cellStyle name="Normal 4 2 2 3 2 2 2 2 4 2" xfId="29159"/>
    <cellStyle name="Normal 4 2 2 3 2 2 2 2 4 2 2" xfId="29160"/>
    <cellStyle name="Normal 4 2 2 3 2 2 2 2 4 3" xfId="29161"/>
    <cellStyle name="Normal 4 2 2 3 2 2 2 2 5" xfId="29162"/>
    <cellStyle name="Normal 4 2 2 3 2 2 2 2 5 2" xfId="29163"/>
    <cellStyle name="Normal 4 2 2 3 2 2 2 2 6" xfId="29164"/>
    <cellStyle name="Normal 4 2 2 3 2 2 2 3" xfId="1904"/>
    <cellStyle name="Normal 4 2 2 3 2 2 2 3 2" xfId="4624"/>
    <cellStyle name="Normal 4 2 2 3 2 2 2 3 2 2" xfId="29165"/>
    <cellStyle name="Normal 4 2 2 3 2 2 2 3 2 2 2" xfId="29166"/>
    <cellStyle name="Normal 4 2 2 3 2 2 2 3 2 2 2 2" xfId="29167"/>
    <cellStyle name="Normal 4 2 2 3 2 2 2 3 2 2 3" xfId="29168"/>
    <cellStyle name="Normal 4 2 2 3 2 2 2 3 2 3" xfId="29169"/>
    <cellStyle name="Normal 4 2 2 3 2 2 2 3 2 3 2" xfId="29170"/>
    <cellStyle name="Normal 4 2 2 3 2 2 2 3 2 4" xfId="29171"/>
    <cellStyle name="Normal 4 2 2 3 2 2 2 3 3" xfId="29172"/>
    <cellStyle name="Normal 4 2 2 3 2 2 2 3 3 2" xfId="29173"/>
    <cellStyle name="Normal 4 2 2 3 2 2 2 3 3 2 2" xfId="29174"/>
    <cellStyle name="Normal 4 2 2 3 2 2 2 3 3 3" xfId="29175"/>
    <cellStyle name="Normal 4 2 2 3 2 2 2 3 4" xfId="29176"/>
    <cellStyle name="Normal 4 2 2 3 2 2 2 3 4 2" xfId="29177"/>
    <cellStyle name="Normal 4 2 2 3 2 2 2 3 5" xfId="29178"/>
    <cellStyle name="Normal 4 2 2 3 2 2 2 4" xfId="3264"/>
    <cellStyle name="Normal 4 2 2 3 2 2 2 4 2" xfId="29179"/>
    <cellStyle name="Normal 4 2 2 3 2 2 2 4 2 2" xfId="29180"/>
    <cellStyle name="Normal 4 2 2 3 2 2 2 4 2 2 2" xfId="29181"/>
    <cellStyle name="Normal 4 2 2 3 2 2 2 4 2 3" xfId="29182"/>
    <cellStyle name="Normal 4 2 2 3 2 2 2 4 3" xfId="29183"/>
    <cellStyle name="Normal 4 2 2 3 2 2 2 4 3 2" xfId="29184"/>
    <cellStyle name="Normal 4 2 2 3 2 2 2 4 4" xfId="29185"/>
    <cellStyle name="Normal 4 2 2 3 2 2 2 5" xfId="29186"/>
    <cellStyle name="Normal 4 2 2 3 2 2 2 5 2" xfId="29187"/>
    <cellStyle name="Normal 4 2 2 3 2 2 2 5 2 2" xfId="29188"/>
    <cellStyle name="Normal 4 2 2 3 2 2 2 5 3" xfId="29189"/>
    <cellStyle name="Normal 4 2 2 3 2 2 2 6" xfId="29190"/>
    <cellStyle name="Normal 4 2 2 3 2 2 2 6 2" xfId="29191"/>
    <cellStyle name="Normal 4 2 2 3 2 2 2 7" xfId="29192"/>
    <cellStyle name="Normal 4 2 2 3 2 2 3" xfId="952"/>
    <cellStyle name="Normal 4 2 2 3 2 2 3 2" xfId="2312"/>
    <cellStyle name="Normal 4 2 2 3 2 2 3 2 2" xfId="5032"/>
    <cellStyle name="Normal 4 2 2 3 2 2 3 2 2 2" xfId="29193"/>
    <cellStyle name="Normal 4 2 2 3 2 2 3 2 2 2 2" xfId="29194"/>
    <cellStyle name="Normal 4 2 2 3 2 2 3 2 2 2 2 2" xfId="29195"/>
    <cellStyle name="Normal 4 2 2 3 2 2 3 2 2 2 3" xfId="29196"/>
    <cellStyle name="Normal 4 2 2 3 2 2 3 2 2 3" xfId="29197"/>
    <cellStyle name="Normal 4 2 2 3 2 2 3 2 2 3 2" xfId="29198"/>
    <cellStyle name="Normal 4 2 2 3 2 2 3 2 2 4" xfId="29199"/>
    <cellStyle name="Normal 4 2 2 3 2 2 3 2 3" xfId="29200"/>
    <cellStyle name="Normal 4 2 2 3 2 2 3 2 3 2" xfId="29201"/>
    <cellStyle name="Normal 4 2 2 3 2 2 3 2 3 2 2" xfId="29202"/>
    <cellStyle name="Normal 4 2 2 3 2 2 3 2 3 3" xfId="29203"/>
    <cellStyle name="Normal 4 2 2 3 2 2 3 2 4" xfId="29204"/>
    <cellStyle name="Normal 4 2 2 3 2 2 3 2 4 2" xfId="29205"/>
    <cellStyle name="Normal 4 2 2 3 2 2 3 2 5" xfId="29206"/>
    <cellStyle name="Normal 4 2 2 3 2 2 3 3" xfId="3672"/>
    <cellStyle name="Normal 4 2 2 3 2 2 3 3 2" xfId="29207"/>
    <cellStyle name="Normal 4 2 2 3 2 2 3 3 2 2" xfId="29208"/>
    <cellStyle name="Normal 4 2 2 3 2 2 3 3 2 2 2" xfId="29209"/>
    <cellStyle name="Normal 4 2 2 3 2 2 3 3 2 3" xfId="29210"/>
    <cellStyle name="Normal 4 2 2 3 2 2 3 3 3" xfId="29211"/>
    <cellStyle name="Normal 4 2 2 3 2 2 3 3 3 2" xfId="29212"/>
    <cellStyle name="Normal 4 2 2 3 2 2 3 3 4" xfId="29213"/>
    <cellStyle name="Normal 4 2 2 3 2 2 3 4" xfId="29214"/>
    <cellStyle name="Normal 4 2 2 3 2 2 3 4 2" xfId="29215"/>
    <cellStyle name="Normal 4 2 2 3 2 2 3 4 2 2" xfId="29216"/>
    <cellStyle name="Normal 4 2 2 3 2 2 3 4 3" xfId="29217"/>
    <cellStyle name="Normal 4 2 2 3 2 2 3 5" xfId="29218"/>
    <cellStyle name="Normal 4 2 2 3 2 2 3 5 2" xfId="29219"/>
    <cellStyle name="Normal 4 2 2 3 2 2 3 6" xfId="29220"/>
    <cellStyle name="Normal 4 2 2 3 2 2 4" xfId="1632"/>
    <cellStyle name="Normal 4 2 2 3 2 2 4 2" xfId="4352"/>
    <cellStyle name="Normal 4 2 2 3 2 2 4 2 2" xfId="29221"/>
    <cellStyle name="Normal 4 2 2 3 2 2 4 2 2 2" xfId="29222"/>
    <cellStyle name="Normal 4 2 2 3 2 2 4 2 2 2 2" xfId="29223"/>
    <cellStyle name="Normal 4 2 2 3 2 2 4 2 2 3" xfId="29224"/>
    <cellStyle name="Normal 4 2 2 3 2 2 4 2 3" xfId="29225"/>
    <cellStyle name="Normal 4 2 2 3 2 2 4 2 3 2" xfId="29226"/>
    <cellStyle name="Normal 4 2 2 3 2 2 4 2 4" xfId="29227"/>
    <cellStyle name="Normal 4 2 2 3 2 2 4 3" xfId="29228"/>
    <cellStyle name="Normal 4 2 2 3 2 2 4 3 2" xfId="29229"/>
    <cellStyle name="Normal 4 2 2 3 2 2 4 3 2 2" xfId="29230"/>
    <cellStyle name="Normal 4 2 2 3 2 2 4 3 3" xfId="29231"/>
    <cellStyle name="Normal 4 2 2 3 2 2 4 4" xfId="29232"/>
    <cellStyle name="Normal 4 2 2 3 2 2 4 4 2" xfId="29233"/>
    <cellStyle name="Normal 4 2 2 3 2 2 4 5" xfId="29234"/>
    <cellStyle name="Normal 4 2 2 3 2 2 5" xfId="2992"/>
    <cellStyle name="Normal 4 2 2 3 2 2 5 2" xfId="29235"/>
    <cellStyle name="Normal 4 2 2 3 2 2 5 2 2" xfId="29236"/>
    <cellStyle name="Normal 4 2 2 3 2 2 5 2 2 2" xfId="29237"/>
    <cellStyle name="Normal 4 2 2 3 2 2 5 2 3" xfId="29238"/>
    <cellStyle name="Normal 4 2 2 3 2 2 5 3" xfId="29239"/>
    <cellStyle name="Normal 4 2 2 3 2 2 5 3 2" xfId="29240"/>
    <cellStyle name="Normal 4 2 2 3 2 2 5 4" xfId="29241"/>
    <cellStyle name="Normal 4 2 2 3 2 2 6" xfId="29242"/>
    <cellStyle name="Normal 4 2 2 3 2 2 6 2" xfId="29243"/>
    <cellStyle name="Normal 4 2 2 3 2 2 6 2 2" xfId="29244"/>
    <cellStyle name="Normal 4 2 2 3 2 2 6 3" xfId="29245"/>
    <cellStyle name="Normal 4 2 2 3 2 2 7" xfId="29246"/>
    <cellStyle name="Normal 4 2 2 3 2 2 7 2" xfId="29247"/>
    <cellStyle name="Normal 4 2 2 3 2 2 8" xfId="29248"/>
    <cellStyle name="Normal 4 2 2 3 2 3" xfId="408"/>
    <cellStyle name="Normal 4 2 2 3 2 3 2" xfId="1088"/>
    <cellStyle name="Normal 4 2 2 3 2 3 2 2" xfId="2448"/>
    <cellStyle name="Normal 4 2 2 3 2 3 2 2 2" xfId="5168"/>
    <cellStyle name="Normal 4 2 2 3 2 3 2 2 2 2" xfId="29249"/>
    <cellStyle name="Normal 4 2 2 3 2 3 2 2 2 2 2" xfId="29250"/>
    <cellStyle name="Normal 4 2 2 3 2 3 2 2 2 2 2 2" xfId="29251"/>
    <cellStyle name="Normal 4 2 2 3 2 3 2 2 2 2 3" xfId="29252"/>
    <cellStyle name="Normal 4 2 2 3 2 3 2 2 2 3" xfId="29253"/>
    <cellStyle name="Normal 4 2 2 3 2 3 2 2 2 3 2" xfId="29254"/>
    <cellStyle name="Normal 4 2 2 3 2 3 2 2 2 4" xfId="29255"/>
    <cellStyle name="Normal 4 2 2 3 2 3 2 2 3" xfId="29256"/>
    <cellStyle name="Normal 4 2 2 3 2 3 2 2 3 2" xfId="29257"/>
    <cellStyle name="Normal 4 2 2 3 2 3 2 2 3 2 2" xfId="29258"/>
    <cellStyle name="Normal 4 2 2 3 2 3 2 2 3 3" xfId="29259"/>
    <cellStyle name="Normal 4 2 2 3 2 3 2 2 4" xfId="29260"/>
    <cellStyle name="Normal 4 2 2 3 2 3 2 2 4 2" xfId="29261"/>
    <cellStyle name="Normal 4 2 2 3 2 3 2 2 5" xfId="29262"/>
    <cellStyle name="Normal 4 2 2 3 2 3 2 3" xfId="3808"/>
    <cellStyle name="Normal 4 2 2 3 2 3 2 3 2" xfId="29263"/>
    <cellStyle name="Normal 4 2 2 3 2 3 2 3 2 2" xfId="29264"/>
    <cellStyle name="Normal 4 2 2 3 2 3 2 3 2 2 2" xfId="29265"/>
    <cellStyle name="Normal 4 2 2 3 2 3 2 3 2 3" xfId="29266"/>
    <cellStyle name="Normal 4 2 2 3 2 3 2 3 3" xfId="29267"/>
    <cellStyle name="Normal 4 2 2 3 2 3 2 3 3 2" xfId="29268"/>
    <cellStyle name="Normal 4 2 2 3 2 3 2 3 4" xfId="29269"/>
    <cellStyle name="Normal 4 2 2 3 2 3 2 4" xfId="29270"/>
    <cellStyle name="Normal 4 2 2 3 2 3 2 4 2" xfId="29271"/>
    <cellStyle name="Normal 4 2 2 3 2 3 2 4 2 2" xfId="29272"/>
    <cellStyle name="Normal 4 2 2 3 2 3 2 4 3" xfId="29273"/>
    <cellStyle name="Normal 4 2 2 3 2 3 2 5" xfId="29274"/>
    <cellStyle name="Normal 4 2 2 3 2 3 2 5 2" xfId="29275"/>
    <cellStyle name="Normal 4 2 2 3 2 3 2 6" xfId="29276"/>
    <cellStyle name="Normal 4 2 2 3 2 3 3" xfId="1768"/>
    <cellStyle name="Normal 4 2 2 3 2 3 3 2" xfId="4488"/>
    <cellStyle name="Normal 4 2 2 3 2 3 3 2 2" xfId="29277"/>
    <cellStyle name="Normal 4 2 2 3 2 3 3 2 2 2" xfId="29278"/>
    <cellStyle name="Normal 4 2 2 3 2 3 3 2 2 2 2" xfId="29279"/>
    <cellStyle name="Normal 4 2 2 3 2 3 3 2 2 3" xfId="29280"/>
    <cellStyle name="Normal 4 2 2 3 2 3 3 2 3" xfId="29281"/>
    <cellStyle name="Normal 4 2 2 3 2 3 3 2 3 2" xfId="29282"/>
    <cellStyle name="Normal 4 2 2 3 2 3 3 2 4" xfId="29283"/>
    <cellStyle name="Normal 4 2 2 3 2 3 3 3" xfId="29284"/>
    <cellStyle name="Normal 4 2 2 3 2 3 3 3 2" xfId="29285"/>
    <cellStyle name="Normal 4 2 2 3 2 3 3 3 2 2" xfId="29286"/>
    <cellStyle name="Normal 4 2 2 3 2 3 3 3 3" xfId="29287"/>
    <cellStyle name="Normal 4 2 2 3 2 3 3 4" xfId="29288"/>
    <cellStyle name="Normal 4 2 2 3 2 3 3 4 2" xfId="29289"/>
    <cellStyle name="Normal 4 2 2 3 2 3 3 5" xfId="29290"/>
    <cellStyle name="Normal 4 2 2 3 2 3 4" xfId="3128"/>
    <cellStyle name="Normal 4 2 2 3 2 3 4 2" xfId="29291"/>
    <cellStyle name="Normal 4 2 2 3 2 3 4 2 2" xfId="29292"/>
    <cellStyle name="Normal 4 2 2 3 2 3 4 2 2 2" xfId="29293"/>
    <cellStyle name="Normal 4 2 2 3 2 3 4 2 3" xfId="29294"/>
    <cellStyle name="Normal 4 2 2 3 2 3 4 3" xfId="29295"/>
    <cellStyle name="Normal 4 2 2 3 2 3 4 3 2" xfId="29296"/>
    <cellStyle name="Normal 4 2 2 3 2 3 4 4" xfId="29297"/>
    <cellStyle name="Normal 4 2 2 3 2 3 5" xfId="29298"/>
    <cellStyle name="Normal 4 2 2 3 2 3 5 2" xfId="29299"/>
    <cellStyle name="Normal 4 2 2 3 2 3 5 2 2" xfId="29300"/>
    <cellStyle name="Normal 4 2 2 3 2 3 5 3" xfId="29301"/>
    <cellStyle name="Normal 4 2 2 3 2 3 6" xfId="29302"/>
    <cellStyle name="Normal 4 2 2 3 2 3 6 2" xfId="29303"/>
    <cellStyle name="Normal 4 2 2 3 2 3 7" xfId="29304"/>
    <cellStyle name="Normal 4 2 2 3 2 4" xfId="680"/>
    <cellStyle name="Normal 4 2 2 3 2 4 2" xfId="1360"/>
    <cellStyle name="Normal 4 2 2 3 2 4 2 2" xfId="2720"/>
    <cellStyle name="Normal 4 2 2 3 2 4 2 2 2" xfId="5440"/>
    <cellStyle name="Normal 4 2 2 3 2 4 2 2 2 2" xfId="29305"/>
    <cellStyle name="Normal 4 2 2 3 2 4 2 2 2 2 2" xfId="29306"/>
    <cellStyle name="Normal 4 2 2 3 2 4 2 2 2 2 2 2" xfId="29307"/>
    <cellStyle name="Normal 4 2 2 3 2 4 2 2 2 2 3" xfId="29308"/>
    <cellStyle name="Normal 4 2 2 3 2 4 2 2 2 3" xfId="29309"/>
    <cellStyle name="Normal 4 2 2 3 2 4 2 2 2 3 2" xfId="29310"/>
    <cellStyle name="Normal 4 2 2 3 2 4 2 2 2 4" xfId="29311"/>
    <cellStyle name="Normal 4 2 2 3 2 4 2 2 3" xfId="29312"/>
    <cellStyle name="Normal 4 2 2 3 2 4 2 2 3 2" xfId="29313"/>
    <cellStyle name="Normal 4 2 2 3 2 4 2 2 3 2 2" xfId="29314"/>
    <cellStyle name="Normal 4 2 2 3 2 4 2 2 3 3" xfId="29315"/>
    <cellStyle name="Normal 4 2 2 3 2 4 2 2 4" xfId="29316"/>
    <cellStyle name="Normal 4 2 2 3 2 4 2 2 4 2" xfId="29317"/>
    <cellStyle name="Normal 4 2 2 3 2 4 2 2 5" xfId="29318"/>
    <cellStyle name="Normal 4 2 2 3 2 4 2 3" xfId="4080"/>
    <cellStyle name="Normal 4 2 2 3 2 4 2 3 2" xfId="29319"/>
    <cellStyle name="Normal 4 2 2 3 2 4 2 3 2 2" xfId="29320"/>
    <cellStyle name="Normal 4 2 2 3 2 4 2 3 2 2 2" xfId="29321"/>
    <cellStyle name="Normal 4 2 2 3 2 4 2 3 2 3" xfId="29322"/>
    <cellStyle name="Normal 4 2 2 3 2 4 2 3 3" xfId="29323"/>
    <cellStyle name="Normal 4 2 2 3 2 4 2 3 3 2" xfId="29324"/>
    <cellStyle name="Normal 4 2 2 3 2 4 2 3 4" xfId="29325"/>
    <cellStyle name="Normal 4 2 2 3 2 4 2 4" xfId="29326"/>
    <cellStyle name="Normal 4 2 2 3 2 4 2 4 2" xfId="29327"/>
    <cellStyle name="Normal 4 2 2 3 2 4 2 4 2 2" xfId="29328"/>
    <cellStyle name="Normal 4 2 2 3 2 4 2 4 3" xfId="29329"/>
    <cellStyle name="Normal 4 2 2 3 2 4 2 5" xfId="29330"/>
    <cellStyle name="Normal 4 2 2 3 2 4 2 5 2" xfId="29331"/>
    <cellStyle name="Normal 4 2 2 3 2 4 2 6" xfId="29332"/>
    <cellStyle name="Normal 4 2 2 3 2 4 3" xfId="2040"/>
    <cellStyle name="Normal 4 2 2 3 2 4 3 2" xfId="4760"/>
    <cellStyle name="Normal 4 2 2 3 2 4 3 2 2" xfId="29333"/>
    <cellStyle name="Normal 4 2 2 3 2 4 3 2 2 2" xfId="29334"/>
    <cellStyle name="Normal 4 2 2 3 2 4 3 2 2 2 2" xfId="29335"/>
    <cellStyle name="Normal 4 2 2 3 2 4 3 2 2 3" xfId="29336"/>
    <cellStyle name="Normal 4 2 2 3 2 4 3 2 3" xfId="29337"/>
    <cellStyle name="Normal 4 2 2 3 2 4 3 2 3 2" xfId="29338"/>
    <cellStyle name="Normal 4 2 2 3 2 4 3 2 4" xfId="29339"/>
    <cellStyle name="Normal 4 2 2 3 2 4 3 3" xfId="29340"/>
    <cellStyle name="Normal 4 2 2 3 2 4 3 3 2" xfId="29341"/>
    <cellStyle name="Normal 4 2 2 3 2 4 3 3 2 2" xfId="29342"/>
    <cellStyle name="Normal 4 2 2 3 2 4 3 3 3" xfId="29343"/>
    <cellStyle name="Normal 4 2 2 3 2 4 3 4" xfId="29344"/>
    <cellStyle name="Normal 4 2 2 3 2 4 3 4 2" xfId="29345"/>
    <cellStyle name="Normal 4 2 2 3 2 4 3 5" xfId="29346"/>
    <cellStyle name="Normal 4 2 2 3 2 4 4" xfId="3400"/>
    <cellStyle name="Normal 4 2 2 3 2 4 4 2" xfId="29347"/>
    <cellStyle name="Normal 4 2 2 3 2 4 4 2 2" xfId="29348"/>
    <cellStyle name="Normal 4 2 2 3 2 4 4 2 2 2" xfId="29349"/>
    <cellStyle name="Normal 4 2 2 3 2 4 4 2 3" xfId="29350"/>
    <cellStyle name="Normal 4 2 2 3 2 4 4 3" xfId="29351"/>
    <cellStyle name="Normal 4 2 2 3 2 4 4 3 2" xfId="29352"/>
    <cellStyle name="Normal 4 2 2 3 2 4 4 4" xfId="29353"/>
    <cellStyle name="Normal 4 2 2 3 2 4 5" xfId="29354"/>
    <cellStyle name="Normal 4 2 2 3 2 4 5 2" xfId="29355"/>
    <cellStyle name="Normal 4 2 2 3 2 4 5 2 2" xfId="29356"/>
    <cellStyle name="Normal 4 2 2 3 2 4 5 3" xfId="29357"/>
    <cellStyle name="Normal 4 2 2 3 2 4 6" xfId="29358"/>
    <cellStyle name="Normal 4 2 2 3 2 4 6 2" xfId="29359"/>
    <cellStyle name="Normal 4 2 2 3 2 4 7" xfId="29360"/>
    <cellStyle name="Normal 4 2 2 3 2 5" xfId="816"/>
    <cellStyle name="Normal 4 2 2 3 2 5 2" xfId="2176"/>
    <cellStyle name="Normal 4 2 2 3 2 5 2 2" xfId="4896"/>
    <cellStyle name="Normal 4 2 2 3 2 5 2 2 2" xfId="29361"/>
    <cellStyle name="Normal 4 2 2 3 2 5 2 2 2 2" xfId="29362"/>
    <cellStyle name="Normal 4 2 2 3 2 5 2 2 2 2 2" xfId="29363"/>
    <cellStyle name="Normal 4 2 2 3 2 5 2 2 2 3" xfId="29364"/>
    <cellStyle name="Normal 4 2 2 3 2 5 2 2 3" xfId="29365"/>
    <cellStyle name="Normal 4 2 2 3 2 5 2 2 3 2" xfId="29366"/>
    <cellStyle name="Normal 4 2 2 3 2 5 2 2 4" xfId="29367"/>
    <cellStyle name="Normal 4 2 2 3 2 5 2 3" xfId="29368"/>
    <cellStyle name="Normal 4 2 2 3 2 5 2 3 2" xfId="29369"/>
    <cellStyle name="Normal 4 2 2 3 2 5 2 3 2 2" xfId="29370"/>
    <cellStyle name="Normal 4 2 2 3 2 5 2 3 3" xfId="29371"/>
    <cellStyle name="Normal 4 2 2 3 2 5 2 4" xfId="29372"/>
    <cellStyle name="Normal 4 2 2 3 2 5 2 4 2" xfId="29373"/>
    <cellStyle name="Normal 4 2 2 3 2 5 2 5" xfId="29374"/>
    <cellStyle name="Normal 4 2 2 3 2 5 3" xfId="3536"/>
    <cellStyle name="Normal 4 2 2 3 2 5 3 2" xfId="29375"/>
    <cellStyle name="Normal 4 2 2 3 2 5 3 2 2" xfId="29376"/>
    <cellStyle name="Normal 4 2 2 3 2 5 3 2 2 2" xfId="29377"/>
    <cellStyle name="Normal 4 2 2 3 2 5 3 2 3" xfId="29378"/>
    <cellStyle name="Normal 4 2 2 3 2 5 3 3" xfId="29379"/>
    <cellStyle name="Normal 4 2 2 3 2 5 3 3 2" xfId="29380"/>
    <cellStyle name="Normal 4 2 2 3 2 5 3 4" xfId="29381"/>
    <cellStyle name="Normal 4 2 2 3 2 5 4" xfId="29382"/>
    <cellStyle name="Normal 4 2 2 3 2 5 4 2" xfId="29383"/>
    <cellStyle name="Normal 4 2 2 3 2 5 4 2 2" xfId="29384"/>
    <cellStyle name="Normal 4 2 2 3 2 5 4 3" xfId="29385"/>
    <cellStyle name="Normal 4 2 2 3 2 5 5" xfId="29386"/>
    <cellStyle name="Normal 4 2 2 3 2 5 5 2" xfId="29387"/>
    <cellStyle name="Normal 4 2 2 3 2 5 6" xfId="29388"/>
    <cellStyle name="Normal 4 2 2 3 2 6" xfId="1496"/>
    <cellStyle name="Normal 4 2 2 3 2 6 2" xfId="4216"/>
    <cellStyle name="Normal 4 2 2 3 2 6 2 2" xfId="29389"/>
    <cellStyle name="Normal 4 2 2 3 2 6 2 2 2" xfId="29390"/>
    <cellStyle name="Normal 4 2 2 3 2 6 2 2 2 2" xfId="29391"/>
    <cellStyle name="Normal 4 2 2 3 2 6 2 2 3" xfId="29392"/>
    <cellStyle name="Normal 4 2 2 3 2 6 2 3" xfId="29393"/>
    <cellStyle name="Normal 4 2 2 3 2 6 2 3 2" xfId="29394"/>
    <cellStyle name="Normal 4 2 2 3 2 6 2 4" xfId="29395"/>
    <cellStyle name="Normal 4 2 2 3 2 6 3" xfId="29396"/>
    <cellStyle name="Normal 4 2 2 3 2 6 3 2" xfId="29397"/>
    <cellStyle name="Normal 4 2 2 3 2 6 3 2 2" xfId="29398"/>
    <cellStyle name="Normal 4 2 2 3 2 6 3 3" xfId="29399"/>
    <cellStyle name="Normal 4 2 2 3 2 6 4" xfId="29400"/>
    <cellStyle name="Normal 4 2 2 3 2 6 4 2" xfId="29401"/>
    <cellStyle name="Normal 4 2 2 3 2 6 5" xfId="29402"/>
    <cellStyle name="Normal 4 2 2 3 2 7" xfId="2856"/>
    <cellStyle name="Normal 4 2 2 3 2 7 2" xfId="29403"/>
    <cellStyle name="Normal 4 2 2 3 2 7 2 2" xfId="29404"/>
    <cellStyle name="Normal 4 2 2 3 2 7 2 2 2" xfId="29405"/>
    <cellStyle name="Normal 4 2 2 3 2 7 2 3" xfId="29406"/>
    <cellStyle name="Normal 4 2 2 3 2 7 3" xfId="29407"/>
    <cellStyle name="Normal 4 2 2 3 2 7 3 2" xfId="29408"/>
    <cellStyle name="Normal 4 2 2 3 2 7 4" xfId="29409"/>
    <cellStyle name="Normal 4 2 2 3 2 8" xfId="29410"/>
    <cellStyle name="Normal 4 2 2 3 2 8 2" xfId="29411"/>
    <cellStyle name="Normal 4 2 2 3 2 8 2 2" xfId="29412"/>
    <cellStyle name="Normal 4 2 2 3 2 8 3" xfId="29413"/>
    <cellStyle name="Normal 4 2 2 3 2 9" xfId="29414"/>
    <cellStyle name="Normal 4 2 2 3 2 9 2" xfId="29415"/>
    <cellStyle name="Normal 4 2 2 3 3" xfId="204"/>
    <cellStyle name="Normal 4 2 2 3 3 2" xfId="476"/>
    <cellStyle name="Normal 4 2 2 3 3 2 2" xfId="1156"/>
    <cellStyle name="Normal 4 2 2 3 3 2 2 2" xfId="2516"/>
    <cellStyle name="Normal 4 2 2 3 3 2 2 2 2" xfId="5236"/>
    <cellStyle name="Normal 4 2 2 3 3 2 2 2 2 2" xfId="29416"/>
    <cellStyle name="Normal 4 2 2 3 3 2 2 2 2 2 2" xfId="29417"/>
    <cellStyle name="Normal 4 2 2 3 3 2 2 2 2 2 2 2" xfId="29418"/>
    <cellStyle name="Normal 4 2 2 3 3 2 2 2 2 2 3" xfId="29419"/>
    <cellStyle name="Normal 4 2 2 3 3 2 2 2 2 3" xfId="29420"/>
    <cellStyle name="Normal 4 2 2 3 3 2 2 2 2 3 2" xfId="29421"/>
    <cellStyle name="Normal 4 2 2 3 3 2 2 2 2 4" xfId="29422"/>
    <cellStyle name="Normal 4 2 2 3 3 2 2 2 3" xfId="29423"/>
    <cellStyle name="Normal 4 2 2 3 3 2 2 2 3 2" xfId="29424"/>
    <cellStyle name="Normal 4 2 2 3 3 2 2 2 3 2 2" xfId="29425"/>
    <cellStyle name="Normal 4 2 2 3 3 2 2 2 3 3" xfId="29426"/>
    <cellStyle name="Normal 4 2 2 3 3 2 2 2 4" xfId="29427"/>
    <cellStyle name="Normal 4 2 2 3 3 2 2 2 4 2" xfId="29428"/>
    <cellStyle name="Normal 4 2 2 3 3 2 2 2 5" xfId="29429"/>
    <cellStyle name="Normal 4 2 2 3 3 2 2 3" xfId="3876"/>
    <cellStyle name="Normal 4 2 2 3 3 2 2 3 2" xfId="29430"/>
    <cellStyle name="Normal 4 2 2 3 3 2 2 3 2 2" xfId="29431"/>
    <cellStyle name="Normal 4 2 2 3 3 2 2 3 2 2 2" xfId="29432"/>
    <cellStyle name="Normal 4 2 2 3 3 2 2 3 2 3" xfId="29433"/>
    <cellStyle name="Normal 4 2 2 3 3 2 2 3 3" xfId="29434"/>
    <cellStyle name="Normal 4 2 2 3 3 2 2 3 3 2" xfId="29435"/>
    <cellStyle name="Normal 4 2 2 3 3 2 2 3 4" xfId="29436"/>
    <cellStyle name="Normal 4 2 2 3 3 2 2 4" xfId="29437"/>
    <cellStyle name="Normal 4 2 2 3 3 2 2 4 2" xfId="29438"/>
    <cellStyle name="Normal 4 2 2 3 3 2 2 4 2 2" xfId="29439"/>
    <cellStyle name="Normal 4 2 2 3 3 2 2 4 3" xfId="29440"/>
    <cellStyle name="Normal 4 2 2 3 3 2 2 5" xfId="29441"/>
    <cellStyle name="Normal 4 2 2 3 3 2 2 5 2" xfId="29442"/>
    <cellStyle name="Normal 4 2 2 3 3 2 2 6" xfId="29443"/>
    <cellStyle name="Normal 4 2 2 3 3 2 3" xfId="1836"/>
    <cellStyle name="Normal 4 2 2 3 3 2 3 2" xfId="4556"/>
    <cellStyle name="Normal 4 2 2 3 3 2 3 2 2" xfId="29444"/>
    <cellStyle name="Normal 4 2 2 3 3 2 3 2 2 2" xfId="29445"/>
    <cellStyle name="Normal 4 2 2 3 3 2 3 2 2 2 2" xfId="29446"/>
    <cellStyle name="Normal 4 2 2 3 3 2 3 2 2 3" xfId="29447"/>
    <cellStyle name="Normal 4 2 2 3 3 2 3 2 3" xfId="29448"/>
    <cellStyle name="Normal 4 2 2 3 3 2 3 2 3 2" xfId="29449"/>
    <cellStyle name="Normal 4 2 2 3 3 2 3 2 4" xfId="29450"/>
    <cellStyle name="Normal 4 2 2 3 3 2 3 3" xfId="29451"/>
    <cellStyle name="Normal 4 2 2 3 3 2 3 3 2" xfId="29452"/>
    <cellStyle name="Normal 4 2 2 3 3 2 3 3 2 2" xfId="29453"/>
    <cellStyle name="Normal 4 2 2 3 3 2 3 3 3" xfId="29454"/>
    <cellStyle name="Normal 4 2 2 3 3 2 3 4" xfId="29455"/>
    <cellStyle name="Normal 4 2 2 3 3 2 3 4 2" xfId="29456"/>
    <cellStyle name="Normal 4 2 2 3 3 2 3 5" xfId="29457"/>
    <cellStyle name="Normal 4 2 2 3 3 2 4" xfId="3196"/>
    <cellStyle name="Normal 4 2 2 3 3 2 4 2" xfId="29458"/>
    <cellStyle name="Normal 4 2 2 3 3 2 4 2 2" xfId="29459"/>
    <cellStyle name="Normal 4 2 2 3 3 2 4 2 2 2" xfId="29460"/>
    <cellStyle name="Normal 4 2 2 3 3 2 4 2 3" xfId="29461"/>
    <cellStyle name="Normal 4 2 2 3 3 2 4 3" xfId="29462"/>
    <cellStyle name="Normal 4 2 2 3 3 2 4 3 2" xfId="29463"/>
    <cellStyle name="Normal 4 2 2 3 3 2 4 4" xfId="29464"/>
    <cellStyle name="Normal 4 2 2 3 3 2 5" xfId="29465"/>
    <cellStyle name="Normal 4 2 2 3 3 2 5 2" xfId="29466"/>
    <cellStyle name="Normal 4 2 2 3 3 2 5 2 2" xfId="29467"/>
    <cellStyle name="Normal 4 2 2 3 3 2 5 3" xfId="29468"/>
    <cellStyle name="Normal 4 2 2 3 3 2 6" xfId="29469"/>
    <cellStyle name="Normal 4 2 2 3 3 2 6 2" xfId="29470"/>
    <cellStyle name="Normal 4 2 2 3 3 2 7" xfId="29471"/>
    <cellStyle name="Normal 4 2 2 3 3 3" xfId="884"/>
    <cellStyle name="Normal 4 2 2 3 3 3 2" xfId="2244"/>
    <cellStyle name="Normal 4 2 2 3 3 3 2 2" xfId="4964"/>
    <cellStyle name="Normal 4 2 2 3 3 3 2 2 2" xfId="29472"/>
    <cellStyle name="Normal 4 2 2 3 3 3 2 2 2 2" xfId="29473"/>
    <cellStyle name="Normal 4 2 2 3 3 3 2 2 2 2 2" xfId="29474"/>
    <cellStyle name="Normal 4 2 2 3 3 3 2 2 2 3" xfId="29475"/>
    <cellStyle name="Normal 4 2 2 3 3 3 2 2 3" xfId="29476"/>
    <cellStyle name="Normal 4 2 2 3 3 3 2 2 3 2" xfId="29477"/>
    <cellStyle name="Normal 4 2 2 3 3 3 2 2 4" xfId="29478"/>
    <cellStyle name="Normal 4 2 2 3 3 3 2 3" xfId="29479"/>
    <cellStyle name="Normal 4 2 2 3 3 3 2 3 2" xfId="29480"/>
    <cellStyle name="Normal 4 2 2 3 3 3 2 3 2 2" xfId="29481"/>
    <cellStyle name="Normal 4 2 2 3 3 3 2 3 3" xfId="29482"/>
    <cellStyle name="Normal 4 2 2 3 3 3 2 4" xfId="29483"/>
    <cellStyle name="Normal 4 2 2 3 3 3 2 4 2" xfId="29484"/>
    <cellStyle name="Normal 4 2 2 3 3 3 2 5" xfId="29485"/>
    <cellStyle name="Normal 4 2 2 3 3 3 3" xfId="3604"/>
    <cellStyle name="Normal 4 2 2 3 3 3 3 2" xfId="29486"/>
    <cellStyle name="Normal 4 2 2 3 3 3 3 2 2" xfId="29487"/>
    <cellStyle name="Normal 4 2 2 3 3 3 3 2 2 2" xfId="29488"/>
    <cellStyle name="Normal 4 2 2 3 3 3 3 2 3" xfId="29489"/>
    <cellStyle name="Normal 4 2 2 3 3 3 3 3" xfId="29490"/>
    <cellStyle name="Normal 4 2 2 3 3 3 3 3 2" xfId="29491"/>
    <cellStyle name="Normal 4 2 2 3 3 3 3 4" xfId="29492"/>
    <cellStyle name="Normal 4 2 2 3 3 3 4" xfId="29493"/>
    <cellStyle name="Normal 4 2 2 3 3 3 4 2" xfId="29494"/>
    <cellStyle name="Normal 4 2 2 3 3 3 4 2 2" xfId="29495"/>
    <cellStyle name="Normal 4 2 2 3 3 3 4 3" xfId="29496"/>
    <cellStyle name="Normal 4 2 2 3 3 3 5" xfId="29497"/>
    <cellStyle name="Normal 4 2 2 3 3 3 5 2" xfId="29498"/>
    <cellStyle name="Normal 4 2 2 3 3 3 6" xfId="29499"/>
    <cellStyle name="Normal 4 2 2 3 3 4" xfId="1564"/>
    <cellStyle name="Normal 4 2 2 3 3 4 2" xfId="4284"/>
    <cellStyle name="Normal 4 2 2 3 3 4 2 2" xfId="29500"/>
    <cellStyle name="Normal 4 2 2 3 3 4 2 2 2" xfId="29501"/>
    <cellStyle name="Normal 4 2 2 3 3 4 2 2 2 2" xfId="29502"/>
    <cellStyle name="Normal 4 2 2 3 3 4 2 2 3" xfId="29503"/>
    <cellStyle name="Normal 4 2 2 3 3 4 2 3" xfId="29504"/>
    <cellStyle name="Normal 4 2 2 3 3 4 2 3 2" xfId="29505"/>
    <cellStyle name="Normal 4 2 2 3 3 4 2 4" xfId="29506"/>
    <cellStyle name="Normal 4 2 2 3 3 4 3" xfId="29507"/>
    <cellStyle name="Normal 4 2 2 3 3 4 3 2" xfId="29508"/>
    <cellStyle name="Normal 4 2 2 3 3 4 3 2 2" xfId="29509"/>
    <cellStyle name="Normal 4 2 2 3 3 4 3 3" xfId="29510"/>
    <cellStyle name="Normal 4 2 2 3 3 4 4" xfId="29511"/>
    <cellStyle name="Normal 4 2 2 3 3 4 4 2" xfId="29512"/>
    <cellStyle name="Normal 4 2 2 3 3 4 5" xfId="29513"/>
    <cellStyle name="Normal 4 2 2 3 3 5" xfId="2924"/>
    <cellStyle name="Normal 4 2 2 3 3 5 2" xfId="29514"/>
    <cellStyle name="Normal 4 2 2 3 3 5 2 2" xfId="29515"/>
    <cellStyle name="Normal 4 2 2 3 3 5 2 2 2" xfId="29516"/>
    <cellStyle name="Normal 4 2 2 3 3 5 2 3" xfId="29517"/>
    <cellStyle name="Normal 4 2 2 3 3 5 3" xfId="29518"/>
    <cellStyle name="Normal 4 2 2 3 3 5 3 2" xfId="29519"/>
    <cellStyle name="Normal 4 2 2 3 3 5 4" xfId="29520"/>
    <cellStyle name="Normal 4 2 2 3 3 6" xfId="29521"/>
    <cellStyle name="Normal 4 2 2 3 3 6 2" xfId="29522"/>
    <cellStyle name="Normal 4 2 2 3 3 6 2 2" xfId="29523"/>
    <cellStyle name="Normal 4 2 2 3 3 6 3" xfId="29524"/>
    <cellStyle name="Normal 4 2 2 3 3 7" xfId="29525"/>
    <cellStyle name="Normal 4 2 2 3 3 7 2" xfId="29526"/>
    <cellStyle name="Normal 4 2 2 3 3 8" xfId="29527"/>
    <cellStyle name="Normal 4 2 2 3 4" xfId="340"/>
    <cellStyle name="Normal 4 2 2 3 4 2" xfId="1020"/>
    <cellStyle name="Normal 4 2 2 3 4 2 2" xfId="2380"/>
    <cellStyle name="Normal 4 2 2 3 4 2 2 2" xfId="5100"/>
    <cellStyle name="Normal 4 2 2 3 4 2 2 2 2" xfId="29528"/>
    <cellStyle name="Normal 4 2 2 3 4 2 2 2 2 2" xfId="29529"/>
    <cellStyle name="Normal 4 2 2 3 4 2 2 2 2 2 2" xfId="29530"/>
    <cellStyle name="Normal 4 2 2 3 4 2 2 2 2 3" xfId="29531"/>
    <cellStyle name="Normal 4 2 2 3 4 2 2 2 3" xfId="29532"/>
    <cellStyle name="Normal 4 2 2 3 4 2 2 2 3 2" xfId="29533"/>
    <cellStyle name="Normal 4 2 2 3 4 2 2 2 4" xfId="29534"/>
    <cellStyle name="Normal 4 2 2 3 4 2 2 3" xfId="29535"/>
    <cellStyle name="Normal 4 2 2 3 4 2 2 3 2" xfId="29536"/>
    <cellStyle name="Normal 4 2 2 3 4 2 2 3 2 2" xfId="29537"/>
    <cellStyle name="Normal 4 2 2 3 4 2 2 3 3" xfId="29538"/>
    <cellStyle name="Normal 4 2 2 3 4 2 2 4" xfId="29539"/>
    <cellStyle name="Normal 4 2 2 3 4 2 2 4 2" xfId="29540"/>
    <cellStyle name="Normal 4 2 2 3 4 2 2 5" xfId="29541"/>
    <cellStyle name="Normal 4 2 2 3 4 2 3" xfId="3740"/>
    <cellStyle name="Normal 4 2 2 3 4 2 3 2" xfId="29542"/>
    <cellStyle name="Normal 4 2 2 3 4 2 3 2 2" xfId="29543"/>
    <cellStyle name="Normal 4 2 2 3 4 2 3 2 2 2" xfId="29544"/>
    <cellStyle name="Normal 4 2 2 3 4 2 3 2 3" xfId="29545"/>
    <cellStyle name="Normal 4 2 2 3 4 2 3 3" xfId="29546"/>
    <cellStyle name="Normal 4 2 2 3 4 2 3 3 2" xfId="29547"/>
    <cellStyle name="Normal 4 2 2 3 4 2 3 4" xfId="29548"/>
    <cellStyle name="Normal 4 2 2 3 4 2 4" xfId="29549"/>
    <cellStyle name="Normal 4 2 2 3 4 2 4 2" xfId="29550"/>
    <cellStyle name="Normal 4 2 2 3 4 2 4 2 2" xfId="29551"/>
    <cellStyle name="Normal 4 2 2 3 4 2 4 3" xfId="29552"/>
    <cellStyle name="Normal 4 2 2 3 4 2 5" xfId="29553"/>
    <cellStyle name="Normal 4 2 2 3 4 2 5 2" xfId="29554"/>
    <cellStyle name="Normal 4 2 2 3 4 2 6" xfId="29555"/>
    <cellStyle name="Normal 4 2 2 3 4 3" xfId="1700"/>
    <cellStyle name="Normal 4 2 2 3 4 3 2" xfId="4420"/>
    <cellStyle name="Normal 4 2 2 3 4 3 2 2" xfId="29556"/>
    <cellStyle name="Normal 4 2 2 3 4 3 2 2 2" xfId="29557"/>
    <cellStyle name="Normal 4 2 2 3 4 3 2 2 2 2" xfId="29558"/>
    <cellStyle name="Normal 4 2 2 3 4 3 2 2 3" xfId="29559"/>
    <cellStyle name="Normal 4 2 2 3 4 3 2 3" xfId="29560"/>
    <cellStyle name="Normal 4 2 2 3 4 3 2 3 2" xfId="29561"/>
    <cellStyle name="Normal 4 2 2 3 4 3 2 4" xfId="29562"/>
    <cellStyle name="Normal 4 2 2 3 4 3 3" xfId="29563"/>
    <cellStyle name="Normal 4 2 2 3 4 3 3 2" xfId="29564"/>
    <cellStyle name="Normal 4 2 2 3 4 3 3 2 2" xfId="29565"/>
    <cellStyle name="Normal 4 2 2 3 4 3 3 3" xfId="29566"/>
    <cellStyle name="Normal 4 2 2 3 4 3 4" xfId="29567"/>
    <cellStyle name="Normal 4 2 2 3 4 3 4 2" xfId="29568"/>
    <cellStyle name="Normal 4 2 2 3 4 3 5" xfId="29569"/>
    <cellStyle name="Normal 4 2 2 3 4 4" xfId="3060"/>
    <cellStyle name="Normal 4 2 2 3 4 4 2" xfId="29570"/>
    <cellStyle name="Normal 4 2 2 3 4 4 2 2" xfId="29571"/>
    <cellStyle name="Normal 4 2 2 3 4 4 2 2 2" xfId="29572"/>
    <cellStyle name="Normal 4 2 2 3 4 4 2 3" xfId="29573"/>
    <cellStyle name="Normal 4 2 2 3 4 4 3" xfId="29574"/>
    <cellStyle name="Normal 4 2 2 3 4 4 3 2" xfId="29575"/>
    <cellStyle name="Normal 4 2 2 3 4 4 4" xfId="29576"/>
    <cellStyle name="Normal 4 2 2 3 4 5" xfId="29577"/>
    <cellStyle name="Normal 4 2 2 3 4 5 2" xfId="29578"/>
    <cellStyle name="Normal 4 2 2 3 4 5 2 2" xfId="29579"/>
    <cellStyle name="Normal 4 2 2 3 4 5 3" xfId="29580"/>
    <cellStyle name="Normal 4 2 2 3 4 6" xfId="29581"/>
    <cellStyle name="Normal 4 2 2 3 4 6 2" xfId="29582"/>
    <cellStyle name="Normal 4 2 2 3 4 7" xfId="29583"/>
    <cellStyle name="Normal 4 2 2 3 5" xfId="612"/>
    <cellStyle name="Normal 4 2 2 3 5 2" xfId="1292"/>
    <cellStyle name="Normal 4 2 2 3 5 2 2" xfId="2652"/>
    <cellStyle name="Normal 4 2 2 3 5 2 2 2" xfId="5372"/>
    <cellStyle name="Normal 4 2 2 3 5 2 2 2 2" xfId="29584"/>
    <cellStyle name="Normal 4 2 2 3 5 2 2 2 2 2" xfId="29585"/>
    <cellStyle name="Normal 4 2 2 3 5 2 2 2 2 2 2" xfId="29586"/>
    <cellStyle name="Normal 4 2 2 3 5 2 2 2 2 3" xfId="29587"/>
    <cellStyle name="Normal 4 2 2 3 5 2 2 2 3" xfId="29588"/>
    <cellStyle name="Normal 4 2 2 3 5 2 2 2 3 2" xfId="29589"/>
    <cellStyle name="Normal 4 2 2 3 5 2 2 2 4" xfId="29590"/>
    <cellStyle name="Normal 4 2 2 3 5 2 2 3" xfId="29591"/>
    <cellStyle name="Normal 4 2 2 3 5 2 2 3 2" xfId="29592"/>
    <cellStyle name="Normal 4 2 2 3 5 2 2 3 2 2" xfId="29593"/>
    <cellStyle name="Normal 4 2 2 3 5 2 2 3 3" xfId="29594"/>
    <cellStyle name="Normal 4 2 2 3 5 2 2 4" xfId="29595"/>
    <cellStyle name="Normal 4 2 2 3 5 2 2 4 2" xfId="29596"/>
    <cellStyle name="Normal 4 2 2 3 5 2 2 5" xfId="29597"/>
    <cellStyle name="Normal 4 2 2 3 5 2 3" xfId="4012"/>
    <cellStyle name="Normal 4 2 2 3 5 2 3 2" xfId="29598"/>
    <cellStyle name="Normal 4 2 2 3 5 2 3 2 2" xfId="29599"/>
    <cellStyle name="Normal 4 2 2 3 5 2 3 2 2 2" xfId="29600"/>
    <cellStyle name="Normal 4 2 2 3 5 2 3 2 3" xfId="29601"/>
    <cellStyle name="Normal 4 2 2 3 5 2 3 3" xfId="29602"/>
    <cellStyle name="Normal 4 2 2 3 5 2 3 3 2" xfId="29603"/>
    <cellStyle name="Normal 4 2 2 3 5 2 3 4" xfId="29604"/>
    <cellStyle name="Normal 4 2 2 3 5 2 4" xfId="29605"/>
    <cellStyle name="Normal 4 2 2 3 5 2 4 2" xfId="29606"/>
    <cellStyle name="Normal 4 2 2 3 5 2 4 2 2" xfId="29607"/>
    <cellStyle name="Normal 4 2 2 3 5 2 4 3" xfId="29608"/>
    <cellStyle name="Normal 4 2 2 3 5 2 5" xfId="29609"/>
    <cellStyle name="Normal 4 2 2 3 5 2 5 2" xfId="29610"/>
    <cellStyle name="Normal 4 2 2 3 5 2 6" xfId="29611"/>
    <cellStyle name="Normal 4 2 2 3 5 3" xfId="1972"/>
    <cellStyle name="Normal 4 2 2 3 5 3 2" xfId="4692"/>
    <cellStyle name="Normal 4 2 2 3 5 3 2 2" xfId="29612"/>
    <cellStyle name="Normal 4 2 2 3 5 3 2 2 2" xfId="29613"/>
    <cellStyle name="Normal 4 2 2 3 5 3 2 2 2 2" xfId="29614"/>
    <cellStyle name="Normal 4 2 2 3 5 3 2 2 3" xfId="29615"/>
    <cellStyle name="Normal 4 2 2 3 5 3 2 3" xfId="29616"/>
    <cellStyle name="Normal 4 2 2 3 5 3 2 3 2" xfId="29617"/>
    <cellStyle name="Normal 4 2 2 3 5 3 2 4" xfId="29618"/>
    <cellStyle name="Normal 4 2 2 3 5 3 3" xfId="29619"/>
    <cellStyle name="Normal 4 2 2 3 5 3 3 2" xfId="29620"/>
    <cellStyle name="Normal 4 2 2 3 5 3 3 2 2" xfId="29621"/>
    <cellStyle name="Normal 4 2 2 3 5 3 3 3" xfId="29622"/>
    <cellStyle name="Normal 4 2 2 3 5 3 4" xfId="29623"/>
    <cellStyle name="Normal 4 2 2 3 5 3 4 2" xfId="29624"/>
    <cellStyle name="Normal 4 2 2 3 5 3 5" xfId="29625"/>
    <cellStyle name="Normal 4 2 2 3 5 4" xfId="3332"/>
    <cellStyle name="Normal 4 2 2 3 5 4 2" xfId="29626"/>
    <cellStyle name="Normal 4 2 2 3 5 4 2 2" xfId="29627"/>
    <cellStyle name="Normal 4 2 2 3 5 4 2 2 2" xfId="29628"/>
    <cellStyle name="Normal 4 2 2 3 5 4 2 3" xfId="29629"/>
    <cellStyle name="Normal 4 2 2 3 5 4 3" xfId="29630"/>
    <cellStyle name="Normal 4 2 2 3 5 4 3 2" xfId="29631"/>
    <cellStyle name="Normal 4 2 2 3 5 4 4" xfId="29632"/>
    <cellStyle name="Normal 4 2 2 3 5 5" xfId="29633"/>
    <cellStyle name="Normal 4 2 2 3 5 5 2" xfId="29634"/>
    <cellStyle name="Normal 4 2 2 3 5 5 2 2" xfId="29635"/>
    <cellStyle name="Normal 4 2 2 3 5 5 3" xfId="29636"/>
    <cellStyle name="Normal 4 2 2 3 5 6" xfId="29637"/>
    <cellStyle name="Normal 4 2 2 3 5 6 2" xfId="29638"/>
    <cellStyle name="Normal 4 2 2 3 5 7" xfId="29639"/>
    <cellStyle name="Normal 4 2 2 3 6" xfId="748"/>
    <cellStyle name="Normal 4 2 2 3 6 2" xfId="2108"/>
    <cellStyle name="Normal 4 2 2 3 6 2 2" xfId="4828"/>
    <cellStyle name="Normal 4 2 2 3 6 2 2 2" xfId="29640"/>
    <cellStyle name="Normal 4 2 2 3 6 2 2 2 2" xfId="29641"/>
    <cellStyle name="Normal 4 2 2 3 6 2 2 2 2 2" xfId="29642"/>
    <cellStyle name="Normal 4 2 2 3 6 2 2 2 3" xfId="29643"/>
    <cellStyle name="Normal 4 2 2 3 6 2 2 3" xfId="29644"/>
    <cellStyle name="Normal 4 2 2 3 6 2 2 3 2" xfId="29645"/>
    <cellStyle name="Normal 4 2 2 3 6 2 2 4" xfId="29646"/>
    <cellStyle name="Normal 4 2 2 3 6 2 3" xfId="29647"/>
    <cellStyle name="Normal 4 2 2 3 6 2 3 2" xfId="29648"/>
    <cellStyle name="Normal 4 2 2 3 6 2 3 2 2" xfId="29649"/>
    <cellStyle name="Normal 4 2 2 3 6 2 3 3" xfId="29650"/>
    <cellStyle name="Normal 4 2 2 3 6 2 4" xfId="29651"/>
    <cellStyle name="Normal 4 2 2 3 6 2 4 2" xfId="29652"/>
    <cellStyle name="Normal 4 2 2 3 6 2 5" xfId="29653"/>
    <cellStyle name="Normal 4 2 2 3 6 3" xfId="3468"/>
    <cellStyle name="Normal 4 2 2 3 6 3 2" xfId="29654"/>
    <cellStyle name="Normal 4 2 2 3 6 3 2 2" xfId="29655"/>
    <cellStyle name="Normal 4 2 2 3 6 3 2 2 2" xfId="29656"/>
    <cellStyle name="Normal 4 2 2 3 6 3 2 3" xfId="29657"/>
    <cellStyle name="Normal 4 2 2 3 6 3 3" xfId="29658"/>
    <cellStyle name="Normal 4 2 2 3 6 3 3 2" xfId="29659"/>
    <cellStyle name="Normal 4 2 2 3 6 3 4" xfId="29660"/>
    <cellStyle name="Normal 4 2 2 3 6 4" xfId="29661"/>
    <cellStyle name="Normal 4 2 2 3 6 4 2" xfId="29662"/>
    <cellStyle name="Normal 4 2 2 3 6 4 2 2" xfId="29663"/>
    <cellStyle name="Normal 4 2 2 3 6 4 3" xfId="29664"/>
    <cellStyle name="Normal 4 2 2 3 6 5" xfId="29665"/>
    <cellStyle name="Normal 4 2 2 3 6 5 2" xfId="29666"/>
    <cellStyle name="Normal 4 2 2 3 6 6" xfId="29667"/>
    <cellStyle name="Normal 4 2 2 3 7" xfId="1428"/>
    <cellStyle name="Normal 4 2 2 3 7 2" xfId="4148"/>
    <cellStyle name="Normal 4 2 2 3 7 2 2" xfId="29668"/>
    <cellStyle name="Normal 4 2 2 3 7 2 2 2" xfId="29669"/>
    <cellStyle name="Normal 4 2 2 3 7 2 2 2 2" xfId="29670"/>
    <cellStyle name="Normal 4 2 2 3 7 2 2 3" xfId="29671"/>
    <cellStyle name="Normal 4 2 2 3 7 2 3" xfId="29672"/>
    <cellStyle name="Normal 4 2 2 3 7 2 3 2" xfId="29673"/>
    <cellStyle name="Normal 4 2 2 3 7 2 4" xfId="29674"/>
    <cellStyle name="Normal 4 2 2 3 7 3" xfId="29675"/>
    <cellStyle name="Normal 4 2 2 3 7 3 2" xfId="29676"/>
    <cellStyle name="Normal 4 2 2 3 7 3 2 2" xfId="29677"/>
    <cellStyle name="Normal 4 2 2 3 7 3 3" xfId="29678"/>
    <cellStyle name="Normal 4 2 2 3 7 4" xfId="29679"/>
    <cellStyle name="Normal 4 2 2 3 7 4 2" xfId="29680"/>
    <cellStyle name="Normal 4 2 2 3 7 5" xfId="29681"/>
    <cellStyle name="Normal 4 2 2 3 8" xfId="2788"/>
    <cellStyle name="Normal 4 2 2 3 8 2" xfId="29682"/>
    <cellStyle name="Normal 4 2 2 3 8 2 2" xfId="29683"/>
    <cellStyle name="Normal 4 2 2 3 8 2 2 2" xfId="29684"/>
    <cellStyle name="Normal 4 2 2 3 8 2 3" xfId="29685"/>
    <cellStyle name="Normal 4 2 2 3 8 3" xfId="29686"/>
    <cellStyle name="Normal 4 2 2 3 8 3 2" xfId="29687"/>
    <cellStyle name="Normal 4 2 2 3 8 4" xfId="29688"/>
    <cellStyle name="Normal 4 2 2 3 9" xfId="29689"/>
    <cellStyle name="Normal 4 2 2 3 9 2" xfId="29690"/>
    <cellStyle name="Normal 4 2 2 3 9 2 2" xfId="29691"/>
    <cellStyle name="Normal 4 2 2 3 9 3" xfId="29692"/>
    <cellStyle name="Normal 4 2 2 4" xfId="101"/>
    <cellStyle name="Normal 4 2 2 4 10" xfId="29693"/>
    <cellStyle name="Normal 4 2 2 4 2" xfId="238"/>
    <cellStyle name="Normal 4 2 2 4 2 2" xfId="510"/>
    <cellStyle name="Normal 4 2 2 4 2 2 2" xfId="1190"/>
    <cellStyle name="Normal 4 2 2 4 2 2 2 2" xfId="2550"/>
    <cellStyle name="Normal 4 2 2 4 2 2 2 2 2" xfId="5270"/>
    <cellStyle name="Normal 4 2 2 4 2 2 2 2 2 2" xfId="29694"/>
    <cellStyle name="Normal 4 2 2 4 2 2 2 2 2 2 2" xfId="29695"/>
    <cellStyle name="Normal 4 2 2 4 2 2 2 2 2 2 2 2" xfId="29696"/>
    <cellStyle name="Normal 4 2 2 4 2 2 2 2 2 2 3" xfId="29697"/>
    <cellStyle name="Normal 4 2 2 4 2 2 2 2 2 3" xfId="29698"/>
    <cellStyle name="Normal 4 2 2 4 2 2 2 2 2 3 2" xfId="29699"/>
    <cellStyle name="Normal 4 2 2 4 2 2 2 2 2 4" xfId="29700"/>
    <cellStyle name="Normal 4 2 2 4 2 2 2 2 3" xfId="29701"/>
    <cellStyle name="Normal 4 2 2 4 2 2 2 2 3 2" xfId="29702"/>
    <cellStyle name="Normal 4 2 2 4 2 2 2 2 3 2 2" xfId="29703"/>
    <cellStyle name="Normal 4 2 2 4 2 2 2 2 3 3" xfId="29704"/>
    <cellStyle name="Normal 4 2 2 4 2 2 2 2 4" xfId="29705"/>
    <cellStyle name="Normal 4 2 2 4 2 2 2 2 4 2" xfId="29706"/>
    <cellStyle name="Normal 4 2 2 4 2 2 2 2 5" xfId="29707"/>
    <cellStyle name="Normal 4 2 2 4 2 2 2 3" xfId="3910"/>
    <cellStyle name="Normal 4 2 2 4 2 2 2 3 2" xfId="29708"/>
    <cellStyle name="Normal 4 2 2 4 2 2 2 3 2 2" xfId="29709"/>
    <cellStyle name="Normal 4 2 2 4 2 2 2 3 2 2 2" xfId="29710"/>
    <cellStyle name="Normal 4 2 2 4 2 2 2 3 2 3" xfId="29711"/>
    <cellStyle name="Normal 4 2 2 4 2 2 2 3 3" xfId="29712"/>
    <cellStyle name="Normal 4 2 2 4 2 2 2 3 3 2" xfId="29713"/>
    <cellStyle name="Normal 4 2 2 4 2 2 2 3 4" xfId="29714"/>
    <cellStyle name="Normal 4 2 2 4 2 2 2 4" xfId="29715"/>
    <cellStyle name="Normal 4 2 2 4 2 2 2 4 2" xfId="29716"/>
    <cellStyle name="Normal 4 2 2 4 2 2 2 4 2 2" xfId="29717"/>
    <cellStyle name="Normal 4 2 2 4 2 2 2 4 3" xfId="29718"/>
    <cellStyle name="Normal 4 2 2 4 2 2 2 5" xfId="29719"/>
    <cellStyle name="Normal 4 2 2 4 2 2 2 5 2" xfId="29720"/>
    <cellStyle name="Normal 4 2 2 4 2 2 2 6" xfId="29721"/>
    <cellStyle name="Normal 4 2 2 4 2 2 3" xfId="1870"/>
    <cellStyle name="Normal 4 2 2 4 2 2 3 2" xfId="4590"/>
    <cellStyle name="Normal 4 2 2 4 2 2 3 2 2" xfId="29722"/>
    <cellStyle name="Normal 4 2 2 4 2 2 3 2 2 2" xfId="29723"/>
    <cellStyle name="Normal 4 2 2 4 2 2 3 2 2 2 2" xfId="29724"/>
    <cellStyle name="Normal 4 2 2 4 2 2 3 2 2 3" xfId="29725"/>
    <cellStyle name="Normal 4 2 2 4 2 2 3 2 3" xfId="29726"/>
    <cellStyle name="Normal 4 2 2 4 2 2 3 2 3 2" xfId="29727"/>
    <cellStyle name="Normal 4 2 2 4 2 2 3 2 4" xfId="29728"/>
    <cellStyle name="Normal 4 2 2 4 2 2 3 3" xfId="29729"/>
    <cellStyle name="Normal 4 2 2 4 2 2 3 3 2" xfId="29730"/>
    <cellStyle name="Normal 4 2 2 4 2 2 3 3 2 2" xfId="29731"/>
    <cellStyle name="Normal 4 2 2 4 2 2 3 3 3" xfId="29732"/>
    <cellStyle name="Normal 4 2 2 4 2 2 3 4" xfId="29733"/>
    <cellStyle name="Normal 4 2 2 4 2 2 3 4 2" xfId="29734"/>
    <cellStyle name="Normal 4 2 2 4 2 2 3 5" xfId="29735"/>
    <cellStyle name="Normal 4 2 2 4 2 2 4" xfId="3230"/>
    <cellStyle name="Normal 4 2 2 4 2 2 4 2" xfId="29736"/>
    <cellStyle name="Normal 4 2 2 4 2 2 4 2 2" xfId="29737"/>
    <cellStyle name="Normal 4 2 2 4 2 2 4 2 2 2" xfId="29738"/>
    <cellStyle name="Normal 4 2 2 4 2 2 4 2 3" xfId="29739"/>
    <cellStyle name="Normal 4 2 2 4 2 2 4 3" xfId="29740"/>
    <cellStyle name="Normal 4 2 2 4 2 2 4 3 2" xfId="29741"/>
    <cellStyle name="Normal 4 2 2 4 2 2 4 4" xfId="29742"/>
    <cellStyle name="Normal 4 2 2 4 2 2 5" xfId="29743"/>
    <cellStyle name="Normal 4 2 2 4 2 2 5 2" xfId="29744"/>
    <cellStyle name="Normal 4 2 2 4 2 2 5 2 2" xfId="29745"/>
    <cellStyle name="Normal 4 2 2 4 2 2 5 3" xfId="29746"/>
    <cellStyle name="Normal 4 2 2 4 2 2 6" xfId="29747"/>
    <cellStyle name="Normal 4 2 2 4 2 2 6 2" xfId="29748"/>
    <cellStyle name="Normal 4 2 2 4 2 2 7" xfId="29749"/>
    <cellStyle name="Normal 4 2 2 4 2 3" xfId="918"/>
    <cellStyle name="Normal 4 2 2 4 2 3 2" xfId="2278"/>
    <cellStyle name="Normal 4 2 2 4 2 3 2 2" xfId="4998"/>
    <cellStyle name="Normal 4 2 2 4 2 3 2 2 2" xfId="29750"/>
    <cellStyle name="Normal 4 2 2 4 2 3 2 2 2 2" xfId="29751"/>
    <cellStyle name="Normal 4 2 2 4 2 3 2 2 2 2 2" xfId="29752"/>
    <cellStyle name="Normal 4 2 2 4 2 3 2 2 2 3" xfId="29753"/>
    <cellStyle name="Normal 4 2 2 4 2 3 2 2 3" xfId="29754"/>
    <cellStyle name="Normal 4 2 2 4 2 3 2 2 3 2" xfId="29755"/>
    <cellStyle name="Normal 4 2 2 4 2 3 2 2 4" xfId="29756"/>
    <cellStyle name="Normal 4 2 2 4 2 3 2 3" xfId="29757"/>
    <cellStyle name="Normal 4 2 2 4 2 3 2 3 2" xfId="29758"/>
    <cellStyle name="Normal 4 2 2 4 2 3 2 3 2 2" xfId="29759"/>
    <cellStyle name="Normal 4 2 2 4 2 3 2 3 3" xfId="29760"/>
    <cellStyle name="Normal 4 2 2 4 2 3 2 4" xfId="29761"/>
    <cellStyle name="Normal 4 2 2 4 2 3 2 4 2" xfId="29762"/>
    <cellStyle name="Normal 4 2 2 4 2 3 2 5" xfId="29763"/>
    <cellStyle name="Normal 4 2 2 4 2 3 3" xfId="3638"/>
    <cellStyle name="Normal 4 2 2 4 2 3 3 2" xfId="29764"/>
    <cellStyle name="Normal 4 2 2 4 2 3 3 2 2" xfId="29765"/>
    <cellStyle name="Normal 4 2 2 4 2 3 3 2 2 2" xfId="29766"/>
    <cellStyle name="Normal 4 2 2 4 2 3 3 2 3" xfId="29767"/>
    <cellStyle name="Normal 4 2 2 4 2 3 3 3" xfId="29768"/>
    <cellStyle name="Normal 4 2 2 4 2 3 3 3 2" xfId="29769"/>
    <cellStyle name="Normal 4 2 2 4 2 3 3 4" xfId="29770"/>
    <cellStyle name="Normal 4 2 2 4 2 3 4" xfId="29771"/>
    <cellStyle name="Normal 4 2 2 4 2 3 4 2" xfId="29772"/>
    <cellStyle name="Normal 4 2 2 4 2 3 4 2 2" xfId="29773"/>
    <cellStyle name="Normal 4 2 2 4 2 3 4 3" xfId="29774"/>
    <cellStyle name="Normal 4 2 2 4 2 3 5" xfId="29775"/>
    <cellStyle name="Normal 4 2 2 4 2 3 5 2" xfId="29776"/>
    <cellStyle name="Normal 4 2 2 4 2 3 6" xfId="29777"/>
    <cellStyle name="Normal 4 2 2 4 2 4" xfId="1598"/>
    <cellStyle name="Normal 4 2 2 4 2 4 2" xfId="4318"/>
    <cellStyle name="Normal 4 2 2 4 2 4 2 2" xfId="29778"/>
    <cellStyle name="Normal 4 2 2 4 2 4 2 2 2" xfId="29779"/>
    <cellStyle name="Normal 4 2 2 4 2 4 2 2 2 2" xfId="29780"/>
    <cellStyle name="Normal 4 2 2 4 2 4 2 2 3" xfId="29781"/>
    <cellStyle name="Normal 4 2 2 4 2 4 2 3" xfId="29782"/>
    <cellStyle name="Normal 4 2 2 4 2 4 2 3 2" xfId="29783"/>
    <cellStyle name="Normal 4 2 2 4 2 4 2 4" xfId="29784"/>
    <cellStyle name="Normal 4 2 2 4 2 4 3" xfId="29785"/>
    <cellStyle name="Normal 4 2 2 4 2 4 3 2" xfId="29786"/>
    <cellStyle name="Normal 4 2 2 4 2 4 3 2 2" xfId="29787"/>
    <cellStyle name="Normal 4 2 2 4 2 4 3 3" xfId="29788"/>
    <cellStyle name="Normal 4 2 2 4 2 4 4" xfId="29789"/>
    <cellStyle name="Normal 4 2 2 4 2 4 4 2" xfId="29790"/>
    <cellStyle name="Normal 4 2 2 4 2 4 5" xfId="29791"/>
    <cellStyle name="Normal 4 2 2 4 2 5" xfId="2958"/>
    <cellStyle name="Normal 4 2 2 4 2 5 2" xfId="29792"/>
    <cellStyle name="Normal 4 2 2 4 2 5 2 2" xfId="29793"/>
    <cellStyle name="Normal 4 2 2 4 2 5 2 2 2" xfId="29794"/>
    <cellStyle name="Normal 4 2 2 4 2 5 2 3" xfId="29795"/>
    <cellStyle name="Normal 4 2 2 4 2 5 3" xfId="29796"/>
    <cellStyle name="Normal 4 2 2 4 2 5 3 2" xfId="29797"/>
    <cellStyle name="Normal 4 2 2 4 2 5 4" xfId="29798"/>
    <cellStyle name="Normal 4 2 2 4 2 6" xfId="29799"/>
    <cellStyle name="Normal 4 2 2 4 2 6 2" xfId="29800"/>
    <cellStyle name="Normal 4 2 2 4 2 6 2 2" xfId="29801"/>
    <cellStyle name="Normal 4 2 2 4 2 6 3" xfId="29802"/>
    <cellStyle name="Normal 4 2 2 4 2 7" xfId="29803"/>
    <cellStyle name="Normal 4 2 2 4 2 7 2" xfId="29804"/>
    <cellStyle name="Normal 4 2 2 4 2 8" xfId="29805"/>
    <cellStyle name="Normal 4 2 2 4 3" xfId="374"/>
    <cellStyle name="Normal 4 2 2 4 3 2" xfId="1054"/>
    <cellStyle name="Normal 4 2 2 4 3 2 2" xfId="2414"/>
    <cellStyle name="Normal 4 2 2 4 3 2 2 2" xfId="5134"/>
    <cellStyle name="Normal 4 2 2 4 3 2 2 2 2" xfId="29806"/>
    <cellStyle name="Normal 4 2 2 4 3 2 2 2 2 2" xfId="29807"/>
    <cellStyle name="Normal 4 2 2 4 3 2 2 2 2 2 2" xfId="29808"/>
    <cellStyle name="Normal 4 2 2 4 3 2 2 2 2 3" xfId="29809"/>
    <cellStyle name="Normal 4 2 2 4 3 2 2 2 3" xfId="29810"/>
    <cellStyle name="Normal 4 2 2 4 3 2 2 2 3 2" xfId="29811"/>
    <cellStyle name="Normal 4 2 2 4 3 2 2 2 4" xfId="29812"/>
    <cellStyle name="Normal 4 2 2 4 3 2 2 3" xfId="29813"/>
    <cellStyle name="Normal 4 2 2 4 3 2 2 3 2" xfId="29814"/>
    <cellStyle name="Normal 4 2 2 4 3 2 2 3 2 2" xfId="29815"/>
    <cellStyle name="Normal 4 2 2 4 3 2 2 3 3" xfId="29816"/>
    <cellStyle name="Normal 4 2 2 4 3 2 2 4" xfId="29817"/>
    <cellStyle name="Normal 4 2 2 4 3 2 2 4 2" xfId="29818"/>
    <cellStyle name="Normal 4 2 2 4 3 2 2 5" xfId="29819"/>
    <cellStyle name="Normal 4 2 2 4 3 2 3" xfId="3774"/>
    <cellStyle name="Normal 4 2 2 4 3 2 3 2" xfId="29820"/>
    <cellStyle name="Normal 4 2 2 4 3 2 3 2 2" xfId="29821"/>
    <cellStyle name="Normal 4 2 2 4 3 2 3 2 2 2" xfId="29822"/>
    <cellStyle name="Normal 4 2 2 4 3 2 3 2 3" xfId="29823"/>
    <cellStyle name="Normal 4 2 2 4 3 2 3 3" xfId="29824"/>
    <cellStyle name="Normal 4 2 2 4 3 2 3 3 2" xfId="29825"/>
    <cellStyle name="Normal 4 2 2 4 3 2 3 4" xfId="29826"/>
    <cellStyle name="Normal 4 2 2 4 3 2 4" xfId="29827"/>
    <cellStyle name="Normal 4 2 2 4 3 2 4 2" xfId="29828"/>
    <cellStyle name="Normal 4 2 2 4 3 2 4 2 2" xfId="29829"/>
    <cellStyle name="Normal 4 2 2 4 3 2 4 3" xfId="29830"/>
    <cellStyle name="Normal 4 2 2 4 3 2 5" xfId="29831"/>
    <cellStyle name="Normal 4 2 2 4 3 2 5 2" xfId="29832"/>
    <cellStyle name="Normal 4 2 2 4 3 2 6" xfId="29833"/>
    <cellStyle name="Normal 4 2 2 4 3 3" xfId="1734"/>
    <cellStyle name="Normal 4 2 2 4 3 3 2" xfId="4454"/>
    <cellStyle name="Normal 4 2 2 4 3 3 2 2" xfId="29834"/>
    <cellStyle name="Normal 4 2 2 4 3 3 2 2 2" xfId="29835"/>
    <cellStyle name="Normal 4 2 2 4 3 3 2 2 2 2" xfId="29836"/>
    <cellStyle name="Normal 4 2 2 4 3 3 2 2 3" xfId="29837"/>
    <cellStyle name="Normal 4 2 2 4 3 3 2 3" xfId="29838"/>
    <cellStyle name="Normal 4 2 2 4 3 3 2 3 2" xfId="29839"/>
    <cellStyle name="Normal 4 2 2 4 3 3 2 4" xfId="29840"/>
    <cellStyle name="Normal 4 2 2 4 3 3 3" xfId="29841"/>
    <cellStyle name="Normal 4 2 2 4 3 3 3 2" xfId="29842"/>
    <cellStyle name="Normal 4 2 2 4 3 3 3 2 2" xfId="29843"/>
    <cellStyle name="Normal 4 2 2 4 3 3 3 3" xfId="29844"/>
    <cellStyle name="Normal 4 2 2 4 3 3 4" xfId="29845"/>
    <cellStyle name="Normal 4 2 2 4 3 3 4 2" xfId="29846"/>
    <cellStyle name="Normal 4 2 2 4 3 3 5" xfId="29847"/>
    <cellStyle name="Normal 4 2 2 4 3 4" xfId="3094"/>
    <cellStyle name="Normal 4 2 2 4 3 4 2" xfId="29848"/>
    <cellStyle name="Normal 4 2 2 4 3 4 2 2" xfId="29849"/>
    <cellStyle name="Normal 4 2 2 4 3 4 2 2 2" xfId="29850"/>
    <cellStyle name="Normal 4 2 2 4 3 4 2 3" xfId="29851"/>
    <cellStyle name="Normal 4 2 2 4 3 4 3" xfId="29852"/>
    <cellStyle name="Normal 4 2 2 4 3 4 3 2" xfId="29853"/>
    <cellStyle name="Normal 4 2 2 4 3 4 4" xfId="29854"/>
    <cellStyle name="Normal 4 2 2 4 3 5" xfId="29855"/>
    <cellStyle name="Normal 4 2 2 4 3 5 2" xfId="29856"/>
    <cellStyle name="Normal 4 2 2 4 3 5 2 2" xfId="29857"/>
    <cellStyle name="Normal 4 2 2 4 3 5 3" xfId="29858"/>
    <cellStyle name="Normal 4 2 2 4 3 6" xfId="29859"/>
    <cellStyle name="Normal 4 2 2 4 3 6 2" xfId="29860"/>
    <cellStyle name="Normal 4 2 2 4 3 7" xfId="29861"/>
    <cellStyle name="Normal 4 2 2 4 4" xfId="646"/>
    <cellStyle name="Normal 4 2 2 4 4 2" xfId="1326"/>
    <cellStyle name="Normal 4 2 2 4 4 2 2" xfId="2686"/>
    <cellStyle name="Normal 4 2 2 4 4 2 2 2" xfId="5406"/>
    <cellStyle name="Normal 4 2 2 4 4 2 2 2 2" xfId="29862"/>
    <cellStyle name="Normal 4 2 2 4 4 2 2 2 2 2" xfId="29863"/>
    <cellStyle name="Normal 4 2 2 4 4 2 2 2 2 2 2" xfId="29864"/>
    <cellStyle name="Normal 4 2 2 4 4 2 2 2 2 3" xfId="29865"/>
    <cellStyle name="Normal 4 2 2 4 4 2 2 2 3" xfId="29866"/>
    <cellStyle name="Normal 4 2 2 4 4 2 2 2 3 2" xfId="29867"/>
    <cellStyle name="Normal 4 2 2 4 4 2 2 2 4" xfId="29868"/>
    <cellStyle name="Normal 4 2 2 4 4 2 2 3" xfId="29869"/>
    <cellStyle name="Normal 4 2 2 4 4 2 2 3 2" xfId="29870"/>
    <cellStyle name="Normal 4 2 2 4 4 2 2 3 2 2" xfId="29871"/>
    <cellStyle name="Normal 4 2 2 4 4 2 2 3 3" xfId="29872"/>
    <cellStyle name="Normal 4 2 2 4 4 2 2 4" xfId="29873"/>
    <cellStyle name="Normal 4 2 2 4 4 2 2 4 2" xfId="29874"/>
    <cellStyle name="Normal 4 2 2 4 4 2 2 5" xfId="29875"/>
    <cellStyle name="Normal 4 2 2 4 4 2 3" xfId="4046"/>
    <cellStyle name="Normal 4 2 2 4 4 2 3 2" xfId="29876"/>
    <cellStyle name="Normal 4 2 2 4 4 2 3 2 2" xfId="29877"/>
    <cellStyle name="Normal 4 2 2 4 4 2 3 2 2 2" xfId="29878"/>
    <cellStyle name="Normal 4 2 2 4 4 2 3 2 3" xfId="29879"/>
    <cellStyle name="Normal 4 2 2 4 4 2 3 3" xfId="29880"/>
    <cellStyle name="Normal 4 2 2 4 4 2 3 3 2" xfId="29881"/>
    <cellStyle name="Normal 4 2 2 4 4 2 3 4" xfId="29882"/>
    <cellStyle name="Normal 4 2 2 4 4 2 4" xfId="29883"/>
    <cellStyle name="Normal 4 2 2 4 4 2 4 2" xfId="29884"/>
    <cellStyle name="Normal 4 2 2 4 4 2 4 2 2" xfId="29885"/>
    <cellStyle name="Normal 4 2 2 4 4 2 4 3" xfId="29886"/>
    <cellStyle name="Normal 4 2 2 4 4 2 5" xfId="29887"/>
    <cellStyle name="Normal 4 2 2 4 4 2 5 2" xfId="29888"/>
    <cellStyle name="Normal 4 2 2 4 4 2 6" xfId="29889"/>
    <cellStyle name="Normal 4 2 2 4 4 3" xfId="2006"/>
    <cellStyle name="Normal 4 2 2 4 4 3 2" xfId="4726"/>
    <cellStyle name="Normal 4 2 2 4 4 3 2 2" xfId="29890"/>
    <cellStyle name="Normal 4 2 2 4 4 3 2 2 2" xfId="29891"/>
    <cellStyle name="Normal 4 2 2 4 4 3 2 2 2 2" xfId="29892"/>
    <cellStyle name="Normal 4 2 2 4 4 3 2 2 3" xfId="29893"/>
    <cellStyle name="Normal 4 2 2 4 4 3 2 3" xfId="29894"/>
    <cellStyle name="Normal 4 2 2 4 4 3 2 3 2" xfId="29895"/>
    <cellStyle name="Normal 4 2 2 4 4 3 2 4" xfId="29896"/>
    <cellStyle name="Normal 4 2 2 4 4 3 3" xfId="29897"/>
    <cellStyle name="Normal 4 2 2 4 4 3 3 2" xfId="29898"/>
    <cellStyle name="Normal 4 2 2 4 4 3 3 2 2" xfId="29899"/>
    <cellStyle name="Normal 4 2 2 4 4 3 3 3" xfId="29900"/>
    <cellStyle name="Normal 4 2 2 4 4 3 4" xfId="29901"/>
    <cellStyle name="Normal 4 2 2 4 4 3 4 2" xfId="29902"/>
    <cellStyle name="Normal 4 2 2 4 4 3 5" xfId="29903"/>
    <cellStyle name="Normal 4 2 2 4 4 4" xfId="3366"/>
    <cellStyle name="Normal 4 2 2 4 4 4 2" xfId="29904"/>
    <cellStyle name="Normal 4 2 2 4 4 4 2 2" xfId="29905"/>
    <cellStyle name="Normal 4 2 2 4 4 4 2 2 2" xfId="29906"/>
    <cellStyle name="Normal 4 2 2 4 4 4 2 3" xfId="29907"/>
    <cellStyle name="Normal 4 2 2 4 4 4 3" xfId="29908"/>
    <cellStyle name="Normal 4 2 2 4 4 4 3 2" xfId="29909"/>
    <cellStyle name="Normal 4 2 2 4 4 4 4" xfId="29910"/>
    <cellStyle name="Normal 4 2 2 4 4 5" xfId="29911"/>
    <cellStyle name="Normal 4 2 2 4 4 5 2" xfId="29912"/>
    <cellStyle name="Normal 4 2 2 4 4 5 2 2" xfId="29913"/>
    <cellStyle name="Normal 4 2 2 4 4 5 3" xfId="29914"/>
    <cellStyle name="Normal 4 2 2 4 4 6" xfId="29915"/>
    <cellStyle name="Normal 4 2 2 4 4 6 2" xfId="29916"/>
    <cellStyle name="Normal 4 2 2 4 4 7" xfId="29917"/>
    <cellStyle name="Normal 4 2 2 4 5" xfId="782"/>
    <cellStyle name="Normal 4 2 2 4 5 2" xfId="2142"/>
    <cellStyle name="Normal 4 2 2 4 5 2 2" xfId="4862"/>
    <cellStyle name="Normal 4 2 2 4 5 2 2 2" xfId="29918"/>
    <cellStyle name="Normal 4 2 2 4 5 2 2 2 2" xfId="29919"/>
    <cellStyle name="Normal 4 2 2 4 5 2 2 2 2 2" xfId="29920"/>
    <cellStyle name="Normal 4 2 2 4 5 2 2 2 3" xfId="29921"/>
    <cellStyle name="Normal 4 2 2 4 5 2 2 3" xfId="29922"/>
    <cellStyle name="Normal 4 2 2 4 5 2 2 3 2" xfId="29923"/>
    <cellStyle name="Normal 4 2 2 4 5 2 2 4" xfId="29924"/>
    <cellStyle name="Normal 4 2 2 4 5 2 3" xfId="29925"/>
    <cellStyle name="Normal 4 2 2 4 5 2 3 2" xfId="29926"/>
    <cellStyle name="Normal 4 2 2 4 5 2 3 2 2" xfId="29927"/>
    <cellStyle name="Normal 4 2 2 4 5 2 3 3" xfId="29928"/>
    <cellStyle name="Normal 4 2 2 4 5 2 4" xfId="29929"/>
    <cellStyle name="Normal 4 2 2 4 5 2 4 2" xfId="29930"/>
    <cellStyle name="Normal 4 2 2 4 5 2 5" xfId="29931"/>
    <cellStyle name="Normal 4 2 2 4 5 3" xfId="3502"/>
    <cellStyle name="Normal 4 2 2 4 5 3 2" xfId="29932"/>
    <cellStyle name="Normal 4 2 2 4 5 3 2 2" xfId="29933"/>
    <cellStyle name="Normal 4 2 2 4 5 3 2 2 2" xfId="29934"/>
    <cellStyle name="Normal 4 2 2 4 5 3 2 3" xfId="29935"/>
    <cellStyle name="Normal 4 2 2 4 5 3 3" xfId="29936"/>
    <cellStyle name="Normal 4 2 2 4 5 3 3 2" xfId="29937"/>
    <cellStyle name="Normal 4 2 2 4 5 3 4" xfId="29938"/>
    <cellStyle name="Normal 4 2 2 4 5 4" xfId="29939"/>
    <cellStyle name="Normal 4 2 2 4 5 4 2" xfId="29940"/>
    <cellStyle name="Normal 4 2 2 4 5 4 2 2" xfId="29941"/>
    <cellStyle name="Normal 4 2 2 4 5 4 3" xfId="29942"/>
    <cellStyle name="Normal 4 2 2 4 5 5" xfId="29943"/>
    <cellStyle name="Normal 4 2 2 4 5 5 2" xfId="29944"/>
    <cellStyle name="Normal 4 2 2 4 5 6" xfId="29945"/>
    <cellStyle name="Normal 4 2 2 4 6" xfId="1462"/>
    <cellStyle name="Normal 4 2 2 4 6 2" xfId="4182"/>
    <cellStyle name="Normal 4 2 2 4 6 2 2" xfId="29946"/>
    <cellStyle name="Normal 4 2 2 4 6 2 2 2" xfId="29947"/>
    <cellStyle name="Normal 4 2 2 4 6 2 2 2 2" xfId="29948"/>
    <cellStyle name="Normal 4 2 2 4 6 2 2 3" xfId="29949"/>
    <cellStyle name="Normal 4 2 2 4 6 2 3" xfId="29950"/>
    <cellStyle name="Normal 4 2 2 4 6 2 3 2" xfId="29951"/>
    <cellStyle name="Normal 4 2 2 4 6 2 4" xfId="29952"/>
    <cellStyle name="Normal 4 2 2 4 6 3" xfId="29953"/>
    <cellStyle name="Normal 4 2 2 4 6 3 2" xfId="29954"/>
    <cellStyle name="Normal 4 2 2 4 6 3 2 2" xfId="29955"/>
    <cellStyle name="Normal 4 2 2 4 6 3 3" xfId="29956"/>
    <cellStyle name="Normal 4 2 2 4 6 4" xfId="29957"/>
    <cellStyle name="Normal 4 2 2 4 6 4 2" xfId="29958"/>
    <cellStyle name="Normal 4 2 2 4 6 5" xfId="29959"/>
    <cellStyle name="Normal 4 2 2 4 7" xfId="2822"/>
    <cellStyle name="Normal 4 2 2 4 7 2" xfId="29960"/>
    <cellStyle name="Normal 4 2 2 4 7 2 2" xfId="29961"/>
    <cellStyle name="Normal 4 2 2 4 7 2 2 2" xfId="29962"/>
    <cellStyle name="Normal 4 2 2 4 7 2 3" xfId="29963"/>
    <cellStyle name="Normal 4 2 2 4 7 3" xfId="29964"/>
    <cellStyle name="Normal 4 2 2 4 7 3 2" xfId="29965"/>
    <cellStyle name="Normal 4 2 2 4 7 4" xfId="29966"/>
    <cellStyle name="Normal 4 2 2 4 8" xfId="29967"/>
    <cellStyle name="Normal 4 2 2 4 8 2" xfId="29968"/>
    <cellStyle name="Normal 4 2 2 4 8 2 2" xfId="29969"/>
    <cellStyle name="Normal 4 2 2 4 8 3" xfId="29970"/>
    <cellStyle name="Normal 4 2 2 4 9" xfId="29971"/>
    <cellStyle name="Normal 4 2 2 4 9 2" xfId="29972"/>
    <cellStyle name="Normal 4 2 2 5" xfId="170"/>
    <cellStyle name="Normal 4 2 2 5 2" xfId="442"/>
    <cellStyle name="Normal 4 2 2 5 2 2" xfId="1122"/>
    <cellStyle name="Normal 4 2 2 5 2 2 2" xfId="2482"/>
    <cellStyle name="Normal 4 2 2 5 2 2 2 2" xfId="5202"/>
    <cellStyle name="Normal 4 2 2 5 2 2 2 2 2" xfId="29973"/>
    <cellStyle name="Normal 4 2 2 5 2 2 2 2 2 2" xfId="29974"/>
    <cellStyle name="Normal 4 2 2 5 2 2 2 2 2 2 2" xfId="29975"/>
    <cellStyle name="Normal 4 2 2 5 2 2 2 2 2 3" xfId="29976"/>
    <cellStyle name="Normal 4 2 2 5 2 2 2 2 3" xfId="29977"/>
    <cellStyle name="Normal 4 2 2 5 2 2 2 2 3 2" xfId="29978"/>
    <cellStyle name="Normal 4 2 2 5 2 2 2 2 4" xfId="29979"/>
    <cellStyle name="Normal 4 2 2 5 2 2 2 3" xfId="29980"/>
    <cellStyle name="Normal 4 2 2 5 2 2 2 3 2" xfId="29981"/>
    <cellStyle name="Normal 4 2 2 5 2 2 2 3 2 2" xfId="29982"/>
    <cellStyle name="Normal 4 2 2 5 2 2 2 3 3" xfId="29983"/>
    <cellStyle name="Normal 4 2 2 5 2 2 2 4" xfId="29984"/>
    <cellStyle name="Normal 4 2 2 5 2 2 2 4 2" xfId="29985"/>
    <cellStyle name="Normal 4 2 2 5 2 2 2 5" xfId="29986"/>
    <cellStyle name="Normal 4 2 2 5 2 2 3" xfId="3842"/>
    <cellStyle name="Normal 4 2 2 5 2 2 3 2" xfId="29987"/>
    <cellStyle name="Normal 4 2 2 5 2 2 3 2 2" xfId="29988"/>
    <cellStyle name="Normal 4 2 2 5 2 2 3 2 2 2" xfId="29989"/>
    <cellStyle name="Normal 4 2 2 5 2 2 3 2 3" xfId="29990"/>
    <cellStyle name="Normal 4 2 2 5 2 2 3 3" xfId="29991"/>
    <cellStyle name="Normal 4 2 2 5 2 2 3 3 2" xfId="29992"/>
    <cellStyle name="Normal 4 2 2 5 2 2 3 4" xfId="29993"/>
    <cellStyle name="Normal 4 2 2 5 2 2 4" xfId="29994"/>
    <cellStyle name="Normal 4 2 2 5 2 2 4 2" xfId="29995"/>
    <cellStyle name="Normal 4 2 2 5 2 2 4 2 2" xfId="29996"/>
    <cellStyle name="Normal 4 2 2 5 2 2 4 3" xfId="29997"/>
    <cellStyle name="Normal 4 2 2 5 2 2 5" xfId="29998"/>
    <cellStyle name="Normal 4 2 2 5 2 2 5 2" xfId="29999"/>
    <cellStyle name="Normal 4 2 2 5 2 2 6" xfId="30000"/>
    <cellStyle name="Normal 4 2 2 5 2 3" xfId="1802"/>
    <cellStyle name="Normal 4 2 2 5 2 3 2" xfId="4522"/>
    <cellStyle name="Normal 4 2 2 5 2 3 2 2" xfId="30001"/>
    <cellStyle name="Normal 4 2 2 5 2 3 2 2 2" xfId="30002"/>
    <cellStyle name="Normal 4 2 2 5 2 3 2 2 2 2" xfId="30003"/>
    <cellStyle name="Normal 4 2 2 5 2 3 2 2 3" xfId="30004"/>
    <cellStyle name="Normal 4 2 2 5 2 3 2 3" xfId="30005"/>
    <cellStyle name="Normal 4 2 2 5 2 3 2 3 2" xfId="30006"/>
    <cellStyle name="Normal 4 2 2 5 2 3 2 4" xfId="30007"/>
    <cellStyle name="Normal 4 2 2 5 2 3 3" xfId="30008"/>
    <cellStyle name="Normal 4 2 2 5 2 3 3 2" xfId="30009"/>
    <cellStyle name="Normal 4 2 2 5 2 3 3 2 2" xfId="30010"/>
    <cellStyle name="Normal 4 2 2 5 2 3 3 3" xfId="30011"/>
    <cellStyle name="Normal 4 2 2 5 2 3 4" xfId="30012"/>
    <cellStyle name="Normal 4 2 2 5 2 3 4 2" xfId="30013"/>
    <cellStyle name="Normal 4 2 2 5 2 3 5" xfId="30014"/>
    <cellStyle name="Normal 4 2 2 5 2 4" xfId="3162"/>
    <cellStyle name="Normal 4 2 2 5 2 4 2" xfId="30015"/>
    <cellStyle name="Normal 4 2 2 5 2 4 2 2" xfId="30016"/>
    <cellStyle name="Normal 4 2 2 5 2 4 2 2 2" xfId="30017"/>
    <cellStyle name="Normal 4 2 2 5 2 4 2 3" xfId="30018"/>
    <cellStyle name="Normal 4 2 2 5 2 4 3" xfId="30019"/>
    <cellStyle name="Normal 4 2 2 5 2 4 3 2" xfId="30020"/>
    <cellStyle name="Normal 4 2 2 5 2 4 4" xfId="30021"/>
    <cellStyle name="Normal 4 2 2 5 2 5" xfId="30022"/>
    <cellStyle name="Normal 4 2 2 5 2 5 2" xfId="30023"/>
    <cellStyle name="Normal 4 2 2 5 2 5 2 2" xfId="30024"/>
    <cellStyle name="Normal 4 2 2 5 2 5 3" xfId="30025"/>
    <cellStyle name="Normal 4 2 2 5 2 6" xfId="30026"/>
    <cellStyle name="Normal 4 2 2 5 2 6 2" xfId="30027"/>
    <cellStyle name="Normal 4 2 2 5 2 7" xfId="30028"/>
    <cellStyle name="Normal 4 2 2 5 3" xfId="850"/>
    <cellStyle name="Normal 4 2 2 5 3 2" xfId="2210"/>
    <cellStyle name="Normal 4 2 2 5 3 2 2" xfId="4930"/>
    <cellStyle name="Normal 4 2 2 5 3 2 2 2" xfId="30029"/>
    <cellStyle name="Normal 4 2 2 5 3 2 2 2 2" xfId="30030"/>
    <cellStyle name="Normal 4 2 2 5 3 2 2 2 2 2" xfId="30031"/>
    <cellStyle name="Normal 4 2 2 5 3 2 2 2 3" xfId="30032"/>
    <cellStyle name="Normal 4 2 2 5 3 2 2 3" xfId="30033"/>
    <cellStyle name="Normal 4 2 2 5 3 2 2 3 2" xfId="30034"/>
    <cellStyle name="Normal 4 2 2 5 3 2 2 4" xfId="30035"/>
    <cellStyle name="Normal 4 2 2 5 3 2 3" xfId="30036"/>
    <cellStyle name="Normal 4 2 2 5 3 2 3 2" xfId="30037"/>
    <cellStyle name="Normal 4 2 2 5 3 2 3 2 2" xfId="30038"/>
    <cellStyle name="Normal 4 2 2 5 3 2 3 3" xfId="30039"/>
    <cellStyle name="Normal 4 2 2 5 3 2 4" xfId="30040"/>
    <cellStyle name="Normal 4 2 2 5 3 2 4 2" xfId="30041"/>
    <cellStyle name="Normal 4 2 2 5 3 2 5" xfId="30042"/>
    <cellStyle name="Normal 4 2 2 5 3 3" xfId="3570"/>
    <cellStyle name="Normal 4 2 2 5 3 3 2" xfId="30043"/>
    <cellStyle name="Normal 4 2 2 5 3 3 2 2" xfId="30044"/>
    <cellStyle name="Normal 4 2 2 5 3 3 2 2 2" xfId="30045"/>
    <cellStyle name="Normal 4 2 2 5 3 3 2 3" xfId="30046"/>
    <cellStyle name="Normal 4 2 2 5 3 3 3" xfId="30047"/>
    <cellStyle name="Normal 4 2 2 5 3 3 3 2" xfId="30048"/>
    <cellStyle name="Normal 4 2 2 5 3 3 4" xfId="30049"/>
    <cellStyle name="Normal 4 2 2 5 3 4" xfId="30050"/>
    <cellStyle name="Normal 4 2 2 5 3 4 2" xfId="30051"/>
    <cellStyle name="Normal 4 2 2 5 3 4 2 2" xfId="30052"/>
    <cellStyle name="Normal 4 2 2 5 3 4 3" xfId="30053"/>
    <cellStyle name="Normal 4 2 2 5 3 5" xfId="30054"/>
    <cellStyle name="Normal 4 2 2 5 3 5 2" xfId="30055"/>
    <cellStyle name="Normal 4 2 2 5 3 6" xfId="30056"/>
    <cellStyle name="Normal 4 2 2 5 4" xfId="1530"/>
    <cellStyle name="Normal 4 2 2 5 4 2" xfId="4250"/>
    <cellStyle name="Normal 4 2 2 5 4 2 2" xfId="30057"/>
    <cellStyle name="Normal 4 2 2 5 4 2 2 2" xfId="30058"/>
    <cellStyle name="Normal 4 2 2 5 4 2 2 2 2" xfId="30059"/>
    <cellStyle name="Normal 4 2 2 5 4 2 2 3" xfId="30060"/>
    <cellStyle name="Normal 4 2 2 5 4 2 3" xfId="30061"/>
    <cellStyle name="Normal 4 2 2 5 4 2 3 2" xfId="30062"/>
    <cellStyle name="Normal 4 2 2 5 4 2 4" xfId="30063"/>
    <cellStyle name="Normal 4 2 2 5 4 3" xfId="30064"/>
    <cellStyle name="Normal 4 2 2 5 4 3 2" xfId="30065"/>
    <cellStyle name="Normal 4 2 2 5 4 3 2 2" xfId="30066"/>
    <cellStyle name="Normal 4 2 2 5 4 3 3" xfId="30067"/>
    <cellStyle name="Normal 4 2 2 5 4 4" xfId="30068"/>
    <cellStyle name="Normal 4 2 2 5 4 4 2" xfId="30069"/>
    <cellStyle name="Normal 4 2 2 5 4 5" xfId="30070"/>
    <cellStyle name="Normal 4 2 2 5 5" xfId="2890"/>
    <cellStyle name="Normal 4 2 2 5 5 2" xfId="30071"/>
    <cellStyle name="Normal 4 2 2 5 5 2 2" xfId="30072"/>
    <cellStyle name="Normal 4 2 2 5 5 2 2 2" xfId="30073"/>
    <cellStyle name="Normal 4 2 2 5 5 2 3" xfId="30074"/>
    <cellStyle name="Normal 4 2 2 5 5 3" xfId="30075"/>
    <cellStyle name="Normal 4 2 2 5 5 3 2" xfId="30076"/>
    <cellStyle name="Normal 4 2 2 5 5 4" xfId="30077"/>
    <cellStyle name="Normal 4 2 2 5 6" xfId="30078"/>
    <cellStyle name="Normal 4 2 2 5 6 2" xfId="30079"/>
    <cellStyle name="Normal 4 2 2 5 6 2 2" xfId="30080"/>
    <cellStyle name="Normal 4 2 2 5 6 3" xfId="30081"/>
    <cellStyle name="Normal 4 2 2 5 7" xfId="30082"/>
    <cellStyle name="Normal 4 2 2 5 7 2" xfId="30083"/>
    <cellStyle name="Normal 4 2 2 5 8" xfId="30084"/>
    <cellStyle name="Normal 4 2 2 6" xfId="306"/>
    <cellStyle name="Normal 4 2 2 6 2" xfId="986"/>
    <cellStyle name="Normal 4 2 2 6 2 2" xfId="2346"/>
    <cellStyle name="Normal 4 2 2 6 2 2 2" xfId="5066"/>
    <cellStyle name="Normal 4 2 2 6 2 2 2 2" xfId="30085"/>
    <cellStyle name="Normal 4 2 2 6 2 2 2 2 2" xfId="30086"/>
    <cellStyle name="Normal 4 2 2 6 2 2 2 2 2 2" xfId="30087"/>
    <cellStyle name="Normal 4 2 2 6 2 2 2 2 3" xfId="30088"/>
    <cellStyle name="Normal 4 2 2 6 2 2 2 3" xfId="30089"/>
    <cellStyle name="Normal 4 2 2 6 2 2 2 3 2" xfId="30090"/>
    <cellStyle name="Normal 4 2 2 6 2 2 2 4" xfId="30091"/>
    <cellStyle name="Normal 4 2 2 6 2 2 3" xfId="30092"/>
    <cellStyle name="Normal 4 2 2 6 2 2 3 2" xfId="30093"/>
    <cellStyle name="Normal 4 2 2 6 2 2 3 2 2" xfId="30094"/>
    <cellStyle name="Normal 4 2 2 6 2 2 3 3" xfId="30095"/>
    <cellStyle name="Normal 4 2 2 6 2 2 4" xfId="30096"/>
    <cellStyle name="Normal 4 2 2 6 2 2 4 2" xfId="30097"/>
    <cellStyle name="Normal 4 2 2 6 2 2 5" xfId="30098"/>
    <cellStyle name="Normal 4 2 2 6 2 3" xfId="3706"/>
    <cellStyle name="Normal 4 2 2 6 2 3 2" xfId="30099"/>
    <cellStyle name="Normal 4 2 2 6 2 3 2 2" xfId="30100"/>
    <cellStyle name="Normal 4 2 2 6 2 3 2 2 2" xfId="30101"/>
    <cellStyle name="Normal 4 2 2 6 2 3 2 3" xfId="30102"/>
    <cellStyle name="Normal 4 2 2 6 2 3 3" xfId="30103"/>
    <cellStyle name="Normal 4 2 2 6 2 3 3 2" xfId="30104"/>
    <cellStyle name="Normal 4 2 2 6 2 3 4" xfId="30105"/>
    <cellStyle name="Normal 4 2 2 6 2 4" xfId="30106"/>
    <cellStyle name="Normal 4 2 2 6 2 4 2" xfId="30107"/>
    <cellStyle name="Normal 4 2 2 6 2 4 2 2" xfId="30108"/>
    <cellStyle name="Normal 4 2 2 6 2 4 3" xfId="30109"/>
    <cellStyle name="Normal 4 2 2 6 2 5" xfId="30110"/>
    <cellStyle name="Normal 4 2 2 6 2 5 2" xfId="30111"/>
    <cellStyle name="Normal 4 2 2 6 2 6" xfId="30112"/>
    <cellStyle name="Normal 4 2 2 6 3" xfId="1666"/>
    <cellStyle name="Normal 4 2 2 6 3 2" xfId="4386"/>
    <cellStyle name="Normal 4 2 2 6 3 2 2" xfId="30113"/>
    <cellStyle name="Normal 4 2 2 6 3 2 2 2" xfId="30114"/>
    <cellStyle name="Normal 4 2 2 6 3 2 2 2 2" xfId="30115"/>
    <cellStyle name="Normal 4 2 2 6 3 2 2 3" xfId="30116"/>
    <cellStyle name="Normal 4 2 2 6 3 2 3" xfId="30117"/>
    <cellStyle name="Normal 4 2 2 6 3 2 3 2" xfId="30118"/>
    <cellStyle name="Normal 4 2 2 6 3 2 4" xfId="30119"/>
    <cellStyle name="Normal 4 2 2 6 3 3" xfId="30120"/>
    <cellStyle name="Normal 4 2 2 6 3 3 2" xfId="30121"/>
    <cellStyle name="Normal 4 2 2 6 3 3 2 2" xfId="30122"/>
    <cellStyle name="Normal 4 2 2 6 3 3 3" xfId="30123"/>
    <cellStyle name="Normal 4 2 2 6 3 4" xfId="30124"/>
    <cellStyle name="Normal 4 2 2 6 3 4 2" xfId="30125"/>
    <cellStyle name="Normal 4 2 2 6 3 5" xfId="30126"/>
    <cellStyle name="Normal 4 2 2 6 4" xfId="3026"/>
    <cellStyle name="Normal 4 2 2 6 4 2" xfId="30127"/>
    <cellStyle name="Normal 4 2 2 6 4 2 2" xfId="30128"/>
    <cellStyle name="Normal 4 2 2 6 4 2 2 2" xfId="30129"/>
    <cellStyle name="Normal 4 2 2 6 4 2 3" xfId="30130"/>
    <cellStyle name="Normal 4 2 2 6 4 3" xfId="30131"/>
    <cellStyle name="Normal 4 2 2 6 4 3 2" xfId="30132"/>
    <cellStyle name="Normal 4 2 2 6 4 4" xfId="30133"/>
    <cellStyle name="Normal 4 2 2 6 5" xfId="30134"/>
    <cellStyle name="Normal 4 2 2 6 5 2" xfId="30135"/>
    <cellStyle name="Normal 4 2 2 6 5 2 2" xfId="30136"/>
    <cellStyle name="Normal 4 2 2 6 5 3" xfId="30137"/>
    <cellStyle name="Normal 4 2 2 6 6" xfId="30138"/>
    <cellStyle name="Normal 4 2 2 6 6 2" xfId="30139"/>
    <cellStyle name="Normal 4 2 2 6 7" xfId="30140"/>
    <cellStyle name="Normal 4 2 2 7" xfId="578"/>
    <cellStyle name="Normal 4 2 2 7 2" xfId="1258"/>
    <cellStyle name="Normal 4 2 2 7 2 2" xfId="2618"/>
    <cellStyle name="Normal 4 2 2 7 2 2 2" xfId="5338"/>
    <cellStyle name="Normal 4 2 2 7 2 2 2 2" xfId="30141"/>
    <cellStyle name="Normal 4 2 2 7 2 2 2 2 2" xfId="30142"/>
    <cellStyle name="Normal 4 2 2 7 2 2 2 2 2 2" xfId="30143"/>
    <cellStyle name="Normal 4 2 2 7 2 2 2 2 3" xfId="30144"/>
    <cellStyle name="Normal 4 2 2 7 2 2 2 3" xfId="30145"/>
    <cellStyle name="Normal 4 2 2 7 2 2 2 3 2" xfId="30146"/>
    <cellStyle name="Normal 4 2 2 7 2 2 2 4" xfId="30147"/>
    <cellStyle name="Normal 4 2 2 7 2 2 3" xfId="30148"/>
    <cellStyle name="Normal 4 2 2 7 2 2 3 2" xfId="30149"/>
    <cellStyle name="Normal 4 2 2 7 2 2 3 2 2" xfId="30150"/>
    <cellStyle name="Normal 4 2 2 7 2 2 3 3" xfId="30151"/>
    <cellStyle name="Normal 4 2 2 7 2 2 4" xfId="30152"/>
    <cellStyle name="Normal 4 2 2 7 2 2 4 2" xfId="30153"/>
    <cellStyle name="Normal 4 2 2 7 2 2 5" xfId="30154"/>
    <cellStyle name="Normal 4 2 2 7 2 3" xfId="3978"/>
    <cellStyle name="Normal 4 2 2 7 2 3 2" xfId="30155"/>
    <cellStyle name="Normal 4 2 2 7 2 3 2 2" xfId="30156"/>
    <cellStyle name="Normal 4 2 2 7 2 3 2 2 2" xfId="30157"/>
    <cellStyle name="Normal 4 2 2 7 2 3 2 3" xfId="30158"/>
    <cellStyle name="Normal 4 2 2 7 2 3 3" xfId="30159"/>
    <cellStyle name="Normal 4 2 2 7 2 3 3 2" xfId="30160"/>
    <cellStyle name="Normal 4 2 2 7 2 3 4" xfId="30161"/>
    <cellStyle name="Normal 4 2 2 7 2 4" xfId="30162"/>
    <cellStyle name="Normal 4 2 2 7 2 4 2" xfId="30163"/>
    <cellStyle name="Normal 4 2 2 7 2 4 2 2" xfId="30164"/>
    <cellStyle name="Normal 4 2 2 7 2 4 3" xfId="30165"/>
    <cellStyle name="Normal 4 2 2 7 2 5" xfId="30166"/>
    <cellStyle name="Normal 4 2 2 7 2 5 2" xfId="30167"/>
    <cellStyle name="Normal 4 2 2 7 2 6" xfId="30168"/>
    <cellStyle name="Normal 4 2 2 7 3" xfId="1938"/>
    <cellStyle name="Normal 4 2 2 7 3 2" xfId="4658"/>
    <cellStyle name="Normal 4 2 2 7 3 2 2" xfId="30169"/>
    <cellStyle name="Normal 4 2 2 7 3 2 2 2" xfId="30170"/>
    <cellStyle name="Normal 4 2 2 7 3 2 2 2 2" xfId="30171"/>
    <cellStyle name="Normal 4 2 2 7 3 2 2 3" xfId="30172"/>
    <cellStyle name="Normal 4 2 2 7 3 2 3" xfId="30173"/>
    <cellStyle name="Normal 4 2 2 7 3 2 3 2" xfId="30174"/>
    <cellStyle name="Normal 4 2 2 7 3 2 4" xfId="30175"/>
    <cellStyle name="Normal 4 2 2 7 3 3" xfId="30176"/>
    <cellStyle name="Normal 4 2 2 7 3 3 2" xfId="30177"/>
    <cellStyle name="Normal 4 2 2 7 3 3 2 2" xfId="30178"/>
    <cellStyle name="Normal 4 2 2 7 3 3 3" xfId="30179"/>
    <cellStyle name="Normal 4 2 2 7 3 4" xfId="30180"/>
    <cellStyle name="Normal 4 2 2 7 3 4 2" xfId="30181"/>
    <cellStyle name="Normal 4 2 2 7 3 5" xfId="30182"/>
    <cellStyle name="Normal 4 2 2 7 4" xfId="3298"/>
    <cellStyle name="Normal 4 2 2 7 4 2" xfId="30183"/>
    <cellStyle name="Normal 4 2 2 7 4 2 2" xfId="30184"/>
    <cellStyle name="Normal 4 2 2 7 4 2 2 2" xfId="30185"/>
    <cellStyle name="Normal 4 2 2 7 4 2 3" xfId="30186"/>
    <cellStyle name="Normal 4 2 2 7 4 3" xfId="30187"/>
    <cellStyle name="Normal 4 2 2 7 4 3 2" xfId="30188"/>
    <cellStyle name="Normal 4 2 2 7 4 4" xfId="30189"/>
    <cellStyle name="Normal 4 2 2 7 5" xfId="30190"/>
    <cellStyle name="Normal 4 2 2 7 5 2" xfId="30191"/>
    <cellStyle name="Normal 4 2 2 7 5 2 2" xfId="30192"/>
    <cellStyle name="Normal 4 2 2 7 5 3" xfId="30193"/>
    <cellStyle name="Normal 4 2 2 7 6" xfId="30194"/>
    <cellStyle name="Normal 4 2 2 7 6 2" xfId="30195"/>
    <cellStyle name="Normal 4 2 2 7 7" xfId="30196"/>
    <cellStyle name="Normal 4 2 2 8" xfId="714"/>
    <cellStyle name="Normal 4 2 2 8 2" xfId="2074"/>
    <cellStyle name="Normal 4 2 2 8 2 2" xfId="4794"/>
    <cellStyle name="Normal 4 2 2 8 2 2 2" xfId="30197"/>
    <cellStyle name="Normal 4 2 2 8 2 2 2 2" xfId="30198"/>
    <cellStyle name="Normal 4 2 2 8 2 2 2 2 2" xfId="30199"/>
    <cellStyle name="Normal 4 2 2 8 2 2 2 3" xfId="30200"/>
    <cellStyle name="Normal 4 2 2 8 2 2 3" xfId="30201"/>
    <cellStyle name="Normal 4 2 2 8 2 2 3 2" xfId="30202"/>
    <cellStyle name="Normal 4 2 2 8 2 2 4" xfId="30203"/>
    <cellStyle name="Normal 4 2 2 8 2 3" xfId="30204"/>
    <cellStyle name="Normal 4 2 2 8 2 3 2" xfId="30205"/>
    <cellStyle name="Normal 4 2 2 8 2 3 2 2" xfId="30206"/>
    <cellStyle name="Normal 4 2 2 8 2 3 3" xfId="30207"/>
    <cellStyle name="Normal 4 2 2 8 2 4" xfId="30208"/>
    <cellStyle name="Normal 4 2 2 8 2 4 2" xfId="30209"/>
    <cellStyle name="Normal 4 2 2 8 2 5" xfId="30210"/>
    <cellStyle name="Normal 4 2 2 8 3" xfId="3434"/>
    <cellStyle name="Normal 4 2 2 8 3 2" xfId="30211"/>
    <cellStyle name="Normal 4 2 2 8 3 2 2" xfId="30212"/>
    <cellStyle name="Normal 4 2 2 8 3 2 2 2" xfId="30213"/>
    <cellStyle name="Normal 4 2 2 8 3 2 3" xfId="30214"/>
    <cellStyle name="Normal 4 2 2 8 3 3" xfId="30215"/>
    <cellStyle name="Normal 4 2 2 8 3 3 2" xfId="30216"/>
    <cellStyle name="Normal 4 2 2 8 3 4" xfId="30217"/>
    <cellStyle name="Normal 4 2 2 8 4" xfId="30218"/>
    <cellStyle name="Normal 4 2 2 8 4 2" xfId="30219"/>
    <cellStyle name="Normal 4 2 2 8 4 2 2" xfId="30220"/>
    <cellStyle name="Normal 4 2 2 8 4 3" xfId="30221"/>
    <cellStyle name="Normal 4 2 2 8 5" xfId="30222"/>
    <cellStyle name="Normal 4 2 2 8 5 2" xfId="30223"/>
    <cellStyle name="Normal 4 2 2 8 6" xfId="30224"/>
    <cellStyle name="Normal 4 2 2 9" xfId="1394"/>
    <cellStyle name="Normal 4 2 2 9 2" xfId="4114"/>
    <cellStyle name="Normal 4 2 2 9 2 2" xfId="30225"/>
    <cellStyle name="Normal 4 2 2 9 2 2 2" xfId="30226"/>
    <cellStyle name="Normal 4 2 2 9 2 2 2 2" xfId="30227"/>
    <cellStyle name="Normal 4 2 2 9 2 2 3" xfId="30228"/>
    <cellStyle name="Normal 4 2 2 9 2 3" xfId="30229"/>
    <cellStyle name="Normal 4 2 2 9 2 3 2" xfId="30230"/>
    <cellStyle name="Normal 4 2 2 9 2 4" xfId="30231"/>
    <cellStyle name="Normal 4 2 2 9 3" xfId="30232"/>
    <cellStyle name="Normal 4 2 2 9 3 2" xfId="30233"/>
    <cellStyle name="Normal 4 2 2 9 3 2 2" xfId="30234"/>
    <cellStyle name="Normal 4 2 2 9 3 3" xfId="30235"/>
    <cellStyle name="Normal 4 2 2 9 4" xfId="30236"/>
    <cellStyle name="Normal 4 2 2 9 4 2" xfId="30237"/>
    <cellStyle name="Normal 4 2 2 9 5" xfId="30238"/>
    <cellStyle name="Normal 4 2 3" xfId="42"/>
    <cellStyle name="Normal 4 2 3 10" xfId="30239"/>
    <cellStyle name="Normal 4 2 3 10 2" xfId="30240"/>
    <cellStyle name="Normal 4 2 3 10 2 2" xfId="30241"/>
    <cellStyle name="Normal 4 2 3 10 3" xfId="30242"/>
    <cellStyle name="Normal 4 2 3 11" xfId="30243"/>
    <cellStyle name="Normal 4 2 3 11 2" xfId="30244"/>
    <cellStyle name="Normal 4 2 3 12" xfId="30245"/>
    <cellStyle name="Normal 4 2 3 2" xfId="77"/>
    <cellStyle name="Normal 4 2 3 2 10" xfId="30246"/>
    <cellStyle name="Normal 4 2 3 2 10 2" xfId="30247"/>
    <cellStyle name="Normal 4 2 3 2 11" xfId="30248"/>
    <cellStyle name="Normal 4 2 3 2 2" xfId="145"/>
    <cellStyle name="Normal 4 2 3 2 2 10" xfId="30249"/>
    <cellStyle name="Normal 4 2 3 2 2 2" xfId="282"/>
    <cellStyle name="Normal 4 2 3 2 2 2 2" xfId="554"/>
    <cellStyle name="Normal 4 2 3 2 2 2 2 2" xfId="1234"/>
    <cellStyle name="Normal 4 2 3 2 2 2 2 2 2" xfId="2594"/>
    <cellStyle name="Normal 4 2 3 2 2 2 2 2 2 2" xfId="5314"/>
    <cellStyle name="Normal 4 2 3 2 2 2 2 2 2 2 2" xfId="30250"/>
    <cellStyle name="Normal 4 2 3 2 2 2 2 2 2 2 2 2" xfId="30251"/>
    <cellStyle name="Normal 4 2 3 2 2 2 2 2 2 2 2 2 2" xfId="30252"/>
    <cellStyle name="Normal 4 2 3 2 2 2 2 2 2 2 2 3" xfId="30253"/>
    <cellStyle name="Normal 4 2 3 2 2 2 2 2 2 2 3" xfId="30254"/>
    <cellStyle name="Normal 4 2 3 2 2 2 2 2 2 2 3 2" xfId="30255"/>
    <cellStyle name="Normal 4 2 3 2 2 2 2 2 2 2 4" xfId="30256"/>
    <cellStyle name="Normal 4 2 3 2 2 2 2 2 2 3" xfId="30257"/>
    <cellStyle name="Normal 4 2 3 2 2 2 2 2 2 3 2" xfId="30258"/>
    <cellStyle name="Normal 4 2 3 2 2 2 2 2 2 3 2 2" xfId="30259"/>
    <cellStyle name="Normal 4 2 3 2 2 2 2 2 2 3 3" xfId="30260"/>
    <cellStyle name="Normal 4 2 3 2 2 2 2 2 2 4" xfId="30261"/>
    <cellStyle name="Normal 4 2 3 2 2 2 2 2 2 4 2" xfId="30262"/>
    <cellStyle name="Normal 4 2 3 2 2 2 2 2 2 5" xfId="30263"/>
    <cellStyle name="Normal 4 2 3 2 2 2 2 2 3" xfId="3954"/>
    <cellStyle name="Normal 4 2 3 2 2 2 2 2 3 2" xfId="30264"/>
    <cellStyle name="Normal 4 2 3 2 2 2 2 2 3 2 2" xfId="30265"/>
    <cellStyle name="Normal 4 2 3 2 2 2 2 2 3 2 2 2" xfId="30266"/>
    <cellStyle name="Normal 4 2 3 2 2 2 2 2 3 2 3" xfId="30267"/>
    <cellStyle name="Normal 4 2 3 2 2 2 2 2 3 3" xfId="30268"/>
    <cellStyle name="Normal 4 2 3 2 2 2 2 2 3 3 2" xfId="30269"/>
    <cellStyle name="Normal 4 2 3 2 2 2 2 2 3 4" xfId="30270"/>
    <cellStyle name="Normal 4 2 3 2 2 2 2 2 4" xfId="30271"/>
    <cellStyle name="Normal 4 2 3 2 2 2 2 2 4 2" xfId="30272"/>
    <cellStyle name="Normal 4 2 3 2 2 2 2 2 4 2 2" xfId="30273"/>
    <cellStyle name="Normal 4 2 3 2 2 2 2 2 4 3" xfId="30274"/>
    <cellStyle name="Normal 4 2 3 2 2 2 2 2 5" xfId="30275"/>
    <cellStyle name="Normal 4 2 3 2 2 2 2 2 5 2" xfId="30276"/>
    <cellStyle name="Normal 4 2 3 2 2 2 2 2 6" xfId="30277"/>
    <cellStyle name="Normal 4 2 3 2 2 2 2 3" xfId="1914"/>
    <cellStyle name="Normal 4 2 3 2 2 2 2 3 2" xfId="4634"/>
    <cellStyle name="Normal 4 2 3 2 2 2 2 3 2 2" xfId="30278"/>
    <cellStyle name="Normal 4 2 3 2 2 2 2 3 2 2 2" xfId="30279"/>
    <cellStyle name="Normal 4 2 3 2 2 2 2 3 2 2 2 2" xfId="30280"/>
    <cellStyle name="Normal 4 2 3 2 2 2 2 3 2 2 3" xfId="30281"/>
    <cellStyle name="Normal 4 2 3 2 2 2 2 3 2 3" xfId="30282"/>
    <cellStyle name="Normal 4 2 3 2 2 2 2 3 2 3 2" xfId="30283"/>
    <cellStyle name="Normal 4 2 3 2 2 2 2 3 2 4" xfId="30284"/>
    <cellStyle name="Normal 4 2 3 2 2 2 2 3 3" xfId="30285"/>
    <cellStyle name="Normal 4 2 3 2 2 2 2 3 3 2" xfId="30286"/>
    <cellStyle name="Normal 4 2 3 2 2 2 2 3 3 2 2" xfId="30287"/>
    <cellStyle name="Normal 4 2 3 2 2 2 2 3 3 3" xfId="30288"/>
    <cellStyle name="Normal 4 2 3 2 2 2 2 3 4" xfId="30289"/>
    <cellStyle name="Normal 4 2 3 2 2 2 2 3 4 2" xfId="30290"/>
    <cellStyle name="Normal 4 2 3 2 2 2 2 3 5" xfId="30291"/>
    <cellStyle name="Normal 4 2 3 2 2 2 2 4" xfId="3274"/>
    <cellStyle name="Normal 4 2 3 2 2 2 2 4 2" xfId="30292"/>
    <cellStyle name="Normal 4 2 3 2 2 2 2 4 2 2" xfId="30293"/>
    <cellStyle name="Normal 4 2 3 2 2 2 2 4 2 2 2" xfId="30294"/>
    <cellStyle name="Normal 4 2 3 2 2 2 2 4 2 3" xfId="30295"/>
    <cellStyle name="Normal 4 2 3 2 2 2 2 4 3" xfId="30296"/>
    <cellStyle name="Normal 4 2 3 2 2 2 2 4 3 2" xfId="30297"/>
    <cellStyle name="Normal 4 2 3 2 2 2 2 4 4" xfId="30298"/>
    <cellStyle name="Normal 4 2 3 2 2 2 2 5" xfId="30299"/>
    <cellStyle name="Normal 4 2 3 2 2 2 2 5 2" xfId="30300"/>
    <cellStyle name="Normal 4 2 3 2 2 2 2 5 2 2" xfId="30301"/>
    <cellStyle name="Normal 4 2 3 2 2 2 2 5 3" xfId="30302"/>
    <cellStyle name="Normal 4 2 3 2 2 2 2 6" xfId="30303"/>
    <cellStyle name="Normal 4 2 3 2 2 2 2 6 2" xfId="30304"/>
    <cellStyle name="Normal 4 2 3 2 2 2 2 7" xfId="30305"/>
    <cellStyle name="Normal 4 2 3 2 2 2 3" xfId="962"/>
    <cellStyle name="Normal 4 2 3 2 2 2 3 2" xfId="2322"/>
    <cellStyle name="Normal 4 2 3 2 2 2 3 2 2" xfId="5042"/>
    <cellStyle name="Normal 4 2 3 2 2 2 3 2 2 2" xfId="30306"/>
    <cellStyle name="Normal 4 2 3 2 2 2 3 2 2 2 2" xfId="30307"/>
    <cellStyle name="Normal 4 2 3 2 2 2 3 2 2 2 2 2" xfId="30308"/>
    <cellStyle name="Normal 4 2 3 2 2 2 3 2 2 2 3" xfId="30309"/>
    <cellStyle name="Normal 4 2 3 2 2 2 3 2 2 3" xfId="30310"/>
    <cellStyle name="Normal 4 2 3 2 2 2 3 2 2 3 2" xfId="30311"/>
    <cellStyle name="Normal 4 2 3 2 2 2 3 2 2 4" xfId="30312"/>
    <cellStyle name="Normal 4 2 3 2 2 2 3 2 3" xfId="30313"/>
    <cellStyle name="Normal 4 2 3 2 2 2 3 2 3 2" xfId="30314"/>
    <cellStyle name="Normal 4 2 3 2 2 2 3 2 3 2 2" xfId="30315"/>
    <cellStyle name="Normal 4 2 3 2 2 2 3 2 3 3" xfId="30316"/>
    <cellStyle name="Normal 4 2 3 2 2 2 3 2 4" xfId="30317"/>
    <cellStyle name="Normal 4 2 3 2 2 2 3 2 4 2" xfId="30318"/>
    <cellStyle name="Normal 4 2 3 2 2 2 3 2 5" xfId="30319"/>
    <cellStyle name="Normal 4 2 3 2 2 2 3 3" xfId="3682"/>
    <cellStyle name="Normal 4 2 3 2 2 2 3 3 2" xfId="30320"/>
    <cellStyle name="Normal 4 2 3 2 2 2 3 3 2 2" xfId="30321"/>
    <cellStyle name="Normal 4 2 3 2 2 2 3 3 2 2 2" xfId="30322"/>
    <cellStyle name="Normal 4 2 3 2 2 2 3 3 2 3" xfId="30323"/>
    <cellStyle name="Normal 4 2 3 2 2 2 3 3 3" xfId="30324"/>
    <cellStyle name="Normal 4 2 3 2 2 2 3 3 3 2" xfId="30325"/>
    <cellStyle name="Normal 4 2 3 2 2 2 3 3 4" xfId="30326"/>
    <cellStyle name="Normal 4 2 3 2 2 2 3 4" xfId="30327"/>
    <cellStyle name="Normal 4 2 3 2 2 2 3 4 2" xfId="30328"/>
    <cellStyle name="Normal 4 2 3 2 2 2 3 4 2 2" xfId="30329"/>
    <cellStyle name="Normal 4 2 3 2 2 2 3 4 3" xfId="30330"/>
    <cellStyle name="Normal 4 2 3 2 2 2 3 5" xfId="30331"/>
    <cellStyle name="Normal 4 2 3 2 2 2 3 5 2" xfId="30332"/>
    <cellStyle name="Normal 4 2 3 2 2 2 3 6" xfId="30333"/>
    <cellStyle name="Normal 4 2 3 2 2 2 4" xfId="1642"/>
    <cellStyle name="Normal 4 2 3 2 2 2 4 2" xfId="4362"/>
    <cellStyle name="Normal 4 2 3 2 2 2 4 2 2" xfId="30334"/>
    <cellStyle name="Normal 4 2 3 2 2 2 4 2 2 2" xfId="30335"/>
    <cellStyle name="Normal 4 2 3 2 2 2 4 2 2 2 2" xfId="30336"/>
    <cellStyle name="Normal 4 2 3 2 2 2 4 2 2 3" xfId="30337"/>
    <cellStyle name="Normal 4 2 3 2 2 2 4 2 3" xfId="30338"/>
    <cellStyle name="Normal 4 2 3 2 2 2 4 2 3 2" xfId="30339"/>
    <cellStyle name="Normal 4 2 3 2 2 2 4 2 4" xfId="30340"/>
    <cellStyle name="Normal 4 2 3 2 2 2 4 3" xfId="30341"/>
    <cellStyle name="Normal 4 2 3 2 2 2 4 3 2" xfId="30342"/>
    <cellStyle name="Normal 4 2 3 2 2 2 4 3 2 2" xfId="30343"/>
    <cellStyle name="Normal 4 2 3 2 2 2 4 3 3" xfId="30344"/>
    <cellStyle name="Normal 4 2 3 2 2 2 4 4" xfId="30345"/>
    <cellStyle name="Normal 4 2 3 2 2 2 4 4 2" xfId="30346"/>
    <cellStyle name="Normal 4 2 3 2 2 2 4 5" xfId="30347"/>
    <cellStyle name="Normal 4 2 3 2 2 2 5" xfId="3002"/>
    <cellStyle name="Normal 4 2 3 2 2 2 5 2" xfId="30348"/>
    <cellStyle name="Normal 4 2 3 2 2 2 5 2 2" xfId="30349"/>
    <cellStyle name="Normal 4 2 3 2 2 2 5 2 2 2" xfId="30350"/>
    <cellStyle name="Normal 4 2 3 2 2 2 5 2 3" xfId="30351"/>
    <cellStyle name="Normal 4 2 3 2 2 2 5 3" xfId="30352"/>
    <cellStyle name="Normal 4 2 3 2 2 2 5 3 2" xfId="30353"/>
    <cellStyle name="Normal 4 2 3 2 2 2 5 4" xfId="30354"/>
    <cellStyle name="Normal 4 2 3 2 2 2 6" xfId="30355"/>
    <cellStyle name="Normal 4 2 3 2 2 2 6 2" xfId="30356"/>
    <cellStyle name="Normal 4 2 3 2 2 2 6 2 2" xfId="30357"/>
    <cellStyle name="Normal 4 2 3 2 2 2 6 3" xfId="30358"/>
    <cellStyle name="Normal 4 2 3 2 2 2 7" xfId="30359"/>
    <cellStyle name="Normal 4 2 3 2 2 2 7 2" xfId="30360"/>
    <cellStyle name="Normal 4 2 3 2 2 2 8" xfId="30361"/>
    <cellStyle name="Normal 4 2 3 2 2 3" xfId="418"/>
    <cellStyle name="Normal 4 2 3 2 2 3 2" xfId="1098"/>
    <cellStyle name="Normal 4 2 3 2 2 3 2 2" xfId="2458"/>
    <cellStyle name="Normal 4 2 3 2 2 3 2 2 2" xfId="5178"/>
    <cellStyle name="Normal 4 2 3 2 2 3 2 2 2 2" xfId="30362"/>
    <cellStyle name="Normal 4 2 3 2 2 3 2 2 2 2 2" xfId="30363"/>
    <cellStyle name="Normal 4 2 3 2 2 3 2 2 2 2 2 2" xfId="30364"/>
    <cellStyle name="Normal 4 2 3 2 2 3 2 2 2 2 3" xfId="30365"/>
    <cellStyle name="Normal 4 2 3 2 2 3 2 2 2 3" xfId="30366"/>
    <cellStyle name="Normal 4 2 3 2 2 3 2 2 2 3 2" xfId="30367"/>
    <cellStyle name="Normal 4 2 3 2 2 3 2 2 2 4" xfId="30368"/>
    <cellStyle name="Normal 4 2 3 2 2 3 2 2 3" xfId="30369"/>
    <cellStyle name="Normal 4 2 3 2 2 3 2 2 3 2" xfId="30370"/>
    <cellStyle name="Normal 4 2 3 2 2 3 2 2 3 2 2" xfId="30371"/>
    <cellStyle name="Normal 4 2 3 2 2 3 2 2 3 3" xfId="30372"/>
    <cellStyle name="Normal 4 2 3 2 2 3 2 2 4" xfId="30373"/>
    <cellStyle name="Normal 4 2 3 2 2 3 2 2 4 2" xfId="30374"/>
    <cellStyle name="Normal 4 2 3 2 2 3 2 2 5" xfId="30375"/>
    <cellStyle name="Normal 4 2 3 2 2 3 2 3" xfId="3818"/>
    <cellStyle name="Normal 4 2 3 2 2 3 2 3 2" xfId="30376"/>
    <cellStyle name="Normal 4 2 3 2 2 3 2 3 2 2" xfId="30377"/>
    <cellStyle name="Normal 4 2 3 2 2 3 2 3 2 2 2" xfId="30378"/>
    <cellStyle name="Normal 4 2 3 2 2 3 2 3 2 3" xfId="30379"/>
    <cellStyle name="Normal 4 2 3 2 2 3 2 3 3" xfId="30380"/>
    <cellStyle name="Normal 4 2 3 2 2 3 2 3 3 2" xfId="30381"/>
    <cellStyle name="Normal 4 2 3 2 2 3 2 3 4" xfId="30382"/>
    <cellStyle name="Normal 4 2 3 2 2 3 2 4" xfId="30383"/>
    <cellStyle name="Normal 4 2 3 2 2 3 2 4 2" xfId="30384"/>
    <cellStyle name="Normal 4 2 3 2 2 3 2 4 2 2" xfId="30385"/>
    <cellStyle name="Normal 4 2 3 2 2 3 2 4 3" xfId="30386"/>
    <cellStyle name="Normal 4 2 3 2 2 3 2 5" xfId="30387"/>
    <cellStyle name="Normal 4 2 3 2 2 3 2 5 2" xfId="30388"/>
    <cellStyle name="Normal 4 2 3 2 2 3 2 6" xfId="30389"/>
    <cellStyle name="Normal 4 2 3 2 2 3 3" xfId="1778"/>
    <cellStyle name="Normal 4 2 3 2 2 3 3 2" xfId="4498"/>
    <cellStyle name="Normal 4 2 3 2 2 3 3 2 2" xfId="30390"/>
    <cellStyle name="Normal 4 2 3 2 2 3 3 2 2 2" xfId="30391"/>
    <cellStyle name="Normal 4 2 3 2 2 3 3 2 2 2 2" xfId="30392"/>
    <cellStyle name="Normal 4 2 3 2 2 3 3 2 2 3" xfId="30393"/>
    <cellStyle name="Normal 4 2 3 2 2 3 3 2 3" xfId="30394"/>
    <cellStyle name="Normal 4 2 3 2 2 3 3 2 3 2" xfId="30395"/>
    <cellStyle name="Normal 4 2 3 2 2 3 3 2 4" xfId="30396"/>
    <cellStyle name="Normal 4 2 3 2 2 3 3 3" xfId="30397"/>
    <cellStyle name="Normal 4 2 3 2 2 3 3 3 2" xfId="30398"/>
    <cellStyle name="Normal 4 2 3 2 2 3 3 3 2 2" xfId="30399"/>
    <cellStyle name="Normal 4 2 3 2 2 3 3 3 3" xfId="30400"/>
    <cellStyle name="Normal 4 2 3 2 2 3 3 4" xfId="30401"/>
    <cellStyle name="Normal 4 2 3 2 2 3 3 4 2" xfId="30402"/>
    <cellStyle name="Normal 4 2 3 2 2 3 3 5" xfId="30403"/>
    <cellStyle name="Normal 4 2 3 2 2 3 4" xfId="3138"/>
    <cellStyle name="Normal 4 2 3 2 2 3 4 2" xfId="30404"/>
    <cellStyle name="Normal 4 2 3 2 2 3 4 2 2" xfId="30405"/>
    <cellStyle name="Normal 4 2 3 2 2 3 4 2 2 2" xfId="30406"/>
    <cellStyle name="Normal 4 2 3 2 2 3 4 2 3" xfId="30407"/>
    <cellStyle name="Normal 4 2 3 2 2 3 4 3" xfId="30408"/>
    <cellStyle name="Normal 4 2 3 2 2 3 4 3 2" xfId="30409"/>
    <cellStyle name="Normal 4 2 3 2 2 3 4 4" xfId="30410"/>
    <cellStyle name="Normal 4 2 3 2 2 3 5" xfId="30411"/>
    <cellStyle name="Normal 4 2 3 2 2 3 5 2" xfId="30412"/>
    <cellStyle name="Normal 4 2 3 2 2 3 5 2 2" xfId="30413"/>
    <cellStyle name="Normal 4 2 3 2 2 3 5 3" xfId="30414"/>
    <cellStyle name="Normal 4 2 3 2 2 3 6" xfId="30415"/>
    <cellStyle name="Normal 4 2 3 2 2 3 6 2" xfId="30416"/>
    <cellStyle name="Normal 4 2 3 2 2 3 7" xfId="30417"/>
    <cellStyle name="Normal 4 2 3 2 2 4" xfId="690"/>
    <cellStyle name="Normal 4 2 3 2 2 4 2" xfId="1370"/>
    <cellStyle name="Normal 4 2 3 2 2 4 2 2" xfId="2730"/>
    <cellStyle name="Normal 4 2 3 2 2 4 2 2 2" xfId="5450"/>
    <cellStyle name="Normal 4 2 3 2 2 4 2 2 2 2" xfId="30418"/>
    <cellStyle name="Normal 4 2 3 2 2 4 2 2 2 2 2" xfId="30419"/>
    <cellStyle name="Normal 4 2 3 2 2 4 2 2 2 2 2 2" xfId="30420"/>
    <cellStyle name="Normal 4 2 3 2 2 4 2 2 2 2 3" xfId="30421"/>
    <cellStyle name="Normal 4 2 3 2 2 4 2 2 2 3" xfId="30422"/>
    <cellStyle name="Normal 4 2 3 2 2 4 2 2 2 3 2" xfId="30423"/>
    <cellStyle name="Normal 4 2 3 2 2 4 2 2 2 4" xfId="30424"/>
    <cellStyle name="Normal 4 2 3 2 2 4 2 2 3" xfId="30425"/>
    <cellStyle name="Normal 4 2 3 2 2 4 2 2 3 2" xfId="30426"/>
    <cellStyle name="Normal 4 2 3 2 2 4 2 2 3 2 2" xfId="30427"/>
    <cellStyle name="Normal 4 2 3 2 2 4 2 2 3 3" xfId="30428"/>
    <cellStyle name="Normal 4 2 3 2 2 4 2 2 4" xfId="30429"/>
    <cellStyle name="Normal 4 2 3 2 2 4 2 2 4 2" xfId="30430"/>
    <cellStyle name="Normal 4 2 3 2 2 4 2 2 5" xfId="30431"/>
    <cellStyle name="Normal 4 2 3 2 2 4 2 3" xfId="4090"/>
    <cellStyle name="Normal 4 2 3 2 2 4 2 3 2" xfId="30432"/>
    <cellStyle name="Normal 4 2 3 2 2 4 2 3 2 2" xfId="30433"/>
    <cellStyle name="Normal 4 2 3 2 2 4 2 3 2 2 2" xfId="30434"/>
    <cellStyle name="Normal 4 2 3 2 2 4 2 3 2 3" xfId="30435"/>
    <cellStyle name="Normal 4 2 3 2 2 4 2 3 3" xfId="30436"/>
    <cellStyle name="Normal 4 2 3 2 2 4 2 3 3 2" xfId="30437"/>
    <cellStyle name="Normal 4 2 3 2 2 4 2 3 4" xfId="30438"/>
    <cellStyle name="Normal 4 2 3 2 2 4 2 4" xfId="30439"/>
    <cellStyle name="Normal 4 2 3 2 2 4 2 4 2" xfId="30440"/>
    <cellStyle name="Normal 4 2 3 2 2 4 2 4 2 2" xfId="30441"/>
    <cellStyle name="Normal 4 2 3 2 2 4 2 4 3" xfId="30442"/>
    <cellStyle name="Normal 4 2 3 2 2 4 2 5" xfId="30443"/>
    <cellStyle name="Normal 4 2 3 2 2 4 2 5 2" xfId="30444"/>
    <cellStyle name="Normal 4 2 3 2 2 4 2 6" xfId="30445"/>
    <cellStyle name="Normal 4 2 3 2 2 4 3" xfId="2050"/>
    <cellStyle name="Normal 4 2 3 2 2 4 3 2" xfId="4770"/>
    <cellStyle name="Normal 4 2 3 2 2 4 3 2 2" xfId="30446"/>
    <cellStyle name="Normal 4 2 3 2 2 4 3 2 2 2" xfId="30447"/>
    <cellStyle name="Normal 4 2 3 2 2 4 3 2 2 2 2" xfId="30448"/>
    <cellStyle name="Normal 4 2 3 2 2 4 3 2 2 3" xfId="30449"/>
    <cellStyle name="Normal 4 2 3 2 2 4 3 2 3" xfId="30450"/>
    <cellStyle name="Normal 4 2 3 2 2 4 3 2 3 2" xfId="30451"/>
    <cellStyle name="Normal 4 2 3 2 2 4 3 2 4" xfId="30452"/>
    <cellStyle name="Normal 4 2 3 2 2 4 3 3" xfId="30453"/>
    <cellStyle name="Normal 4 2 3 2 2 4 3 3 2" xfId="30454"/>
    <cellStyle name="Normal 4 2 3 2 2 4 3 3 2 2" xfId="30455"/>
    <cellStyle name="Normal 4 2 3 2 2 4 3 3 3" xfId="30456"/>
    <cellStyle name="Normal 4 2 3 2 2 4 3 4" xfId="30457"/>
    <cellStyle name="Normal 4 2 3 2 2 4 3 4 2" xfId="30458"/>
    <cellStyle name="Normal 4 2 3 2 2 4 3 5" xfId="30459"/>
    <cellStyle name="Normal 4 2 3 2 2 4 4" xfId="3410"/>
    <cellStyle name="Normal 4 2 3 2 2 4 4 2" xfId="30460"/>
    <cellStyle name="Normal 4 2 3 2 2 4 4 2 2" xfId="30461"/>
    <cellStyle name="Normal 4 2 3 2 2 4 4 2 2 2" xfId="30462"/>
    <cellStyle name="Normal 4 2 3 2 2 4 4 2 3" xfId="30463"/>
    <cellStyle name="Normal 4 2 3 2 2 4 4 3" xfId="30464"/>
    <cellStyle name="Normal 4 2 3 2 2 4 4 3 2" xfId="30465"/>
    <cellStyle name="Normal 4 2 3 2 2 4 4 4" xfId="30466"/>
    <cellStyle name="Normal 4 2 3 2 2 4 5" xfId="30467"/>
    <cellStyle name="Normal 4 2 3 2 2 4 5 2" xfId="30468"/>
    <cellStyle name="Normal 4 2 3 2 2 4 5 2 2" xfId="30469"/>
    <cellStyle name="Normal 4 2 3 2 2 4 5 3" xfId="30470"/>
    <cellStyle name="Normal 4 2 3 2 2 4 6" xfId="30471"/>
    <cellStyle name="Normal 4 2 3 2 2 4 6 2" xfId="30472"/>
    <cellStyle name="Normal 4 2 3 2 2 4 7" xfId="30473"/>
    <cellStyle name="Normal 4 2 3 2 2 5" xfId="826"/>
    <cellStyle name="Normal 4 2 3 2 2 5 2" xfId="2186"/>
    <cellStyle name="Normal 4 2 3 2 2 5 2 2" xfId="4906"/>
    <cellStyle name="Normal 4 2 3 2 2 5 2 2 2" xfId="30474"/>
    <cellStyle name="Normal 4 2 3 2 2 5 2 2 2 2" xfId="30475"/>
    <cellStyle name="Normal 4 2 3 2 2 5 2 2 2 2 2" xfId="30476"/>
    <cellStyle name="Normal 4 2 3 2 2 5 2 2 2 3" xfId="30477"/>
    <cellStyle name="Normal 4 2 3 2 2 5 2 2 3" xfId="30478"/>
    <cellStyle name="Normal 4 2 3 2 2 5 2 2 3 2" xfId="30479"/>
    <cellStyle name="Normal 4 2 3 2 2 5 2 2 4" xfId="30480"/>
    <cellStyle name="Normal 4 2 3 2 2 5 2 3" xfId="30481"/>
    <cellStyle name="Normal 4 2 3 2 2 5 2 3 2" xfId="30482"/>
    <cellStyle name="Normal 4 2 3 2 2 5 2 3 2 2" xfId="30483"/>
    <cellStyle name="Normal 4 2 3 2 2 5 2 3 3" xfId="30484"/>
    <cellStyle name="Normal 4 2 3 2 2 5 2 4" xfId="30485"/>
    <cellStyle name="Normal 4 2 3 2 2 5 2 4 2" xfId="30486"/>
    <cellStyle name="Normal 4 2 3 2 2 5 2 5" xfId="30487"/>
    <cellStyle name="Normal 4 2 3 2 2 5 3" xfId="3546"/>
    <cellStyle name="Normal 4 2 3 2 2 5 3 2" xfId="30488"/>
    <cellStyle name="Normal 4 2 3 2 2 5 3 2 2" xfId="30489"/>
    <cellStyle name="Normal 4 2 3 2 2 5 3 2 2 2" xfId="30490"/>
    <cellStyle name="Normal 4 2 3 2 2 5 3 2 3" xfId="30491"/>
    <cellStyle name="Normal 4 2 3 2 2 5 3 3" xfId="30492"/>
    <cellStyle name="Normal 4 2 3 2 2 5 3 3 2" xfId="30493"/>
    <cellStyle name="Normal 4 2 3 2 2 5 3 4" xfId="30494"/>
    <cellStyle name="Normal 4 2 3 2 2 5 4" xfId="30495"/>
    <cellStyle name="Normal 4 2 3 2 2 5 4 2" xfId="30496"/>
    <cellStyle name="Normal 4 2 3 2 2 5 4 2 2" xfId="30497"/>
    <cellStyle name="Normal 4 2 3 2 2 5 4 3" xfId="30498"/>
    <cellStyle name="Normal 4 2 3 2 2 5 5" xfId="30499"/>
    <cellStyle name="Normal 4 2 3 2 2 5 5 2" xfId="30500"/>
    <cellStyle name="Normal 4 2 3 2 2 5 6" xfId="30501"/>
    <cellStyle name="Normal 4 2 3 2 2 6" xfId="1506"/>
    <cellStyle name="Normal 4 2 3 2 2 6 2" xfId="4226"/>
    <cellStyle name="Normal 4 2 3 2 2 6 2 2" xfId="30502"/>
    <cellStyle name="Normal 4 2 3 2 2 6 2 2 2" xfId="30503"/>
    <cellStyle name="Normal 4 2 3 2 2 6 2 2 2 2" xfId="30504"/>
    <cellStyle name="Normal 4 2 3 2 2 6 2 2 3" xfId="30505"/>
    <cellStyle name="Normal 4 2 3 2 2 6 2 3" xfId="30506"/>
    <cellStyle name="Normal 4 2 3 2 2 6 2 3 2" xfId="30507"/>
    <cellStyle name="Normal 4 2 3 2 2 6 2 4" xfId="30508"/>
    <cellStyle name="Normal 4 2 3 2 2 6 3" xfId="30509"/>
    <cellStyle name="Normal 4 2 3 2 2 6 3 2" xfId="30510"/>
    <cellStyle name="Normal 4 2 3 2 2 6 3 2 2" xfId="30511"/>
    <cellStyle name="Normal 4 2 3 2 2 6 3 3" xfId="30512"/>
    <cellStyle name="Normal 4 2 3 2 2 6 4" xfId="30513"/>
    <cellStyle name="Normal 4 2 3 2 2 6 4 2" xfId="30514"/>
    <cellStyle name="Normal 4 2 3 2 2 6 5" xfId="30515"/>
    <cellStyle name="Normal 4 2 3 2 2 7" xfId="2866"/>
    <cellStyle name="Normal 4 2 3 2 2 7 2" xfId="30516"/>
    <cellStyle name="Normal 4 2 3 2 2 7 2 2" xfId="30517"/>
    <cellStyle name="Normal 4 2 3 2 2 7 2 2 2" xfId="30518"/>
    <cellStyle name="Normal 4 2 3 2 2 7 2 3" xfId="30519"/>
    <cellStyle name="Normal 4 2 3 2 2 7 3" xfId="30520"/>
    <cellStyle name="Normal 4 2 3 2 2 7 3 2" xfId="30521"/>
    <cellStyle name="Normal 4 2 3 2 2 7 4" xfId="30522"/>
    <cellStyle name="Normal 4 2 3 2 2 8" xfId="30523"/>
    <cellStyle name="Normal 4 2 3 2 2 8 2" xfId="30524"/>
    <cellStyle name="Normal 4 2 3 2 2 8 2 2" xfId="30525"/>
    <cellStyle name="Normal 4 2 3 2 2 8 3" xfId="30526"/>
    <cellStyle name="Normal 4 2 3 2 2 9" xfId="30527"/>
    <cellStyle name="Normal 4 2 3 2 2 9 2" xfId="30528"/>
    <cellStyle name="Normal 4 2 3 2 3" xfId="214"/>
    <cellStyle name="Normal 4 2 3 2 3 2" xfId="486"/>
    <cellStyle name="Normal 4 2 3 2 3 2 2" xfId="1166"/>
    <cellStyle name="Normal 4 2 3 2 3 2 2 2" xfId="2526"/>
    <cellStyle name="Normal 4 2 3 2 3 2 2 2 2" xfId="5246"/>
    <cellStyle name="Normal 4 2 3 2 3 2 2 2 2 2" xfId="30529"/>
    <cellStyle name="Normal 4 2 3 2 3 2 2 2 2 2 2" xfId="30530"/>
    <cellStyle name="Normal 4 2 3 2 3 2 2 2 2 2 2 2" xfId="30531"/>
    <cellStyle name="Normal 4 2 3 2 3 2 2 2 2 2 3" xfId="30532"/>
    <cellStyle name="Normal 4 2 3 2 3 2 2 2 2 3" xfId="30533"/>
    <cellStyle name="Normal 4 2 3 2 3 2 2 2 2 3 2" xfId="30534"/>
    <cellStyle name="Normal 4 2 3 2 3 2 2 2 2 4" xfId="30535"/>
    <cellStyle name="Normal 4 2 3 2 3 2 2 2 3" xfId="30536"/>
    <cellStyle name="Normal 4 2 3 2 3 2 2 2 3 2" xfId="30537"/>
    <cellStyle name="Normal 4 2 3 2 3 2 2 2 3 2 2" xfId="30538"/>
    <cellStyle name="Normal 4 2 3 2 3 2 2 2 3 3" xfId="30539"/>
    <cellStyle name="Normal 4 2 3 2 3 2 2 2 4" xfId="30540"/>
    <cellStyle name="Normal 4 2 3 2 3 2 2 2 4 2" xfId="30541"/>
    <cellStyle name="Normal 4 2 3 2 3 2 2 2 5" xfId="30542"/>
    <cellStyle name="Normal 4 2 3 2 3 2 2 3" xfId="3886"/>
    <cellStyle name="Normal 4 2 3 2 3 2 2 3 2" xfId="30543"/>
    <cellStyle name="Normal 4 2 3 2 3 2 2 3 2 2" xfId="30544"/>
    <cellStyle name="Normal 4 2 3 2 3 2 2 3 2 2 2" xfId="30545"/>
    <cellStyle name="Normal 4 2 3 2 3 2 2 3 2 3" xfId="30546"/>
    <cellStyle name="Normal 4 2 3 2 3 2 2 3 3" xfId="30547"/>
    <cellStyle name="Normal 4 2 3 2 3 2 2 3 3 2" xfId="30548"/>
    <cellStyle name="Normal 4 2 3 2 3 2 2 3 4" xfId="30549"/>
    <cellStyle name="Normal 4 2 3 2 3 2 2 4" xfId="30550"/>
    <cellStyle name="Normal 4 2 3 2 3 2 2 4 2" xfId="30551"/>
    <cellStyle name="Normal 4 2 3 2 3 2 2 4 2 2" xfId="30552"/>
    <cellStyle name="Normal 4 2 3 2 3 2 2 4 3" xfId="30553"/>
    <cellStyle name="Normal 4 2 3 2 3 2 2 5" xfId="30554"/>
    <cellStyle name="Normal 4 2 3 2 3 2 2 5 2" xfId="30555"/>
    <cellStyle name="Normal 4 2 3 2 3 2 2 6" xfId="30556"/>
    <cellStyle name="Normal 4 2 3 2 3 2 3" xfId="1846"/>
    <cellStyle name="Normal 4 2 3 2 3 2 3 2" xfId="4566"/>
    <cellStyle name="Normal 4 2 3 2 3 2 3 2 2" xfId="30557"/>
    <cellStyle name="Normal 4 2 3 2 3 2 3 2 2 2" xfId="30558"/>
    <cellStyle name="Normal 4 2 3 2 3 2 3 2 2 2 2" xfId="30559"/>
    <cellStyle name="Normal 4 2 3 2 3 2 3 2 2 3" xfId="30560"/>
    <cellStyle name="Normal 4 2 3 2 3 2 3 2 3" xfId="30561"/>
    <cellStyle name="Normal 4 2 3 2 3 2 3 2 3 2" xfId="30562"/>
    <cellStyle name="Normal 4 2 3 2 3 2 3 2 4" xfId="30563"/>
    <cellStyle name="Normal 4 2 3 2 3 2 3 3" xfId="30564"/>
    <cellStyle name="Normal 4 2 3 2 3 2 3 3 2" xfId="30565"/>
    <cellStyle name="Normal 4 2 3 2 3 2 3 3 2 2" xfId="30566"/>
    <cellStyle name="Normal 4 2 3 2 3 2 3 3 3" xfId="30567"/>
    <cellStyle name="Normal 4 2 3 2 3 2 3 4" xfId="30568"/>
    <cellStyle name="Normal 4 2 3 2 3 2 3 4 2" xfId="30569"/>
    <cellStyle name="Normal 4 2 3 2 3 2 3 5" xfId="30570"/>
    <cellStyle name="Normal 4 2 3 2 3 2 4" xfId="3206"/>
    <cellStyle name="Normal 4 2 3 2 3 2 4 2" xfId="30571"/>
    <cellStyle name="Normal 4 2 3 2 3 2 4 2 2" xfId="30572"/>
    <cellStyle name="Normal 4 2 3 2 3 2 4 2 2 2" xfId="30573"/>
    <cellStyle name="Normal 4 2 3 2 3 2 4 2 3" xfId="30574"/>
    <cellStyle name="Normal 4 2 3 2 3 2 4 3" xfId="30575"/>
    <cellStyle name="Normal 4 2 3 2 3 2 4 3 2" xfId="30576"/>
    <cellStyle name="Normal 4 2 3 2 3 2 4 4" xfId="30577"/>
    <cellStyle name="Normal 4 2 3 2 3 2 5" xfId="30578"/>
    <cellStyle name="Normal 4 2 3 2 3 2 5 2" xfId="30579"/>
    <cellStyle name="Normal 4 2 3 2 3 2 5 2 2" xfId="30580"/>
    <cellStyle name="Normal 4 2 3 2 3 2 5 3" xfId="30581"/>
    <cellStyle name="Normal 4 2 3 2 3 2 6" xfId="30582"/>
    <cellStyle name="Normal 4 2 3 2 3 2 6 2" xfId="30583"/>
    <cellStyle name="Normal 4 2 3 2 3 2 7" xfId="30584"/>
    <cellStyle name="Normal 4 2 3 2 3 3" xfId="894"/>
    <cellStyle name="Normal 4 2 3 2 3 3 2" xfId="2254"/>
    <cellStyle name="Normal 4 2 3 2 3 3 2 2" xfId="4974"/>
    <cellStyle name="Normal 4 2 3 2 3 3 2 2 2" xfId="30585"/>
    <cellStyle name="Normal 4 2 3 2 3 3 2 2 2 2" xfId="30586"/>
    <cellStyle name="Normal 4 2 3 2 3 3 2 2 2 2 2" xfId="30587"/>
    <cellStyle name="Normal 4 2 3 2 3 3 2 2 2 3" xfId="30588"/>
    <cellStyle name="Normal 4 2 3 2 3 3 2 2 3" xfId="30589"/>
    <cellStyle name="Normal 4 2 3 2 3 3 2 2 3 2" xfId="30590"/>
    <cellStyle name="Normal 4 2 3 2 3 3 2 2 4" xfId="30591"/>
    <cellStyle name="Normal 4 2 3 2 3 3 2 3" xfId="30592"/>
    <cellStyle name="Normal 4 2 3 2 3 3 2 3 2" xfId="30593"/>
    <cellStyle name="Normal 4 2 3 2 3 3 2 3 2 2" xfId="30594"/>
    <cellStyle name="Normal 4 2 3 2 3 3 2 3 3" xfId="30595"/>
    <cellStyle name="Normal 4 2 3 2 3 3 2 4" xfId="30596"/>
    <cellStyle name="Normal 4 2 3 2 3 3 2 4 2" xfId="30597"/>
    <cellStyle name="Normal 4 2 3 2 3 3 2 5" xfId="30598"/>
    <cellStyle name="Normal 4 2 3 2 3 3 3" xfId="3614"/>
    <cellStyle name="Normal 4 2 3 2 3 3 3 2" xfId="30599"/>
    <cellStyle name="Normal 4 2 3 2 3 3 3 2 2" xfId="30600"/>
    <cellStyle name="Normal 4 2 3 2 3 3 3 2 2 2" xfId="30601"/>
    <cellStyle name="Normal 4 2 3 2 3 3 3 2 3" xfId="30602"/>
    <cellStyle name="Normal 4 2 3 2 3 3 3 3" xfId="30603"/>
    <cellStyle name="Normal 4 2 3 2 3 3 3 3 2" xfId="30604"/>
    <cellStyle name="Normal 4 2 3 2 3 3 3 4" xfId="30605"/>
    <cellStyle name="Normal 4 2 3 2 3 3 4" xfId="30606"/>
    <cellStyle name="Normal 4 2 3 2 3 3 4 2" xfId="30607"/>
    <cellStyle name="Normal 4 2 3 2 3 3 4 2 2" xfId="30608"/>
    <cellStyle name="Normal 4 2 3 2 3 3 4 3" xfId="30609"/>
    <cellStyle name="Normal 4 2 3 2 3 3 5" xfId="30610"/>
    <cellStyle name="Normal 4 2 3 2 3 3 5 2" xfId="30611"/>
    <cellStyle name="Normal 4 2 3 2 3 3 6" xfId="30612"/>
    <cellStyle name="Normal 4 2 3 2 3 4" xfId="1574"/>
    <cellStyle name="Normal 4 2 3 2 3 4 2" xfId="4294"/>
    <cellStyle name="Normal 4 2 3 2 3 4 2 2" xfId="30613"/>
    <cellStyle name="Normal 4 2 3 2 3 4 2 2 2" xfId="30614"/>
    <cellStyle name="Normal 4 2 3 2 3 4 2 2 2 2" xfId="30615"/>
    <cellStyle name="Normal 4 2 3 2 3 4 2 2 3" xfId="30616"/>
    <cellStyle name="Normal 4 2 3 2 3 4 2 3" xfId="30617"/>
    <cellStyle name="Normal 4 2 3 2 3 4 2 3 2" xfId="30618"/>
    <cellStyle name="Normal 4 2 3 2 3 4 2 4" xfId="30619"/>
    <cellStyle name="Normal 4 2 3 2 3 4 3" xfId="30620"/>
    <cellStyle name="Normal 4 2 3 2 3 4 3 2" xfId="30621"/>
    <cellStyle name="Normal 4 2 3 2 3 4 3 2 2" xfId="30622"/>
    <cellStyle name="Normal 4 2 3 2 3 4 3 3" xfId="30623"/>
    <cellStyle name="Normal 4 2 3 2 3 4 4" xfId="30624"/>
    <cellStyle name="Normal 4 2 3 2 3 4 4 2" xfId="30625"/>
    <cellStyle name="Normal 4 2 3 2 3 4 5" xfId="30626"/>
    <cellStyle name="Normal 4 2 3 2 3 5" xfId="2934"/>
    <cellStyle name="Normal 4 2 3 2 3 5 2" xfId="30627"/>
    <cellStyle name="Normal 4 2 3 2 3 5 2 2" xfId="30628"/>
    <cellStyle name="Normal 4 2 3 2 3 5 2 2 2" xfId="30629"/>
    <cellStyle name="Normal 4 2 3 2 3 5 2 3" xfId="30630"/>
    <cellStyle name="Normal 4 2 3 2 3 5 3" xfId="30631"/>
    <cellStyle name="Normal 4 2 3 2 3 5 3 2" xfId="30632"/>
    <cellStyle name="Normal 4 2 3 2 3 5 4" xfId="30633"/>
    <cellStyle name="Normal 4 2 3 2 3 6" xfId="30634"/>
    <cellStyle name="Normal 4 2 3 2 3 6 2" xfId="30635"/>
    <cellStyle name="Normal 4 2 3 2 3 6 2 2" xfId="30636"/>
    <cellStyle name="Normal 4 2 3 2 3 6 3" xfId="30637"/>
    <cellStyle name="Normal 4 2 3 2 3 7" xfId="30638"/>
    <cellStyle name="Normal 4 2 3 2 3 7 2" xfId="30639"/>
    <cellStyle name="Normal 4 2 3 2 3 8" xfId="30640"/>
    <cellStyle name="Normal 4 2 3 2 4" xfId="350"/>
    <cellStyle name="Normal 4 2 3 2 4 2" xfId="1030"/>
    <cellStyle name="Normal 4 2 3 2 4 2 2" xfId="2390"/>
    <cellStyle name="Normal 4 2 3 2 4 2 2 2" xfId="5110"/>
    <cellStyle name="Normal 4 2 3 2 4 2 2 2 2" xfId="30641"/>
    <cellStyle name="Normal 4 2 3 2 4 2 2 2 2 2" xfId="30642"/>
    <cellStyle name="Normal 4 2 3 2 4 2 2 2 2 2 2" xfId="30643"/>
    <cellStyle name="Normal 4 2 3 2 4 2 2 2 2 3" xfId="30644"/>
    <cellStyle name="Normal 4 2 3 2 4 2 2 2 3" xfId="30645"/>
    <cellStyle name="Normal 4 2 3 2 4 2 2 2 3 2" xfId="30646"/>
    <cellStyle name="Normal 4 2 3 2 4 2 2 2 4" xfId="30647"/>
    <cellStyle name="Normal 4 2 3 2 4 2 2 3" xfId="30648"/>
    <cellStyle name="Normal 4 2 3 2 4 2 2 3 2" xfId="30649"/>
    <cellStyle name="Normal 4 2 3 2 4 2 2 3 2 2" xfId="30650"/>
    <cellStyle name="Normal 4 2 3 2 4 2 2 3 3" xfId="30651"/>
    <cellStyle name="Normal 4 2 3 2 4 2 2 4" xfId="30652"/>
    <cellStyle name="Normal 4 2 3 2 4 2 2 4 2" xfId="30653"/>
    <cellStyle name="Normal 4 2 3 2 4 2 2 5" xfId="30654"/>
    <cellStyle name="Normal 4 2 3 2 4 2 3" xfId="3750"/>
    <cellStyle name="Normal 4 2 3 2 4 2 3 2" xfId="30655"/>
    <cellStyle name="Normal 4 2 3 2 4 2 3 2 2" xfId="30656"/>
    <cellStyle name="Normal 4 2 3 2 4 2 3 2 2 2" xfId="30657"/>
    <cellStyle name="Normal 4 2 3 2 4 2 3 2 3" xfId="30658"/>
    <cellStyle name="Normal 4 2 3 2 4 2 3 3" xfId="30659"/>
    <cellStyle name="Normal 4 2 3 2 4 2 3 3 2" xfId="30660"/>
    <cellStyle name="Normal 4 2 3 2 4 2 3 4" xfId="30661"/>
    <cellStyle name="Normal 4 2 3 2 4 2 4" xfId="30662"/>
    <cellStyle name="Normal 4 2 3 2 4 2 4 2" xfId="30663"/>
    <cellStyle name="Normal 4 2 3 2 4 2 4 2 2" xfId="30664"/>
    <cellStyle name="Normal 4 2 3 2 4 2 4 3" xfId="30665"/>
    <cellStyle name="Normal 4 2 3 2 4 2 5" xfId="30666"/>
    <cellStyle name="Normal 4 2 3 2 4 2 5 2" xfId="30667"/>
    <cellStyle name="Normal 4 2 3 2 4 2 6" xfId="30668"/>
    <cellStyle name="Normal 4 2 3 2 4 3" xfId="1710"/>
    <cellStyle name="Normal 4 2 3 2 4 3 2" xfId="4430"/>
    <cellStyle name="Normal 4 2 3 2 4 3 2 2" xfId="30669"/>
    <cellStyle name="Normal 4 2 3 2 4 3 2 2 2" xfId="30670"/>
    <cellStyle name="Normal 4 2 3 2 4 3 2 2 2 2" xfId="30671"/>
    <cellStyle name="Normal 4 2 3 2 4 3 2 2 3" xfId="30672"/>
    <cellStyle name="Normal 4 2 3 2 4 3 2 3" xfId="30673"/>
    <cellStyle name="Normal 4 2 3 2 4 3 2 3 2" xfId="30674"/>
    <cellStyle name="Normal 4 2 3 2 4 3 2 4" xfId="30675"/>
    <cellStyle name="Normal 4 2 3 2 4 3 3" xfId="30676"/>
    <cellStyle name="Normal 4 2 3 2 4 3 3 2" xfId="30677"/>
    <cellStyle name="Normal 4 2 3 2 4 3 3 2 2" xfId="30678"/>
    <cellStyle name="Normal 4 2 3 2 4 3 3 3" xfId="30679"/>
    <cellStyle name="Normal 4 2 3 2 4 3 4" xfId="30680"/>
    <cellStyle name="Normal 4 2 3 2 4 3 4 2" xfId="30681"/>
    <cellStyle name="Normal 4 2 3 2 4 3 5" xfId="30682"/>
    <cellStyle name="Normal 4 2 3 2 4 4" xfId="3070"/>
    <cellStyle name="Normal 4 2 3 2 4 4 2" xfId="30683"/>
    <cellStyle name="Normal 4 2 3 2 4 4 2 2" xfId="30684"/>
    <cellStyle name="Normal 4 2 3 2 4 4 2 2 2" xfId="30685"/>
    <cellStyle name="Normal 4 2 3 2 4 4 2 3" xfId="30686"/>
    <cellStyle name="Normal 4 2 3 2 4 4 3" xfId="30687"/>
    <cellStyle name="Normal 4 2 3 2 4 4 3 2" xfId="30688"/>
    <cellStyle name="Normal 4 2 3 2 4 4 4" xfId="30689"/>
    <cellStyle name="Normal 4 2 3 2 4 5" xfId="30690"/>
    <cellStyle name="Normal 4 2 3 2 4 5 2" xfId="30691"/>
    <cellStyle name="Normal 4 2 3 2 4 5 2 2" xfId="30692"/>
    <cellStyle name="Normal 4 2 3 2 4 5 3" xfId="30693"/>
    <cellStyle name="Normal 4 2 3 2 4 6" xfId="30694"/>
    <cellStyle name="Normal 4 2 3 2 4 6 2" xfId="30695"/>
    <cellStyle name="Normal 4 2 3 2 4 7" xfId="30696"/>
    <cellStyle name="Normal 4 2 3 2 5" xfId="622"/>
    <cellStyle name="Normal 4 2 3 2 5 2" xfId="1302"/>
    <cellStyle name="Normal 4 2 3 2 5 2 2" xfId="2662"/>
    <cellStyle name="Normal 4 2 3 2 5 2 2 2" xfId="5382"/>
    <cellStyle name="Normal 4 2 3 2 5 2 2 2 2" xfId="30697"/>
    <cellStyle name="Normal 4 2 3 2 5 2 2 2 2 2" xfId="30698"/>
    <cellStyle name="Normal 4 2 3 2 5 2 2 2 2 2 2" xfId="30699"/>
    <cellStyle name="Normal 4 2 3 2 5 2 2 2 2 3" xfId="30700"/>
    <cellStyle name="Normal 4 2 3 2 5 2 2 2 3" xfId="30701"/>
    <cellStyle name="Normal 4 2 3 2 5 2 2 2 3 2" xfId="30702"/>
    <cellStyle name="Normal 4 2 3 2 5 2 2 2 4" xfId="30703"/>
    <cellStyle name="Normal 4 2 3 2 5 2 2 3" xfId="30704"/>
    <cellStyle name="Normal 4 2 3 2 5 2 2 3 2" xfId="30705"/>
    <cellStyle name="Normal 4 2 3 2 5 2 2 3 2 2" xfId="30706"/>
    <cellStyle name="Normal 4 2 3 2 5 2 2 3 3" xfId="30707"/>
    <cellStyle name="Normal 4 2 3 2 5 2 2 4" xfId="30708"/>
    <cellStyle name="Normal 4 2 3 2 5 2 2 4 2" xfId="30709"/>
    <cellStyle name="Normal 4 2 3 2 5 2 2 5" xfId="30710"/>
    <cellStyle name="Normal 4 2 3 2 5 2 3" xfId="4022"/>
    <cellStyle name="Normal 4 2 3 2 5 2 3 2" xfId="30711"/>
    <cellStyle name="Normal 4 2 3 2 5 2 3 2 2" xfId="30712"/>
    <cellStyle name="Normal 4 2 3 2 5 2 3 2 2 2" xfId="30713"/>
    <cellStyle name="Normal 4 2 3 2 5 2 3 2 3" xfId="30714"/>
    <cellStyle name="Normal 4 2 3 2 5 2 3 3" xfId="30715"/>
    <cellStyle name="Normal 4 2 3 2 5 2 3 3 2" xfId="30716"/>
    <cellStyle name="Normal 4 2 3 2 5 2 3 4" xfId="30717"/>
    <cellStyle name="Normal 4 2 3 2 5 2 4" xfId="30718"/>
    <cellStyle name="Normal 4 2 3 2 5 2 4 2" xfId="30719"/>
    <cellStyle name="Normal 4 2 3 2 5 2 4 2 2" xfId="30720"/>
    <cellStyle name="Normal 4 2 3 2 5 2 4 3" xfId="30721"/>
    <cellStyle name="Normal 4 2 3 2 5 2 5" xfId="30722"/>
    <cellStyle name="Normal 4 2 3 2 5 2 5 2" xfId="30723"/>
    <cellStyle name="Normal 4 2 3 2 5 2 6" xfId="30724"/>
    <cellStyle name="Normal 4 2 3 2 5 3" xfId="1982"/>
    <cellStyle name="Normal 4 2 3 2 5 3 2" xfId="4702"/>
    <cellStyle name="Normal 4 2 3 2 5 3 2 2" xfId="30725"/>
    <cellStyle name="Normal 4 2 3 2 5 3 2 2 2" xfId="30726"/>
    <cellStyle name="Normal 4 2 3 2 5 3 2 2 2 2" xfId="30727"/>
    <cellStyle name="Normal 4 2 3 2 5 3 2 2 3" xfId="30728"/>
    <cellStyle name="Normal 4 2 3 2 5 3 2 3" xfId="30729"/>
    <cellStyle name="Normal 4 2 3 2 5 3 2 3 2" xfId="30730"/>
    <cellStyle name="Normal 4 2 3 2 5 3 2 4" xfId="30731"/>
    <cellStyle name="Normal 4 2 3 2 5 3 3" xfId="30732"/>
    <cellStyle name="Normal 4 2 3 2 5 3 3 2" xfId="30733"/>
    <cellStyle name="Normal 4 2 3 2 5 3 3 2 2" xfId="30734"/>
    <cellStyle name="Normal 4 2 3 2 5 3 3 3" xfId="30735"/>
    <cellStyle name="Normal 4 2 3 2 5 3 4" xfId="30736"/>
    <cellStyle name="Normal 4 2 3 2 5 3 4 2" xfId="30737"/>
    <cellStyle name="Normal 4 2 3 2 5 3 5" xfId="30738"/>
    <cellStyle name="Normal 4 2 3 2 5 4" xfId="3342"/>
    <cellStyle name="Normal 4 2 3 2 5 4 2" xfId="30739"/>
    <cellStyle name="Normal 4 2 3 2 5 4 2 2" xfId="30740"/>
    <cellStyle name="Normal 4 2 3 2 5 4 2 2 2" xfId="30741"/>
    <cellStyle name="Normal 4 2 3 2 5 4 2 3" xfId="30742"/>
    <cellStyle name="Normal 4 2 3 2 5 4 3" xfId="30743"/>
    <cellStyle name="Normal 4 2 3 2 5 4 3 2" xfId="30744"/>
    <cellStyle name="Normal 4 2 3 2 5 4 4" xfId="30745"/>
    <cellStyle name="Normal 4 2 3 2 5 5" xfId="30746"/>
    <cellStyle name="Normal 4 2 3 2 5 5 2" xfId="30747"/>
    <cellStyle name="Normal 4 2 3 2 5 5 2 2" xfId="30748"/>
    <cellStyle name="Normal 4 2 3 2 5 5 3" xfId="30749"/>
    <cellStyle name="Normal 4 2 3 2 5 6" xfId="30750"/>
    <cellStyle name="Normal 4 2 3 2 5 6 2" xfId="30751"/>
    <cellStyle name="Normal 4 2 3 2 5 7" xfId="30752"/>
    <cellStyle name="Normal 4 2 3 2 6" xfId="758"/>
    <cellStyle name="Normal 4 2 3 2 6 2" xfId="2118"/>
    <cellStyle name="Normal 4 2 3 2 6 2 2" xfId="4838"/>
    <cellStyle name="Normal 4 2 3 2 6 2 2 2" xfId="30753"/>
    <cellStyle name="Normal 4 2 3 2 6 2 2 2 2" xfId="30754"/>
    <cellStyle name="Normal 4 2 3 2 6 2 2 2 2 2" xfId="30755"/>
    <cellStyle name="Normal 4 2 3 2 6 2 2 2 3" xfId="30756"/>
    <cellStyle name="Normal 4 2 3 2 6 2 2 3" xfId="30757"/>
    <cellStyle name="Normal 4 2 3 2 6 2 2 3 2" xfId="30758"/>
    <cellStyle name="Normal 4 2 3 2 6 2 2 4" xfId="30759"/>
    <cellStyle name="Normal 4 2 3 2 6 2 3" xfId="30760"/>
    <cellStyle name="Normal 4 2 3 2 6 2 3 2" xfId="30761"/>
    <cellStyle name="Normal 4 2 3 2 6 2 3 2 2" xfId="30762"/>
    <cellStyle name="Normal 4 2 3 2 6 2 3 3" xfId="30763"/>
    <cellStyle name="Normal 4 2 3 2 6 2 4" xfId="30764"/>
    <cellStyle name="Normal 4 2 3 2 6 2 4 2" xfId="30765"/>
    <cellStyle name="Normal 4 2 3 2 6 2 5" xfId="30766"/>
    <cellStyle name="Normal 4 2 3 2 6 3" xfId="3478"/>
    <cellStyle name="Normal 4 2 3 2 6 3 2" xfId="30767"/>
    <cellStyle name="Normal 4 2 3 2 6 3 2 2" xfId="30768"/>
    <cellStyle name="Normal 4 2 3 2 6 3 2 2 2" xfId="30769"/>
    <cellStyle name="Normal 4 2 3 2 6 3 2 3" xfId="30770"/>
    <cellStyle name="Normal 4 2 3 2 6 3 3" xfId="30771"/>
    <cellStyle name="Normal 4 2 3 2 6 3 3 2" xfId="30772"/>
    <cellStyle name="Normal 4 2 3 2 6 3 4" xfId="30773"/>
    <cellStyle name="Normal 4 2 3 2 6 4" xfId="30774"/>
    <cellStyle name="Normal 4 2 3 2 6 4 2" xfId="30775"/>
    <cellStyle name="Normal 4 2 3 2 6 4 2 2" xfId="30776"/>
    <cellStyle name="Normal 4 2 3 2 6 4 3" xfId="30777"/>
    <cellStyle name="Normal 4 2 3 2 6 5" xfId="30778"/>
    <cellStyle name="Normal 4 2 3 2 6 5 2" xfId="30779"/>
    <cellStyle name="Normal 4 2 3 2 6 6" xfId="30780"/>
    <cellStyle name="Normal 4 2 3 2 7" xfId="1438"/>
    <cellStyle name="Normal 4 2 3 2 7 2" xfId="4158"/>
    <cellStyle name="Normal 4 2 3 2 7 2 2" xfId="30781"/>
    <cellStyle name="Normal 4 2 3 2 7 2 2 2" xfId="30782"/>
    <cellStyle name="Normal 4 2 3 2 7 2 2 2 2" xfId="30783"/>
    <cellStyle name="Normal 4 2 3 2 7 2 2 3" xfId="30784"/>
    <cellStyle name="Normal 4 2 3 2 7 2 3" xfId="30785"/>
    <cellStyle name="Normal 4 2 3 2 7 2 3 2" xfId="30786"/>
    <cellStyle name="Normal 4 2 3 2 7 2 4" xfId="30787"/>
    <cellStyle name="Normal 4 2 3 2 7 3" xfId="30788"/>
    <cellStyle name="Normal 4 2 3 2 7 3 2" xfId="30789"/>
    <cellStyle name="Normal 4 2 3 2 7 3 2 2" xfId="30790"/>
    <cellStyle name="Normal 4 2 3 2 7 3 3" xfId="30791"/>
    <cellStyle name="Normal 4 2 3 2 7 4" xfId="30792"/>
    <cellStyle name="Normal 4 2 3 2 7 4 2" xfId="30793"/>
    <cellStyle name="Normal 4 2 3 2 7 5" xfId="30794"/>
    <cellStyle name="Normal 4 2 3 2 8" xfId="2798"/>
    <cellStyle name="Normal 4 2 3 2 8 2" xfId="30795"/>
    <cellStyle name="Normal 4 2 3 2 8 2 2" xfId="30796"/>
    <cellStyle name="Normal 4 2 3 2 8 2 2 2" xfId="30797"/>
    <cellStyle name="Normal 4 2 3 2 8 2 3" xfId="30798"/>
    <cellStyle name="Normal 4 2 3 2 8 3" xfId="30799"/>
    <cellStyle name="Normal 4 2 3 2 8 3 2" xfId="30800"/>
    <cellStyle name="Normal 4 2 3 2 8 4" xfId="30801"/>
    <cellStyle name="Normal 4 2 3 2 9" xfId="30802"/>
    <cellStyle name="Normal 4 2 3 2 9 2" xfId="30803"/>
    <cellStyle name="Normal 4 2 3 2 9 2 2" xfId="30804"/>
    <cellStyle name="Normal 4 2 3 2 9 3" xfId="30805"/>
    <cellStyle name="Normal 4 2 3 3" xfId="111"/>
    <cellStyle name="Normal 4 2 3 3 10" xfId="30806"/>
    <cellStyle name="Normal 4 2 3 3 2" xfId="248"/>
    <cellStyle name="Normal 4 2 3 3 2 2" xfId="520"/>
    <cellStyle name="Normal 4 2 3 3 2 2 2" xfId="1200"/>
    <cellStyle name="Normal 4 2 3 3 2 2 2 2" xfId="2560"/>
    <cellStyle name="Normal 4 2 3 3 2 2 2 2 2" xfId="5280"/>
    <cellStyle name="Normal 4 2 3 3 2 2 2 2 2 2" xfId="30807"/>
    <cellStyle name="Normal 4 2 3 3 2 2 2 2 2 2 2" xfId="30808"/>
    <cellStyle name="Normal 4 2 3 3 2 2 2 2 2 2 2 2" xfId="30809"/>
    <cellStyle name="Normal 4 2 3 3 2 2 2 2 2 2 3" xfId="30810"/>
    <cellStyle name="Normal 4 2 3 3 2 2 2 2 2 3" xfId="30811"/>
    <cellStyle name="Normal 4 2 3 3 2 2 2 2 2 3 2" xfId="30812"/>
    <cellStyle name="Normal 4 2 3 3 2 2 2 2 2 4" xfId="30813"/>
    <cellStyle name="Normal 4 2 3 3 2 2 2 2 3" xfId="30814"/>
    <cellStyle name="Normal 4 2 3 3 2 2 2 2 3 2" xfId="30815"/>
    <cellStyle name="Normal 4 2 3 3 2 2 2 2 3 2 2" xfId="30816"/>
    <cellStyle name="Normal 4 2 3 3 2 2 2 2 3 3" xfId="30817"/>
    <cellStyle name="Normal 4 2 3 3 2 2 2 2 4" xfId="30818"/>
    <cellStyle name="Normal 4 2 3 3 2 2 2 2 4 2" xfId="30819"/>
    <cellStyle name="Normal 4 2 3 3 2 2 2 2 5" xfId="30820"/>
    <cellStyle name="Normal 4 2 3 3 2 2 2 3" xfId="3920"/>
    <cellStyle name="Normal 4 2 3 3 2 2 2 3 2" xfId="30821"/>
    <cellStyle name="Normal 4 2 3 3 2 2 2 3 2 2" xfId="30822"/>
    <cellStyle name="Normal 4 2 3 3 2 2 2 3 2 2 2" xfId="30823"/>
    <cellStyle name="Normal 4 2 3 3 2 2 2 3 2 3" xfId="30824"/>
    <cellStyle name="Normal 4 2 3 3 2 2 2 3 3" xfId="30825"/>
    <cellStyle name="Normal 4 2 3 3 2 2 2 3 3 2" xfId="30826"/>
    <cellStyle name="Normal 4 2 3 3 2 2 2 3 4" xfId="30827"/>
    <cellStyle name="Normal 4 2 3 3 2 2 2 4" xfId="30828"/>
    <cellStyle name="Normal 4 2 3 3 2 2 2 4 2" xfId="30829"/>
    <cellStyle name="Normal 4 2 3 3 2 2 2 4 2 2" xfId="30830"/>
    <cellStyle name="Normal 4 2 3 3 2 2 2 4 3" xfId="30831"/>
    <cellStyle name="Normal 4 2 3 3 2 2 2 5" xfId="30832"/>
    <cellStyle name="Normal 4 2 3 3 2 2 2 5 2" xfId="30833"/>
    <cellStyle name="Normal 4 2 3 3 2 2 2 6" xfId="30834"/>
    <cellStyle name="Normal 4 2 3 3 2 2 3" xfId="1880"/>
    <cellStyle name="Normal 4 2 3 3 2 2 3 2" xfId="4600"/>
    <cellStyle name="Normal 4 2 3 3 2 2 3 2 2" xfId="30835"/>
    <cellStyle name="Normal 4 2 3 3 2 2 3 2 2 2" xfId="30836"/>
    <cellStyle name="Normal 4 2 3 3 2 2 3 2 2 2 2" xfId="30837"/>
    <cellStyle name="Normal 4 2 3 3 2 2 3 2 2 3" xfId="30838"/>
    <cellStyle name="Normal 4 2 3 3 2 2 3 2 3" xfId="30839"/>
    <cellStyle name="Normal 4 2 3 3 2 2 3 2 3 2" xfId="30840"/>
    <cellStyle name="Normal 4 2 3 3 2 2 3 2 4" xfId="30841"/>
    <cellStyle name="Normal 4 2 3 3 2 2 3 3" xfId="30842"/>
    <cellStyle name="Normal 4 2 3 3 2 2 3 3 2" xfId="30843"/>
    <cellStyle name="Normal 4 2 3 3 2 2 3 3 2 2" xfId="30844"/>
    <cellStyle name="Normal 4 2 3 3 2 2 3 3 3" xfId="30845"/>
    <cellStyle name="Normal 4 2 3 3 2 2 3 4" xfId="30846"/>
    <cellStyle name="Normal 4 2 3 3 2 2 3 4 2" xfId="30847"/>
    <cellStyle name="Normal 4 2 3 3 2 2 3 5" xfId="30848"/>
    <cellStyle name="Normal 4 2 3 3 2 2 4" xfId="3240"/>
    <cellStyle name="Normal 4 2 3 3 2 2 4 2" xfId="30849"/>
    <cellStyle name="Normal 4 2 3 3 2 2 4 2 2" xfId="30850"/>
    <cellStyle name="Normal 4 2 3 3 2 2 4 2 2 2" xfId="30851"/>
    <cellStyle name="Normal 4 2 3 3 2 2 4 2 3" xfId="30852"/>
    <cellStyle name="Normal 4 2 3 3 2 2 4 3" xfId="30853"/>
    <cellStyle name="Normal 4 2 3 3 2 2 4 3 2" xfId="30854"/>
    <cellStyle name="Normal 4 2 3 3 2 2 4 4" xfId="30855"/>
    <cellStyle name="Normal 4 2 3 3 2 2 5" xfId="30856"/>
    <cellStyle name="Normal 4 2 3 3 2 2 5 2" xfId="30857"/>
    <cellStyle name="Normal 4 2 3 3 2 2 5 2 2" xfId="30858"/>
    <cellStyle name="Normal 4 2 3 3 2 2 5 3" xfId="30859"/>
    <cellStyle name="Normal 4 2 3 3 2 2 6" xfId="30860"/>
    <cellStyle name="Normal 4 2 3 3 2 2 6 2" xfId="30861"/>
    <cellStyle name="Normal 4 2 3 3 2 2 7" xfId="30862"/>
    <cellStyle name="Normal 4 2 3 3 2 3" xfId="928"/>
    <cellStyle name="Normal 4 2 3 3 2 3 2" xfId="2288"/>
    <cellStyle name="Normal 4 2 3 3 2 3 2 2" xfId="5008"/>
    <cellStyle name="Normal 4 2 3 3 2 3 2 2 2" xfId="30863"/>
    <cellStyle name="Normal 4 2 3 3 2 3 2 2 2 2" xfId="30864"/>
    <cellStyle name="Normal 4 2 3 3 2 3 2 2 2 2 2" xfId="30865"/>
    <cellStyle name="Normal 4 2 3 3 2 3 2 2 2 3" xfId="30866"/>
    <cellStyle name="Normal 4 2 3 3 2 3 2 2 3" xfId="30867"/>
    <cellStyle name="Normal 4 2 3 3 2 3 2 2 3 2" xfId="30868"/>
    <cellStyle name="Normal 4 2 3 3 2 3 2 2 4" xfId="30869"/>
    <cellStyle name="Normal 4 2 3 3 2 3 2 3" xfId="30870"/>
    <cellStyle name="Normal 4 2 3 3 2 3 2 3 2" xfId="30871"/>
    <cellStyle name="Normal 4 2 3 3 2 3 2 3 2 2" xfId="30872"/>
    <cellStyle name="Normal 4 2 3 3 2 3 2 3 3" xfId="30873"/>
    <cellStyle name="Normal 4 2 3 3 2 3 2 4" xfId="30874"/>
    <cellStyle name="Normal 4 2 3 3 2 3 2 4 2" xfId="30875"/>
    <cellStyle name="Normal 4 2 3 3 2 3 2 5" xfId="30876"/>
    <cellStyle name="Normal 4 2 3 3 2 3 3" xfId="3648"/>
    <cellStyle name="Normal 4 2 3 3 2 3 3 2" xfId="30877"/>
    <cellStyle name="Normal 4 2 3 3 2 3 3 2 2" xfId="30878"/>
    <cellStyle name="Normal 4 2 3 3 2 3 3 2 2 2" xfId="30879"/>
    <cellStyle name="Normal 4 2 3 3 2 3 3 2 3" xfId="30880"/>
    <cellStyle name="Normal 4 2 3 3 2 3 3 3" xfId="30881"/>
    <cellStyle name="Normal 4 2 3 3 2 3 3 3 2" xfId="30882"/>
    <cellStyle name="Normal 4 2 3 3 2 3 3 4" xfId="30883"/>
    <cellStyle name="Normal 4 2 3 3 2 3 4" xfId="30884"/>
    <cellStyle name="Normal 4 2 3 3 2 3 4 2" xfId="30885"/>
    <cellStyle name="Normal 4 2 3 3 2 3 4 2 2" xfId="30886"/>
    <cellStyle name="Normal 4 2 3 3 2 3 4 3" xfId="30887"/>
    <cellStyle name="Normal 4 2 3 3 2 3 5" xfId="30888"/>
    <cellStyle name="Normal 4 2 3 3 2 3 5 2" xfId="30889"/>
    <cellStyle name="Normal 4 2 3 3 2 3 6" xfId="30890"/>
    <cellStyle name="Normal 4 2 3 3 2 4" xfId="1608"/>
    <cellStyle name="Normal 4 2 3 3 2 4 2" xfId="4328"/>
    <cellStyle name="Normal 4 2 3 3 2 4 2 2" xfId="30891"/>
    <cellStyle name="Normal 4 2 3 3 2 4 2 2 2" xfId="30892"/>
    <cellStyle name="Normal 4 2 3 3 2 4 2 2 2 2" xfId="30893"/>
    <cellStyle name="Normal 4 2 3 3 2 4 2 2 3" xfId="30894"/>
    <cellStyle name="Normal 4 2 3 3 2 4 2 3" xfId="30895"/>
    <cellStyle name="Normal 4 2 3 3 2 4 2 3 2" xfId="30896"/>
    <cellStyle name="Normal 4 2 3 3 2 4 2 4" xfId="30897"/>
    <cellStyle name="Normal 4 2 3 3 2 4 3" xfId="30898"/>
    <cellStyle name="Normal 4 2 3 3 2 4 3 2" xfId="30899"/>
    <cellStyle name="Normal 4 2 3 3 2 4 3 2 2" xfId="30900"/>
    <cellStyle name="Normal 4 2 3 3 2 4 3 3" xfId="30901"/>
    <cellStyle name="Normal 4 2 3 3 2 4 4" xfId="30902"/>
    <cellStyle name="Normal 4 2 3 3 2 4 4 2" xfId="30903"/>
    <cellStyle name="Normal 4 2 3 3 2 4 5" xfId="30904"/>
    <cellStyle name="Normal 4 2 3 3 2 5" xfId="2968"/>
    <cellStyle name="Normal 4 2 3 3 2 5 2" xfId="30905"/>
    <cellStyle name="Normal 4 2 3 3 2 5 2 2" xfId="30906"/>
    <cellStyle name="Normal 4 2 3 3 2 5 2 2 2" xfId="30907"/>
    <cellStyle name="Normal 4 2 3 3 2 5 2 3" xfId="30908"/>
    <cellStyle name="Normal 4 2 3 3 2 5 3" xfId="30909"/>
    <cellStyle name="Normal 4 2 3 3 2 5 3 2" xfId="30910"/>
    <cellStyle name="Normal 4 2 3 3 2 5 4" xfId="30911"/>
    <cellStyle name="Normal 4 2 3 3 2 6" xfId="30912"/>
    <cellStyle name="Normal 4 2 3 3 2 6 2" xfId="30913"/>
    <cellStyle name="Normal 4 2 3 3 2 6 2 2" xfId="30914"/>
    <cellStyle name="Normal 4 2 3 3 2 6 3" xfId="30915"/>
    <cellStyle name="Normal 4 2 3 3 2 7" xfId="30916"/>
    <cellStyle name="Normal 4 2 3 3 2 7 2" xfId="30917"/>
    <cellStyle name="Normal 4 2 3 3 2 8" xfId="30918"/>
    <cellStyle name="Normal 4 2 3 3 3" xfId="384"/>
    <cellStyle name="Normal 4 2 3 3 3 2" xfId="1064"/>
    <cellStyle name="Normal 4 2 3 3 3 2 2" xfId="2424"/>
    <cellStyle name="Normal 4 2 3 3 3 2 2 2" xfId="5144"/>
    <cellStyle name="Normal 4 2 3 3 3 2 2 2 2" xfId="30919"/>
    <cellStyle name="Normal 4 2 3 3 3 2 2 2 2 2" xfId="30920"/>
    <cellStyle name="Normal 4 2 3 3 3 2 2 2 2 2 2" xfId="30921"/>
    <cellStyle name="Normal 4 2 3 3 3 2 2 2 2 3" xfId="30922"/>
    <cellStyle name="Normal 4 2 3 3 3 2 2 2 3" xfId="30923"/>
    <cellStyle name="Normal 4 2 3 3 3 2 2 2 3 2" xfId="30924"/>
    <cellStyle name="Normal 4 2 3 3 3 2 2 2 4" xfId="30925"/>
    <cellStyle name="Normal 4 2 3 3 3 2 2 3" xfId="30926"/>
    <cellStyle name="Normal 4 2 3 3 3 2 2 3 2" xfId="30927"/>
    <cellStyle name="Normal 4 2 3 3 3 2 2 3 2 2" xfId="30928"/>
    <cellStyle name="Normal 4 2 3 3 3 2 2 3 3" xfId="30929"/>
    <cellStyle name="Normal 4 2 3 3 3 2 2 4" xfId="30930"/>
    <cellStyle name="Normal 4 2 3 3 3 2 2 4 2" xfId="30931"/>
    <cellStyle name="Normal 4 2 3 3 3 2 2 5" xfId="30932"/>
    <cellStyle name="Normal 4 2 3 3 3 2 3" xfId="3784"/>
    <cellStyle name="Normal 4 2 3 3 3 2 3 2" xfId="30933"/>
    <cellStyle name="Normal 4 2 3 3 3 2 3 2 2" xfId="30934"/>
    <cellStyle name="Normal 4 2 3 3 3 2 3 2 2 2" xfId="30935"/>
    <cellStyle name="Normal 4 2 3 3 3 2 3 2 3" xfId="30936"/>
    <cellStyle name="Normal 4 2 3 3 3 2 3 3" xfId="30937"/>
    <cellStyle name="Normal 4 2 3 3 3 2 3 3 2" xfId="30938"/>
    <cellStyle name="Normal 4 2 3 3 3 2 3 4" xfId="30939"/>
    <cellStyle name="Normal 4 2 3 3 3 2 4" xfId="30940"/>
    <cellStyle name="Normal 4 2 3 3 3 2 4 2" xfId="30941"/>
    <cellStyle name="Normal 4 2 3 3 3 2 4 2 2" xfId="30942"/>
    <cellStyle name="Normal 4 2 3 3 3 2 4 3" xfId="30943"/>
    <cellStyle name="Normal 4 2 3 3 3 2 5" xfId="30944"/>
    <cellStyle name="Normal 4 2 3 3 3 2 5 2" xfId="30945"/>
    <cellStyle name="Normal 4 2 3 3 3 2 6" xfId="30946"/>
    <cellStyle name="Normal 4 2 3 3 3 3" xfId="1744"/>
    <cellStyle name="Normal 4 2 3 3 3 3 2" xfId="4464"/>
    <cellStyle name="Normal 4 2 3 3 3 3 2 2" xfId="30947"/>
    <cellStyle name="Normal 4 2 3 3 3 3 2 2 2" xfId="30948"/>
    <cellStyle name="Normal 4 2 3 3 3 3 2 2 2 2" xfId="30949"/>
    <cellStyle name="Normal 4 2 3 3 3 3 2 2 3" xfId="30950"/>
    <cellStyle name="Normal 4 2 3 3 3 3 2 3" xfId="30951"/>
    <cellStyle name="Normal 4 2 3 3 3 3 2 3 2" xfId="30952"/>
    <cellStyle name="Normal 4 2 3 3 3 3 2 4" xfId="30953"/>
    <cellStyle name="Normal 4 2 3 3 3 3 3" xfId="30954"/>
    <cellStyle name="Normal 4 2 3 3 3 3 3 2" xfId="30955"/>
    <cellStyle name="Normal 4 2 3 3 3 3 3 2 2" xfId="30956"/>
    <cellStyle name="Normal 4 2 3 3 3 3 3 3" xfId="30957"/>
    <cellStyle name="Normal 4 2 3 3 3 3 4" xfId="30958"/>
    <cellStyle name="Normal 4 2 3 3 3 3 4 2" xfId="30959"/>
    <cellStyle name="Normal 4 2 3 3 3 3 5" xfId="30960"/>
    <cellStyle name="Normal 4 2 3 3 3 4" xfId="3104"/>
    <cellStyle name="Normal 4 2 3 3 3 4 2" xfId="30961"/>
    <cellStyle name="Normal 4 2 3 3 3 4 2 2" xfId="30962"/>
    <cellStyle name="Normal 4 2 3 3 3 4 2 2 2" xfId="30963"/>
    <cellStyle name="Normal 4 2 3 3 3 4 2 3" xfId="30964"/>
    <cellStyle name="Normal 4 2 3 3 3 4 3" xfId="30965"/>
    <cellStyle name="Normal 4 2 3 3 3 4 3 2" xfId="30966"/>
    <cellStyle name="Normal 4 2 3 3 3 4 4" xfId="30967"/>
    <cellStyle name="Normal 4 2 3 3 3 5" xfId="30968"/>
    <cellStyle name="Normal 4 2 3 3 3 5 2" xfId="30969"/>
    <cellStyle name="Normal 4 2 3 3 3 5 2 2" xfId="30970"/>
    <cellStyle name="Normal 4 2 3 3 3 5 3" xfId="30971"/>
    <cellStyle name="Normal 4 2 3 3 3 6" xfId="30972"/>
    <cellStyle name="Normal 4 2 3 3 3 6 2" xfId="30973"/>
    <cellStyle name="Normal 4 2 3 3 3 7" xfId="30974"/>
    <cellStyle name="Normal 4 2 3 3 4" xfId="656"/>
    <cellStyle name="Normal 4 2 3 3 4 2" xfId="1336"/>
    <cellStyle name="Normal 4 2 3 3 4 2 2" xfId="2696"/>
    <cellStyle name="Normal 4 2 3 3 4 2 2 2" xfId="5416"/>
    <cellStyle name="Normal 4 2 3 3 4 2 2 2 2" xfId="30975"/>
    <cellStyle name="Normal 4 2 3 3 4 2 2 2 2 2" xfId="30976"/>
    <cellStyle name="Normal 4 2 3 3 4 2 2 2 2 2 2" xfId="30977"/>
    <cellStyle name="Normal 4 2 3 3 4 2 2 2 2 3" xfId="30978"/>
    <cellStyle name="Normal 4 2 3 3 4 2 2 2 3" xfId="30979"/>
    <cellStyle name="Normal 4 2 3 3 4 2 2 2 3 2" xfId="30980"/>
    <cellStyle name="Normal 4 2 3 3 4 2 2 2 4" xfId="30981"/>
    <cellStyle name="Normal 4 2 3 3 4 2 2 3" xfId="30982"/>
    <cellStyle name="Normal 4 2 3 3 4 2 2 3 2" xfId="30983"/>
    <cellStyle name="Normal 4 2 3 3 4 2 2 3 2 2" xfId="30984"/>
    <cellStyle name="Normal 4 2 3 3 4 2 2 3 3" xfId="30985"/>
    <cellStyle name="Normal 4 2 3 3 4 2 2 4" xfId="30986"/>
    <cellStyle name="Normal 4 2 3 3 4 2 2 4 2" xfId="30987"/>
    <cellStyle name="Normal 4 2 3 3 4 2 2 5" xfId="30988"/>
    <cellStyle name="Normal 4 2 3 3 4 2 3" xfId="4056"/>
    <cellStyle name="Normal 4 2 3 3 4 2 3 2" xfId="30989"/>
    <cellStyle name="Normal 4 2 3 3 4 2 3 2 2" xfId="30990"/>
    <cellStyle name="Normal 4 2 3 3 4 2 3 2 2 2" xfId="30991"/>
    <cellStyle name="Normal 4 2 3 3 4 2 3 2 3" xfId="30992"/>
    <cellStyle name="Normal 4 2 3 3 4 2 3 3" xfId="30993"/>
    <cellStyle name="Normal 4 2 3 3 4 2 3 3 2" xfId="30994"/>
    <cellStyle name="Normal 4 2 3 3 4 2 3 4" xfId="30995"/>
    <cellStyle name="Normal 4 2 3 3 4 2 4" xfId="30996"/>
    <cellStyle name="Normal 4 2 3 3 4 2 4 2" xfId="30997"/>
    <cellStyle name="Normal 4 2 3 3 4 2 4 2 2" xfId="30998"/>
    <cellStyle name="Normal 4 2 3 3 4 2 4 3" xfId="30999"/>
    <cellStyle name="Normal 4 2 3 3 4 2 5" xfId="31000"/>
    <cellStyle name="Normal 4 2 3 3 4 2 5 2" xfId="31001"/>
    <cellStyle name="Normal 4 2 3 3 4 2 6" xfId="31002"/>
    <cellStyle name="Normal 4 2 3 3 4 3" xfId="2016"/>
    <cellStyle name="Normal 4 2 3 3 4 3 2" xfId="4736"/>
    <cellStyle name="Normal 4 2 3 3 4 3 2 2" xfId="31003"/>
    <cellStyle name="Normal 4 2 3 3 4 3 2 2 2" xfId="31004"/>
    <cellStyle name="Normal 4 2 3 3 4 3 2 2 2 2" xfId="31005"/>
    <cellStyle name="Normal 4 2 3 3 4 3 2 2 3" xfId="31006"/>
    <cellStyle name="Normal 4 2 3 3 4 3 2 3" xfId="31007"/>
    <cellStyle name="Normal 4 2 3 3 4 3 2 3 2" xfId="31008"/>
    <cellStyle name="Normal 4 2 3 3 4 3 2 4" xfId="31009"/>
    <cellStyle name="Normal 4 2 3 3 4 3 3" xfId="31010"/>
    <cellStyle name="Normal 4 2 3 3 4 3 3 2" xfId="31011"/>
    <cellStyle name="Normal 4 2 3 3 4 3 3 2 2" xfId="31012"/>
    <cellStyle name="Normal 4 2 3 3 4 3 3 3" xfId="31013"/>
    <cellStyle name="Normal 4 2 3 3 4 3 4" xfId="31014"/>
    <cellStyle name="Normal 4 2 3 3 4 3 4 2" xfId="31015"/>
    <cellStyle name="Normal 4 2 3 3 4 3 5" xfId="31016"/>
    <cellStyle name="Normal 4 2 3 3 4 4" xfId="3376"/>
    <cellStyle name="Normal 4 2 3 3 4 4 2" xfId="31017"/>
    <cellStyle name="Normal 4 2 3 3 4 4 2 2" xfId="31018"/>
    <cellStyle name="Normal 4 2 3 3 4 4 2 2 2" xfId="31019"/>
    <cellStyle name="Normal 4 2 3 3 4 4 2 3" xfId="31020"/>
    <cellStyle name="Normal 4 2 3 3 4 4 3" xfId="31021"/>
    <cellStyle name="Normal 4 2 3 3 4 4 3 2" xfId="31022"/>
    <cellStyle name="Normal 4 2 3 3 4 4 4" xfId="31023"/>
    <cellStyle name="Normal 4 2 3 3 4 5" xfId="31024"/>
    <cellStyle name="Normal 4 2 3 3 4 5 2" xfId="31025"/>
    <cellStyle name="Normal 4 2 3 3 4 5 2 2" xfId="31026"/>
    <cellStyle name="Normal 4 2 3 3 4 5 3" xfId="31027"/>
    <cellStyle name="Normal 4 2 3 3 4 6" xfId="31028"/>
    <cellStyle name="Normal 4 2 3 3 4 6 2" xfId="31029"/>
    <cellStyle name="Normal 4 2 3 3 4 7" xfId="31030"/>
    <cellStyle name="Normal 4 2 3 3 5" xfId="792"/>
    <cellStyle name="Normal 4 2 3 3 5 2" xfId="2152"/>
    <cellStyle name="Normal 4 2 3 3 5 2 2" xfId="4872"/>
    <cellStyle name="Normal 4 2 3 3 5 2 2 2" xfId="31031"/>
    <cellStyle name="Normal 4 2 3 3 5 2 2 2 2" xfId="31032"/>
    <cellStyle name="Normal 4 2 3 3 5 2 2 2 2 2" xfId="31033"/>
    <cellStyle name="Normal 4 2 3 3 5 2 2 2 3" xfId="31034"/>
    <cellStyle name="Normal 4 2 3 3 5 2 2 3" xfId="31035"/>
    <cellStyle name="Normal 4 2 3 3 5 2 2 3 2" xfId="31036"/>
    <cellStyle name="Normal 4 2 3 3 5 2 2 4" xfId="31037"/>
    <cellStyle name="Normal 4 2 3 3 5 2 3" xfId="31038"/>
    <cellStyle name="Normal 4 2 3 3 5 2 3 2" xfId="31039"/>
    <cellStyle name="Normal 4 2 3 3 5 2 3 2 2" xfId="31040"/>
    <cellStyle name="Normal 4 2 3 3 5 2 3 3" xfId="31041"/>
    <cellStyle name="Normal 4 2 3 3 5 2 4" xfId="31042"/>
    <cellStyle name="Normal 4 2 3 3 5 2 4 2" xfId="31043"/>
    <cellStyle name="Normal 4 2 3 3 5 2 5" xfId="31044"/>
    <cellStyle name="Normal 4 2 3 3 5 3" xfId="3512"/>
    <cellStyle name="Normal 4 2 3 3 5 3 2" xfId="31045"/>
    <cellStyle name="Normal 4 2 3 3 5 3 2 2" xfId="31046"/>
    <cellStyle name="Normal 4 2 3 3 5 3 2 2 2" xfId="31047"/>
    <cellStyle name="Normal 4 2 3 3 5 3 2 3" xfId="31048"/>
    <cellStyle name="Normal 4 2 3 3 5 3 3" xfId="31049"/>
    <cellStyle name="Normal 4 2 3 3 5 3 3 2" xfId="31050"/>
    <cellStyle name="Normal 4 2 3 3 5 3 4" xfId="31051"/>
    <cellStyle name="Normal 4 2 3 3 5 4" xfId="31052"/>
    <cellStyle name="Normal 4 2 3 3 5 4 2" xfId="31053"/>
    <cellStyle name="Normal 4 2 3 3 5 4 2 2" xfId="31054"/>
    <cellStyle name="Normal 4 2 3 3 5 4 3" xfId="31055"/>
    <cellStyle name="Normal 4 2 3 3 5 5" xfId="31056"/>
    <cellStyle name="Normal 4 2 3 3 5 5 2" xfId="31057"/>
    <cellStyle name="Normal 4 2 3 3 5 6" xfId="31058"/>
    <cellStyle name="Normal 4 2 3 3 6" xfId="1472"/>
    <cellStyle name="Normal 4 2 3 3 6 2" xfId="4192"/>
    <cellStyle name="Normal 4 2 3 3 6 2 2" xfId="31059"/>
    <cellStyle name="Normal 4 2 3 3 6 2 2 2" xfId="31060"/>
    <cellStyle name="Normal 4 2 3 3 6 2 2 2 2" xfId="31061"/>
    <cellStyle name="Normal 4 2 3 3 6 2 2 3" xfId="31062"/>
    <cellStyle name="Normal 4 2 3 3 6 2 3" xfId="31063"/>
    <cellStyle name="Normal 4 2 3 3 6 2 3 2" xfId="31064"/>
    <cellStyle name="Normal 4 2 3 3 6 2 4" xfId="31065"/>
    <cellStyle name="Normal 4 2 3 3 6 3" xfId="31066"/>
    <cellStyle name="Normal 4 2 3 3 6 3 2" xfId="31067"/>
    <cellStyle name="Normal 4 2 3 3 6 3 2 2" xfId="31068"/>
    <cellStyle name="Normal 4 2 3 3 6 3 3" xfId="31069"/>
    <cellStyle name="Normal 4 2 3 3 6 4" xfId="31070"/>
    <cellStyle name="Normal 4 2 3 3 6 4 2" xfId="31071"/>
    <cellStyle name="Normal 4 2 3 3 6 5" xfId="31072"/>
    <cellStyle name="Normal 4 2 3 3 7" xfId="2832"/>
    <cellStyle name="Normal 4 2 3 3 7 2" xfId="31073"/>
    <cellStyle name="Normal 4 2 3 3 7 2 2" xfId="31074"/>
    <cellStyle name="Normal 4 2 3 3 7 2 2 2" xfId="31075"/>
    <cellStyle name="Normal 4 2 3 3 7 2 3" xfId="31076"/>
    <cellStyle name="Normal 4 2 3 3 7 3" xfId="31077"/>
    <cellStyle name="Normal 4 2 3 3 7 3 2" xfId="31078"/>
    <cellStyle name="Normal 4 2 3 3 7 4" xfId="31079"/>
    <cellStyle name="Normal 4 2 3 3 8" xfId="31080"/>
    <cellStyle name="Normal 4 2 3 3 8 2" xfId="31081"/>
    <cellStyle name="Normal 4 2 3 3 8 2 2" xfId="31082"/>
    <cellStyle name="Normal 4 2 3 3 8 3" xfId="31083"/>
    <cellStyle name="Normal 4 2 3 3 9" xfId="31084"/>
    <cellStyle name="Normal 4 2 3 3 9 2" xfId="31085"/>
    <cellStyle name="Normal 4 2 3 4" xfId="180"/>
    <cellStyle name="Normal 4 2 3 4 2" xfId="452"/>
    <cellStyle name="Normal 4 2 3 4 2 2" xfId="1132"/>
    <cellStyle name="Normal 4 2 3 4 2 2 2" xfId="2492"/>
    <cellStyle name="Normal 4 2 3 4 2 2 2 2" xfId="5212"/>
    <cellStyle name="Normal 4 2 3 4 2 2 2 2 2" xfId="31086"/>
    <cellStyle name="Normal 4 2 3 4 2 2 2 2 2 2" xfId="31087"/>
    <cellStyle name="Normal 4 2 3 4 2 2 2 2 2 2 2" xfId="31088"/>
    <cellStyle name="Normal 4 2 3 4 2 2 2 2 2 3" xfId="31089"/>
    <cellStyle name="Normal 4 2 3 4 2 2 2 2 3" xfId="31090"/>
    <cellStyle name="Normal 4 2 3 4 2 2 2 2 3 2" xfId="31091"/>
    <cellStyle name="Normal 4 2 3 4 2 2 2 2 4" xfId="31092"/>
    <cellStyle name="Normal 4 2 3 4 2 2 2 3" xfId="31093"/>
    <cellStyle name="Normal 4 2 3 4 2 2 2 3 2" xfId="31094"/>
    <cellStyle name="Normal 4 2 3 4 2 2 2 3 2 2" xfId="31095"/>
    <cellStyle name="Normal 4 2 3 4 2 2 2 3 3" xfId="31096"/>
    <cellStyle name="Normal 4 2 3 4 2 2 2 4" xfId="31097"/>
    <cellStyle name="Normal 4 2 3 4 2 2 2 4 2" xfId="31098"/>
    <cellStyle name="Normal 4 2 3 4 2 2 2 5" xfId="31099"/>
    <cellStyle name="Normal 4 2 3 4 2 2 3" xfId="3852"/>
    <cellStyle name="Normal 4 2 3 4 2 2 3 2" xfId="31100"/>
    <cellStyle name="Normal 4 2 3 4 2 2 3 2 2" xfId="31101"/>
    <cellStyle name="Normal 4 2 3 4 2 2 3 2 2 2" xfId="31102"/>
    <cellStyle name="Normal 4 2 3 4 2 2 3 2 3" xfId="31103"/>
    <cellStyle name="Normal 4 2 3 4 2 2 3 3" xfId="31104"/>
    <cellStyle name="Normal 4 2 3 4 2 2 3 3 2" xfId="31105"/>
    <cellStyle name="Normal 4 2 3 4 2 2 3 4" xfId="31106"/>
    <cellStyle name="Normal 4 2 3 4 2 2 4" xfId="31107"/>
    <cellStyle name="Normal 4 2 3 4 2 2 4 2" xfId="31108"/>
    <cellStyle name="Normal 4 2 3 4 2 2 4 2 2" xfId="31109"/>
    <cellStyle name="Normal 4 2 3 4 2 2 4 3" xfId="31110"/>
    <cellStyle name="Normal 4 2 3 4 2 2 5" xfId="31111"/>
    <cellStyle name="Normal 4 2 3 4 2 2 5 2" xfId="31112"/>
    <cellStyle name="Normal 4 2 3 4 2 2 6" xfId="31113"/>
    <cellStyle name="Normal 4 2 3 4 2 3" xfId="1812"/>
    <cellStyle name="Normal 4 2 3 4 2 3 2" xfId="4532"/>
    <cellStyle name="Normal 4 2 3 4 2 3 2 2" xfId="31114"/>
    <cellStyle name="Normal 4 2 3 4 2 3 2 2 2" xfId="31115"/>
    <cellStyle name="Normal 4 2 3 4 2 3 2 2 2 2" xfId="31116"/>
    <cellStyle name="Normal 4 2 3 4 2 3 2 2 3" xfId="31117"/>
    <cellStyle name="Normal 4 2 3 4 2 3 2 3" xfId="31118"/>
    <cellStyle name="Normal 4 2 3 4 2 3 2 3 2" xfId="31119"/>
    <cellStyle name="Normal 4 2 3 4 2 3 2 4" xfId="31120"/>
    <cellStyle name="Normal 4 2 3 4 2 3 3" xfId="31121"/>
    <cellStyle name="Normal 4 2 3 4 2 3 3 2" xfId="31122"/>
    <cellStyle name="Normal 4 2 3 4 2 3 3 2 2" xfId="31123"/>
    <cellStyle name="Normal 4 2 3 4 2 3 3 3" xfId="31124"/>
    <cellStyle name="Normal 4 2 3 4 2 3 4" xfId="31125"/>
    <cellStyle name="Normal 4 2 3 4 2 3 4 2" xfId="31126"/>
    <cellStyle name="Normal 4 2 3 4 2 3 5" xfId="31127"/>
    <cellStyle name="Normal 4 2 3 4 2 4" xfId="3172"/>
    <cellStyle name="Normal 4 2 3 4 2 4 2" xfId="31128"/>
    <cellStyle name="Normal 4 2 3 4 2 4 2 2" xfId="31129"/>
    <cellStyle name="Normal 4 2 3 4 2 4 2 2 2" xfId="31130"/>
    <cellStyle name="Normal 4 2 3 4 2 4 2 3" xfId="31131"/>
    <cellStyle name="Normal 4 2 3 4 2 4 3" xfId="31132"/>
    <cellStyle name="Normal 4 2 3 4 2 4 3 2" xfId="31133"/>
    <cellStyle name="Normal 4 2 3 4 2 4 4" xfId="31134"/>
    <cellStyle name="Normal 4 2 3 4 2 5" xfId="31135"/>
    <cellStyle name="Normal 4 2 3 4 2 5 2" xfId="31136"/>
    <cellStyle name="Normal 4 2 3 4 2 5 2 2" xfId="31137"/>
    <cellStyle name="Normal 4 2 3 4 2 5 3" xfId="31138"/>
    <cellStyle name="Normal 4 2 3 4 2 6" xfId="31139"/>
    <cellStyle name="Normal 4 2 3 4 2 6 2" xfId="31140"/>
    <cellStyle name="Normal 4 2 3 4 2 7" xfId="31141"/>
    <cellStyle name="Normal 4 2 3 4 3" xfId="860"/>
    <cellStyle name="Normal 4 2 3 4 3 2" xfId="2220"/>
    <cellStyle name="Normal 4 2 3 4 3 2 2" xfId="4940"/>
    <cellStyle name="Normal 4 2 3 4 3 2 2 2" xfId="31142"/>
    <cellStyle name="Normal 4 2 3 4 3 2 2 2 2" xfId="31143"/>
    <cellStyle name="Normal 4 2 3 4 3 2 2 2 2 2" xfId="31144"/>
    <cellStyle name="Normal 4 2 3 4 3 2 2 2 3" xfId="31145"/>
    <cellStyle name="Normal 4 2 3 4 3 2 2 3" xfId="31146"/>
    <cellStyle name="Normal 4 2 3 4 3 2 2 3 2" xfId="31147"/>
    <cellStyle name="Normal 4 2 3 4 3 2 2 4" xfId="31148"/>
    <cellStyle name="Normal 4 2 3 4 3 2 3" xfId="31149"/>
    <cellStyle name="Normal 4 2 3 4 3 2 3 2" xfId="31150"/>
    <cellStyle name="Normal 4 2 3 4 3 2 3 2 2" xfId="31151"/>
    <cellStyle name="Normal 4 2 3 4 3 2 3 3" xfId="31152"/>
    <cellStyle name="Normal 4 2 3 4 3 2 4" xfId="31153"/>
    <cellStyle name="Normal 4 2 3 4 3 2 4 2" xfId="31154"/>
    <cellStyle name="Normal 4 2 3 4 3 2 5" xfId="31155"/>
    <cellStyle name="Normal 4 2 3 4 3 3" xfId="3580"/>
    <cellStyle name="Normal 4 2 3 4 3 3 2" xfId="31156"/>
    <cellStyle name="Normal 4 2 3 4 3 3 2 2" xfId="31157"/>
    <cellStyle name="Normal 4 2 3 4 3 3 2 2 2" xfId="31158"/>
    <cellStyle name="Normal 4 2 3 4 3 3 2 3" xfId="31159"/>
    <cellStyle name="Normal 4 2 3 4 3 3 3" xfId="31160"/>
    <cellStyle name="Normal 4 2 3 4 3 3 3 2" xfId="31161"/>
    <cellStyle name="Normal 4 2 3 4 3 3 4" xfId="31162"/>
    <cellStyle name="Normal 4 2 3 4 3 4" xfId="31163"/>
    <cellStyle name="Normal 4 2 3 4 3 4 2" xfId="31164"/>
    <cellStyle name="Normal 4 2 3 4 3 4 2 2" xfId="31165"/>
    <cellStyle name="Normal 4 2 3 4 3 4 3" xfId="31166"/>
    <cellStyle name="Normal 4 2 3 4 3 5" xfId="31167"/>
    <cellStyle name="Normal 4 2 3 4 3 5 2" xfId="31168"/>
    <cellStyle name="Normal 4 2 3 4 3 6" xfId="31169"/>
    <cellStyle name="Normal 4 2 3 4 4" xfId="1540"/>
    <cellStyle name="Normal 4 2 3 4 4 2" xfId="4260"/>
    <cellStyle name="Normal 4 2 3 4 4 2 2" xfId="31170"/>
    <cellStyle name="Normal 4 2 3 4 4 2 2 2" xfId="31171"/>
    <cellStyle name="Normal 4 2 3 4 4 2 2 2 2" xfId="31172"/>
    <cellStyle name="Normal 4 2 3 4 4 2 2 3" xfId="31173"/>
    <cellStyle name="Normal 4 2 3 4 4 2 3" xfId="31174"/>
    <cellStyle name="Normal 4 2 3 4 4 2 3 2" xfId="31175"/>
    <cellStyle name="Normal 4 2 3 4 4 2 4" xfId="31176"/>
    <cellStyle name="Normal 4 2 3 4 4 3" xfId="31177"/>
    <cellStyle name="Normal 4 2 3 4 4 3 2" xfId="31178"/>
    <cellStyle name="Normal 4 2 3 4 4 3 2 2" xfId="31179"/>
    <cellStyle name="Normal 4 2 3 4 4 3 3" xfId="31180"/>
    <cellStyle name="Normal 4 2 3 4 4 4" xfId="31181"/>
    <cellStyle name="Normal 4 2 3 4 4 4 2" xfId="31182"/>
    <cellStyle name="Normal 4 2 3 4 4 5" xfId="31183"/>
    <cellStyle name="Normal 4 2 3 4 5" xfId="2900"/>
    <cellStyle name="Normal 4 2 3 4 5 2" xfId="31184"/>
    <cellStyle name="Normal 4 2 3 4 5 2 2" xfId="31185"/>
    <cellStyle name="Normal 4 2 3 4 5 2 2 2" xfId="31186"/>
    <cellStyle name="Normal 4 2 3 4 5 2 3" xfId="31187"/>
    <cellStyle name="Normal 4 2 3 4 5 3" xfId="31188"/>
    <cellStyle name="Normal 4 2 3 4 5 3 2" xfId="31189"/>
    <cellStyle name="Normal 4 2 3 4 5 4" xfId="31190"/>
    <cellStyle name="Normal 4 2 3 4 6" xfId="31191"/>
    <cellStyle name="Normal 4 2 3 4 6 2" xfId="31192"/>
    <cellStyle name="Normal 4 2 3 4 6 2 2" xfId="31193"/>
    <cellStyle name="Normal 4 2 3 4 6 3" xfId="31194"/>
    <cellStyle name="Normal 4 2 3 4 7" xfId="31195"/>
    <cellStyle name="Normal 4 2 3 4 7 2" xfId="31196"/>
    <cellStyle name="Normal 4 2 3 4 8" xfId="31197"/>
    <cellStyle name="Normal 4 2 3 5" xfId="316"/>
    <cellStyle name="Normal 4 2 3 5 2" xfId="996"/>
    <cellStyle name="Normal 4 2 3 5 2 2" xfId="2356"/>
    <cellStyle name="Normal 4 2 3 5 2 2 2" xfId="5076"/>
    <cellStyle name="Normal 4 2 3 5 2 2 2 2" xfId="31198"/>
    <cellStyle name="Normal 4 2 3 5 2 2 2 2 2" xfId="31199"/>
    <cellStyle name="Normal 4 2 3 5 2 2 2 2 2 2" xfId="31200"/>
    <cellStyle name="Normal 4 2 3 5 2 2 2 2 3" xfId="31201"/>
    <cellStyle name="Normal 4 2 3 5 2 2 2 3" xfId="31202"/>
    <cellStyle name="Normal 4 2 3 5 2 2 2 3 2" xfId="31203"/>
    <cellStyle name="Normal 4 2 3 5 2 2 2 4" xfId="31204"/>
    <cellStyle name="Normal 4 2 3 5 2 2 3" xfId="31205"/>
    <cellStyle name="Normal 4 2 3 5 2 2 3 2" xfId="31206"/>
    <cellStyle name="Normal 4 2 3 5 2 2 3 2 2" xfId="31207"/>
    <cellStyle name="Normal 4 2 3 5 2 2 3 3" xfId="31208"/>
    <cellStyle name="Normal 4 2 3 5 2 2 4" xfId="31209"/>
    <cellStyle name="Normal 4 2 3 5 2 2 4 2" xfId="31210"/>
    <cellStyle name="Normal 4 2 3 5 2 2 5" xfId="31211"/>
    <cellStyle name="Normal 4 2 3 5 2 3" xfId="3716"/>
    <cellStyle name="Normal 4 2 3 5 2 3 2" xfId="31212"/>
    <cellStyle name="Normal 4 2 3 5 2 3 2 2" xfId="31213"/>
    <cellStyle name="Normal 4 2 3 5 2 3 2 2 2" xfId="31214"/>
    <cellStyle name="Normal 4 2 3 5 2 3 2 3" xfId="31215"/>
    <cellStyle name="Normal 4 2 3 5 2 3 3" xfId="31216"/>
    <cellStyle name="Normal 4 2 3 5 2 3 3 2" xfId="31217"/>
    <cellStyle name="Normal 4 2 3 5 2 3 4" xfId="31218"/>
    <cellStyle name="Normal 4 2 3 5 2 4" xfId="31219"/>
    <cellStyle name="Normal 4 2 3 5 2 4 2" xfId="31220"/>
    <cellStyle name="Normal 4 2 3 5 2 4 2 2" xfId="31221"/>
    <cellStyle name="Normal 4 2 3 5 2 4 3" xfId="31222"/>
    <cellStyle name="Normal 4 2 3 5 2 5" xfId="31223"/>
    <cellStyle name="Normal 4 2 3 5 2 5 2" xfId="31224"/>
    <cellStyle name="Normal 4 2 3 5 2 6" xfId="31225"/>
    <cellStyle name="Normal 4 2 3 5 3" xfId="1676"/>
    <cellStyle name="Normal 4 2 3 5 3 2" xfId="4396"/>
    <cellStyle name="Normal 4 2 3 5 3 2 2" xfId="31226"/>
    <cellStyle name="Normal 4 2 3 5 3 2 2 2" xfId="31227"/>
    <cellStyle name="Normal 4 2 3 5 3 2 2 2 2" xfId="31228"/>
    <cellStyle name="Normal 4 2 3 5 3 2 2 3" xfId="31229"/>
    <cellStyle name="Normal 4 2 3 5 3 2 3" xfId="31230"/>
    <cellStyle name="Normal 4 2 3 5 3 2 3 2" xfId="31231"/>
    <cellStyle name="Normal 4 2 3 5 3 2 4" xfId="31232"/>
    <cellStyle name="Normal 4 2 3 5 3 3" xfId="31233"/>
    <cellStyle name="Normal 4 2 3 5 3 3 2" xfId="31234"/>
    <cellStyle name="Normal 4 2 3 5 3 3 2 2" xfId="31235"/>
    <cellStyle name="Normal 4 2 3 5 3 3 3" xfId="31236"/>
    <cellStyle name="Normal 4 2 3 5 3 4" xfId="31237"/>
    <cellStyle name="Normal 4 2 3 5 3 4 2" xfId="31238"/>
    <cellStyle name="Normal 4 2 3 5 3 5" xfId="31239"/>
    <cellStyle name="Normal 4 2 3 5 4" xfId="3036"/>
    <cellStyle name="Normal 4 2 3 5 4 2" xfId="31240"/>
    <cellStyle name="Normal 4 2 3 5 4 2 2" xfId="31241"/>
    <cellStyle name="Normal 4 2 3 5 4 2 2 2" xfId="31242"/>
    <cellStyle name="Normal 4 2 3 5 4 2 3" xfId="31243"/>
    <cellStyle name="Normal 4 2 3 5 4 3" xfId="31244"/>
    <cellStyle name="Normal 4 2 3 5 4 3 2" xfId="31245"/>
    <cellStyle name="Normal 4 2 3 5 4 4" xfId="31246"/>
    <cellStyle name="Normal 4 2 3 5 5" xfId="31247"/>
    <cellStyle name="Normal 4 2 3 5 5 2" xfId="31248"/>
    <cellStyle name="Normal 4 2 3 5 5 2 2" xfId="31249"/>
    <cellStyle name="Normal 4 2 3 5 5 3" xfId="31250"/>
    <cellStyle name="Normal 4 2 3 5 6" xfId="31251"/>
    <cellStyle name="Normal 4 2 3 5 6 2" xfId="31252"/>
    <cellStyle name="Normal 4 2 3 5 7" xfId="31253"/>
    <cellStyle name="Normal 4 2 3 6" xfId="588"/>
    <cellStyle name="Normal 4 2 3 6 2" xfId="1268"/>
    <cellStyle name="Normal 4 2 3 6 2 2" xfId="2628"/>
    <cellStyle name="Normal 4 2 3 6 2 2 2" xfId="5348"/>
    <cellStyle name="Normal 4 2 3 6 2 2 2 2" xfId="31254"/>
    <cellStyle name="Normal 4 2 3 6 2 2 2 2 2" xfId="31255"/>
    <cellStyle name="Normal 4 2 3 6 2 2 2 2 2 2" xfId="31256"/>
    <cellStyle name="Normal 4 2 3 6 2 2 2 2 3" xfId="31257"/>
    <cellStyle name="Normal 4 2 3 6 2 2 2 3" xfId="31258"/>
    <cellStyle name="Normal 4 2 3 6 2 2 2 3 2" xfId="31259"/>
    <cellStyle name="Normal 4 2 3 6 2 2 2 4" xfId="31260"/>
    <cellStyle name="Normal 4 2 3 6 2 2 3" xfId="31261"/>
    <cellStyle name="Normal 4 2 3 6 2 2 3 2" xfId="31262"/>
    <cellStyle name="Normal 4 2 3 6 2 2 3 2 2" xfId="31263"/>
    <cellStyle name="Normal 4 2 3 6 2 2 3 3" xfId="31264"/>
    <cellStyle name="Normal 4 2 3 6 2 2 4" xfId="31265"/>
    <cellStyle name="Normal 4 2 3 6 2 2 4 2" xfId="31266"/>
    <cellStyle name="Normal 4 2 3 6 2 2 5" xfId="31267"/>
    <cellStyle name="Normal 4 2 3 6 2 3" xfId="3988"/>
    <cellStyle name="Normal 4 2 3 6 2 3 2" xfId="31268"/>
    <cellStyle name="Normal 4 2 3 6 2 3 2 2" xfId="31269"/>
    <cellStyle name="Normal 4 2 3 6 2 3 2 2 2" xfId="31270"/>
    <cellStyle name="Normal 4 2 3 6 2 3 2 3" xfId="31271"/>
    <cellStyle name="Normal 4 2 3 6 2 3 3" xfId="31272"/>
    <cellStyle name="Normal 4 2 3 6 2 3 3 2" xfId="31273"/>
    <cellStyle name="Normal 4 2 3 6 2 3 4" xfId="31274"/>
    <cellStyle name="Normal 4 2 3 6 2 4" xfId="31275"/>
    <cellStyle name="Normal 4 2 3 6 2 4 2" xfId="31276"/>
    <cellStyle name="Normal 4 2 3 6 2 4 2 2" xfId="31277"/>
    <cellStyle name="Normal 4 2 3 6 2 4 3" xfId="31278"/>
    <cellStyle name="Normal 4 2 3 6 2 5" xfId="31279"/>
    <cellStyle name="Normal 4 2 3 6 2 5 2" xfId="31280"/>
    <cellStyle name="Normal 4 2 3 6 2 6" xfId="31281"/>
    <cellStyle name="Normal 4 2 3 6 3" xfId="1948"/>
    <cellStyle name="Normal 4 2 3 6 3 2" xfId="4668"/>
    <cellStyle name="Normal 4 2 3 6 3 2 2" xfId="31282"/>
    <cellStyle name="Normal 4 2 3 6 3 2 2 2" xfId="31283"/>
    <cellStyle name="Normal 4 2 3 6 3 2 2 2 2" xfId="31284"/>
    <cellStyle name="Normal 4 2 3 6 3 2 2 3" xfId="31285"/>
    <cellStyle name="Normal 4 2 3 6 3 2 3" xfId="31286"/>
    <cellStyle name="Normal 4 2 3 6 3 2 3 2" xfId="31287"/>
    <cellStyle name="Normal 4 2 3 6 3 2 4" xfId="31288"/>
    <cellStyle name="Normal 4 2 3 6 3 3" xfId="31289"/>
    <cellStyle name="Normal 4 2 3 6 3 3 2" xfId="31290"/>
    <cellStyle name="Normal 4 2 3 6 3 3 2 2" xfId="31291"/>
    <cellStyle name="Normal 4 2 3 6 3 3 3" xfId="31292"/>
    <cellStyle name="Normal 4 2 3 6 3 4" xfId="31293"/>
    <cellStyle name="Normal 4 2 3 6 3 4 2" xfId="31294"/>
    <cellStyle name="Normal 4 2 3 6 3 5" xfId="31295"/>
    <cellStyle name="Normal 4 2 3 6 4" xfId="3308"/>
    <cellStyle name="Normal 4 2 3 6 4 2" xfId="31296"/>
    <cellStyle name="Normal 4 2 3 6 4 2 2" xfId="31297"/>
    <cellStyle name="Normal 4 2 3 6 4 2 2 2" xfId="31298"/>
    <cellStyle name="Normal 4 2 3 6 4 2 3" xfId="31299"/>
    <cellStyle name="Normal 4 2 3 6 4 3" xfId="31300"/>
    <cellStyle name="Normal 4 2 3 6 4 3 2" xfId="31301"/>
    <cellStyle name="Normal 4 2 3 6 4 4" xfId="31302"/>
    <cellStyle name="Normal 4 2 3 6 5" xfId="31303"/>
    <cellStyle name="Normal 4 2 3 6 5 2" xfId="31304"/>
    <cellStyle name="Normal 4 2 3 6 5 2 2" xfId="31305"/>
    <cellStyle name="Normal 4 2 3 6 5 3" xfId="31306"/>
    <cellStyle name="Normal 4 2 3 6 6" xfId="31307"/>
    <cellStyle name="Normal 4 2 3 6 6 2" xfId="31308"/>
    <cellStyle name="Normal 4 2 3 6 7" xfId="31309"/>
    <cellStyle name="Normal 4 2 3 7" xfId="724"/>
    <cellStyle name="Normal 4 2 3 7 2" xfId="2084"/>
    <cellStyle name="Normal 4 2 3 7 2 2" xfId="4804"/>
    <cellStyle name="Normal 4 2 3 7 2 2 2" xfId="31310"/>
    <cellStyle name="Normal 4 2 3 7 2 2 2 2" xfId="31311"/>
    <cellStyle name="Normal 4 2 3 7 2 2 2 2 2" xfId="31312"/>
    <cellStyle name="Normal 4 2 3 7 2 2 2 3" xfId="31313"/>
    <cellStyle name="Normal 4 2 3 7 2 2 3" xfId="31314"/>
    <cellStyle name="Normal 4 2 3 7 2 2 3 2" xfId="31315"/>
    <cellStyle name="Normal 4 2 3 7 2 2 4" xfId="31316"/>
    <cellStyle name="Normal 4 2 3 7 2 3" xfId="31317"/>
    <cellStyle name="Normal 4 2 3 7 2 3 2" xfId="31318"/>
    <cellStyle name="Normal 4 2 3 7 2 3 2 2" xfId="31319"/>
    <cellStyle name="Normal 4 2 3 7 2 3 3" xfId="31320"/>
    <cellStyle name="Normal 4 2 3 7 2 4" xfId="31321"/>
    <cellStyle name="Normal 4 2 3 7 2 4 2" xfId="31322"/>
    <cellStyle name="Normal 4 2 3 7 2 5" xfId="31323"/>
    <cellStyle name="Normal 4 2 3 7 3" xfId="3444"/>
    <cellStyle name="Normal 4 2 3 7 3 2" xfId="31324"/>
    <cellStyle name="Normal 4 2 3 7 3 2 2" xfId="31325"/>
    <cellStyle name="Normal 4 2 3 7 3 2 2 2" xfId="31326"/>
    <cellStyle name="Normal 4 2 3 7 3 2 3" xfId="31327"/>
    <cellStyle name="Normal 4 2 3 7 3 3" xfId="31328"/>
    <cellStyle name="Normal 4 2 3 7 3 3 2" xfId="31329"/>
    <cellStyle name="Normal 4 2 3 7 3 4" xfId="31330"/>
    <cellStyle name="Normal 4 2 3 7 4" xfId="31331"/>
    <cellStyle name="Normal 4 2 3 7 4 2" xfId="31332"/>
    <cellStyle name="Normal 4 2 3 7 4 2 2" xfId="31333"/>
    <cellStyle name="Normal 4 2 3 7 4 3" xfId="31334"/>
    <cellStyle name="Normal 4 2 3 7 5" xfId="31335"/>
    <cellStyle name="Normal 4 2 3 7 5 2" xfId="31336"/>
    <cellStyle name="Normal 4 2 3 7 6" xfId="31337"/>
    <cellStyle name="Normal 4 2 3 8" xfId="1404"/>
    <cellStyle name="Normal 4 2 3 8 2" xfId="4124"/>
    <cellStyle name="Normal 4 2 3 8 2 2" xfId="31338"/>
    <cellStyle name="Normal 4 2 3 8 2 2 2" xfId="31339"/>
    <cellStyle name="Normal 4 2 3 8 2 2 2 2" xfId="31340"/>
    <cellStyle name="Normal 4 2 3 8 2 2 3" xfId="31341"/>
    <cellStyle name="Normal 4 2 3 8 2 3" xfId="31342"/>
    <cellStyle name="Normal 4 2 3 8 2 3 2" xfId="31343"/>
    <cellStyle name="Normal 4 2 3 8 2 4" xfId="31344"/>
    <cellStyle name="Normal 4 2 3 8 3" xfId="31345"/>
    <cellStyle name="Normal 4 2 3 8 3 2" xfId="31346"/>
    <cellStyle name="Normal 4 2 3 8 3 2 2" xfId="31347"/>
    <cellStyle name="Normal 4 2 3 8 3 3" xfId="31348"/>
    <cellStyle name="Normal 4 2 3 8 4" xfId="31349"/>
    <cellStyle name="Normal 4 2 3 8 4 2" xfId="31350"/>
    <cellStyle name="Normal 4 2 3 8 5" xfId="31351"/>
    <cellStyle name="Normal 4 2 3 9" xfId="2764"/>
    <cellStyle name="Normal 4 2 3 9 2" xfId="31352"/>
    <cellStyle name="Normal 4 2 3 9 2 2" xfId="31353"/>
    <cellStyle name="Normal 4 2 3 9 2 2 2" xfId="31354"/>
    <cellStyle name="Normal 4 2 3 9 2 3" xfId="31355"/>
    <cellStyle name="Normal 4 2 3 9 3" xfId="31356"/>
    <cellStyle name="Normal 4 2 3 9 3 2" xfId="31357"/>
    <cellStyle name="Normal 4 2 3 9 4" xfId="31358"/>
    <cellStyle name="Normal 4 2 4" xfId="60"/>
    <cellStyle name="Normal 4 2 4 10" xfId="31359"/>
    <cellStyle name="Normal 4 2 4 10 2" xfId="31360"/>
    <cellStyle name="Normal 4 2 4 11" xfId="31361"/>
    <cellStyle name="Normal 4 2 4 2" xfId="128"/>
    <cellStyle name="Normal 4 2 4 2 10" xfId="31362"/>
    <cellStyle name="Normal 4 2 4 2 2" xfId="265"/>
    <cellStyle name="Normal 4 2 4 2 2 2" xfId="537"/>
    <cellStyle name="Normal 4 2 4 2 2 2 2" xfId="1217"/>
    <cellStyle name="Normal 4 2 4 2 2 2 2 2" xfId="2577"/>
    <cellStyle name="Normal 4 2 4 2 2 2 2 2 2" xfId="5297"/>
    <cellStyle name="Normal 4 2 4 2 2 2 2 2 2 2" xfId="31363"/>
    <cellStyle name="Normal 4 2 4 2 2 2 2 2 2 2 2" xfId="31364"/>
    <cellStyle name="Normal 4 2 4 2 2 2 2 2 2 2 2 2" xfId="31365"/>
    <cellStyle name="Normal 4 2 4 2 2 2 2 2 2 2 3" xfId="31366"/>
    <cellStyle name="Normal 4 2 4 2 2 2 2 2 2 3" xfId="31367"/>
    <cellStyle name="Normal 4 2 4 2 2 2 2 2 2 3 2" xfId="31368"/>
    <cellStyle name="Normal 4 2 4 2 2 2 2 2 2 4" xfId="31369"/>
    <cellStyle name="Normal 4 2 4 2 2 2 2 2 3" xfId="31370"/>
    <cellStyle name="Normal 4 2 4 2 2 2 2 2 3 2" xfId="31371"/>
    <cellStyle name="Normal 4 2 4 2 2 2 2 2 3 2 2" xfId="31372"/>
    <cellStyle name="Normal 4 2 4 2 2 2 2 2 3 3" xfId="31373"/>
    <cellStyle name="Normal 4 2 4 2 2 2 2 2 4" xfId="31374"/>
    <cellStyle name="Normal 4 2 4 2 2 2 2 2 4 2" xfId="31375"/>
    <cellStyle name="Normal 4 2 4 2 2 2 2 2 5" xfId="31376"/>
    <cellStyle name="Normal 4 2 4 2 2 2 2 3" xfId="3937"/>
    <cellStyle name="Normal 4 2 4 2 2 2 2 3 2" xfId="31377"/>
    <cellStyle name="Normal 4 2 4 2 2 2 2 3 2 2" xfId="31378"/>
    <cellStyle name="Normal 4 2 4 2 2 2 2 3 2 2 2" xfId="31379"/>
    <cellStyle name="Normal 4 2 4 2 2 2 2 3 2 3" xfId="31380"/>
    <cellStyle name="Normal 4 2 4 2 2 2 2 3 3" xfId="31381"/>
    <cellStyle name="Normal 4 2 4 2 2 2 2 3 3 2" xfId="31382"/>
    <cellStyle name="Normal 4 2 4 2 2 2 2 3 4" xfId="31383"/>
    <cellStyle name="Normal 4 2 4 2 2 2 2 4" xfId="31384"/>
    <cellStyle name="Normal 4 2 4 2 2 2 2 4 2" xfId="31385"/>
    <cellStyle name="Normal 4 2 4 2 2 2 2 4 2 2" xfId="31386"/>
    <cellStyle name="Normal 4 2 4 2 2 2 2 4 3" xfId="31387"/>
    <cellStyle name="Normal 4 2 4 2 2 2 2 5" xfId="31388"/>
    <cellStyle name="Normal 4 2 4 2 2 2 2 5 2" xfId="31389"/>
    <cellStyle name="Normal 4 2 4 2 2 2 2 6" xfId="31390"/>
    <cellStyle name="Normal 4 2 4 2 2 2 3" xfId="1897"/>
    <cellStyle name="Normal 4 2 4 2 2 2 3 2" xfId="4617"/>
    <cellStyle name="Normal 4 2 4 2 2 2 3 2 2" xfId="31391"/>
    <cellStyle name="Normal 4 2 4 2 2 2 3 2 2 2" xfId="31392"/>
    <cellStyle name="Normal 4 2 4 2 2 2 3 2 2 2 2" xfId="31393"/>
    <cellStyle name="Normal 4 2 4 2 2 2 3 2 2 3" xfId="31394"/>
    <cellStyle name="Normal 4 2 4 2 2 2 3 2 3" xfId="31395"/>
    <cellStyle name="Normal 4 2 4 2 2 2 3 2 3 2" xfId="31396"/>
    <cellStyle name="Normal 4 2 4 2 2 2 3 2 4" xfId="31397"/>
    <cellStyle name="Normal 4 2 4 2 2 2 3 3" xfId="31398"/>
    <cellStyle name="Normal 4 2 4 2 2 2 3 3 2" xfId="31399"/>
    <cellStyle name="Normal 4 2 4 2 2 2 3 3 2 2" xfId="31400"/>
    <cellStyle name="Normal 4 2 4 2 2 2 3 3 3" xfId="31401"/>
    <cellStyle name="Normal 4 2 4 2 2 2 3 4" xfId="31402"/>
    <cellStyle name="Normal 4 2 4 2 2 2 3 4 2" xfId="31403"/>
    <cellStyle name="Normal 4 2 4 2 2 2 3 5" xfId="31404"/>
    <cellStyle name="Normal 4 2 4 2 2 2 4" xfId="3257"/>
    <cellStyle name="Normal 4 2 4 2 2 2 4 2" xfId="31405"/>
    <cellStyle name="Normal 4 2 4 2 2 2 4 2 2" xfId="31406"/>
    <cellStyle name="Normal 4 2 4 2 2 2 4 2 2 2" xfId="31407"/>
    <cellStyle name="Normal 4 2 4 2 2 2 4 2 3" xfId="31408"/>
    <cellStyle name="Normal 4 2 4 2 2 2 4 3" xfId="31409"/>
    <cellStyle name="Normal 4 2 4 2 2 2 4 3 2" xfId="31410"/>
    <cellStyle name="Normal 4 2 4 2 2 2 4 4" xfId="31411"/>
    <cellStyle name="Normal 4 2 4 2 2 2 5" xfId="31412"/>
    <cellStyle name="Normal 4 2 4 2 2 2 5 2" xfId="31413"/>
    <cellStyle name="Normal 4 2 4 2 2 2 5 2 2" xfId="31414"/>
    <cellStyle name="Normal 4 2 4 2 2 2 5 3" xfId="31415"/>
    <cellStyle name="Normal 4 2 4 2 2 2 6" xfId="31416"/>
    <cellStyle name="Normal 4 2 4 2 2 2 6 2" xfId="31417"/>
    <cellStyle name="Normal 4 2 4 2 2 2 7" xfId="31418"/>
    <cellStyle name="Normal 4 2 4 2 2 3" xfId="945"/>
    <cellStyle name="Normal 4 2 4 2 2 3 2" xfId="2305"/>
    <cellStyle name="Normal 4 2 4 2 2 3 2 2" xfId="5025"/>
    <cellStyle name="Normal 4 2 4 2 2 3 2 2 2" xfId="31419"/>
    <cellStyle name="Normal 4 2 4 2 2 3 2 2 2 2" xfId="31420"/>
    <cellStyle name="Normal 4 2 4 2 2 3 2 2 2 2 2" xfId="31421"/>
    <cellStyle name="Normal 4 2 4 2 2 3 2 2 2 3" xfId="31422"/>
    <cellStyle name="Normal 4 2 4 2 2 3 2 2 3" xfId="31423"/>
    <cellStyle name="Normal 4 2 4 2 2 3 2 2 3 2" xfId="31424"/>
    <cellStyle name="Normal 4 2 4 2 2 3 2 2 4" xfId="31425"/>
    <cellStyle name="Normal 4 2 4 2 2 3 2 3" xfId="31426"/>
    <cellStyle name="Normal 4 2 4 2 2 3 2 3 2" xfId="31427"/>
    <cellStyle name="Normal 4 2 4 2 2 3 2 3 2 2" xfId="31428"/>
    <cellStyle name="Normal 4 2 4 2 2 3 2 3 3" xfId="31429"/>
    <cellStyle name="Normal 4 2 4 2 2 3 2 4" xfId="31430"/>
    <cellStyle name="Normal 4 2 4 2 2 3 2 4 2" xfId="31431"/>
    <cellStyle name="Normal 4 2 4 2 2 3 2 5" xfId="31432"/>
    <cellStyle name="Normal 4 2 4 2 2 3 3" xfId="3665"/>
    <cellStyle name="Normal 4 2 4 2 2 3 3 2" xfId="31433"/>
    <cellStyle name="Normal 4 2 4 2 2 3 3 2 2" xfId="31434"/>
    <cellStyle name="Normal 4 2 4 2 2 3 3 2 2 2" xfId="31435"/>
    <cellStyle name="Normal 4 2 4 2 2 3 3 2 3" xfId="31436"/>
    <cellStyle name="Normal 4 2 4 2 2 3 3 3" xfId="31437"/>
    <cellStyle name="Normal 4 2 4 2 2 3 3 3 2" xfId="31438"/>
    <cellStyle name="Normal 4 2 4 2 2 3 3 4" xfId="31439"/>
    <cellStyle name="Normal 4 2 4 2 2 3 4" xfId="31440"/>
    <cellStyle name="Normal 4 2 4 2 2 3 4 2" xfId="31441"/>
    <cellStyle name="Normal 4 2 4 2 2 3 4 2 2" xfId="31442"/>
    <cellStyle name="Normal 4 2 4 2 2 3 4 3" xfId="31443"/>
    <cellStyle name="Normal 4 2 4 2 2 3 5" xfId="31444"/>
    <cellStyle name="Normal 4 2 4 2 2 3 5 2" xfId="31445"/>
    <cellStyle name="Normal 4 2 4 2 2 3 6" xfId="31446"/>
    <cellStyle name="Normal 4 2 4 2 2 4" xfId="1625"/>
    <cellStyle name="Normal 4 2 4 2 2 4 2" xfId="4345"/>
    <cellStyle name="Normal 4 2 4 2 2 4 2 2" xfId="31447"/>
    <cellStyle name="Normal 4 2 4 2 2 4 2 2 2" xfId="31448"/>
    <cellStyle name="Normal 4 2 4 2 2 4 2 2 2 2" xfId="31449"/>
    <cellStyle name="Normal 4 2 4 2 2 4 2 2 3" xfId="31450"/>
    <cellStyle name="Normal 4 2 4 2 2 4 2 3" xfId="31451"/>
    <cellStyle name="Normal 4 2 4 2 2 4 2 3 2" xfId="31452"/>
    <cellStyle name="Normal 4 2 4 2 2 4 2 4" xfId="31453"/>
    <cellStyle name="Normal 4 2 4 2 2 4 3" xfId="31454"/>
    <cellStyle name="Normal 4 2 4 2 2 4 3 2" xfId="31455"/>
    <cellStyle name="Normal 4 2 4 2 2 4 3 2 2" xfId="31456"/>
    <cellStyle name="Normal 4 2 4 2 2 4 3 3" xfId="31457"/>
    <cellStyle name="Normal 4 2 4 2 2 4 4" xfId="31458"/>
    <cellStyle name="Normal 4 2 4 2 2 4 4 2" xfId="31459"/>
    <cellStyle name="Normal 4 2 4 2 2 4 5" xfId="31460"/>
    <cellStyle name="Normal 4 2 4 2 2 5" xfId="2985"/>
    <cellStyle name="Normal 4 2 4 2 2 5 2" xfId="31461"/>
    <cellStyle name="Normal 4 2 4 2 2 5 2 2" xfId="31462"/>
    <cellStyle name="Normal 4 2 4 2 2 5 2 2 2" xfId="31463"/>
    <cellStyle name="Normal 4 2 4 2 2 5 2 3" xfId="31464"/>
    <cellStyle name="Normal 4 2 4 2 2 5 3" xfId="31465"/>
    <cellStyle name="Normal 4 2 4 2 2 5 3 2" xfId="31466"/>
    <cellStyle name="Normal 4 2 4 2 2 5 4" xfId="31467"/>
    <cellStyle name="Normal 4 2 4 2 2 6" xfId="31468"/>
    <cellStyle name="Normal 4 2 4 2 2 6 2" xfId="31469"/>
    <cellStyle name="Normal 4 2 4 2 2 6 2 2" xfId="31470"/>
    <cellStyle name="Normal 4 2 4 2 2 6 3" xfId="31471"/>
    <cellStyle name="Normal 4 2 4 2 2 7" xfId="31472"/>
    <cellStyle name="Normal 4 2 4 2 2 7 2" xfId="31473"/>
    <cellStyle name="Normal 4 2 4 2 2 8" xfId="31474"/>
    <cellStyle name="Normal 4 2 4 2 3" xfId="401"/>
    <cellStyle name="Normal 4 2 4 2 3 2" xfId="1081"/>
    <cellStyle name="Normal 4 2 4 2 3 2 2" xfId="2441"/>
    <cellStyle name="Normal 4 2 4 2 3 2 2 2" xfId="5161"/>
    <cellStyle name="Normal 4 2 4 2 3 2 2 2 2" xfId="31475"/>
    <cellStyle name="Normal 4 2 4 2 3 2 2 2 2 2" xfId="31476"/>
    <cellStyle name="Normal 4 2 4 2 3 2 2 2 2 2 2" xfId="31477"/>
    <cellStyle name="Normal 4 2 4 2 3 2 2 2 2 3" xfId="31478"/>
    <cellStyle name="Normal 4 2 4 2 3 2 2 2 3" xfId="31479"/>
    <cellStyle name="Normal 4 2 4 2 3 2 2 2 3 2" xfId="31480"/>
    <cellStyle name="Normal 4 2 4 2 3 2 2 2 4" xfId="31481"/>
    <cellStyle name="Normal 4 2 4 2 3 2 2 3" xfId="31482"/>
    <cellStyle name="Normal 4 2 4 2 3 2 2 3 2" xfId="31483"/>
    <cellStyle name="Normal 4 2 4 2 3 2 2 3 2 2" xfId="31484"/>
    <cellStyle name="Normal 4 2 4 2 3 2 2 3 3" xfId="31485"/>
    <cellStyle name="Normal 4 2 4 2 3 2 2 4" xfId="31486"/>
    <cellStyle name="Normal 4 2 4 2 3 2 2 4 2" xfId="31487"/>
    <cellStyle name="Normal 4 2 4 2 3 2 2 5" xfId="31488"/>
    <cellStyle name="Normal 4 2 4 2 3 2 3" xfId="3801"/>
    <cellStyle name="Normal 4 2 4 2 3 2 3 2" xfId="31489"/>
    <cellStyle name="Normal 4 2 4 2 3 2 3 2 2" xfId="31490"/>
    <cellStyle name="Normal 4 2 4 2 3 2 3 2 2 2" xfId="31491"/>
    <cellStyle name="Normal 4 2 4 2 3 2 3 2 3" xfId="31492"/>
    <cellStyle name="Normal 4 2 4 2 3 2 3 3" xfId="31493"/>
    <cellStyle name="Normal 4 2 4 2 3 2 3 3 2" xfId="31494"/>
    <cellStyle name="Normal 4 2 4 2 3 2 3 4" xfId="31495"/>
    <cellStyle name="Normal 4 2 4 2 3 2 4" xfId="31496"/>
    <cellStyle name="Normal 4 2 4 2 3 2 4 2" xfId="31497"/>
    <cellStyle name="Normal 4 2 4 2 3 2 4 2 2" xfId="31498"/>
    <cellStyle name="Normal 4 2 4 2 3 2 4 3" xfId="31499"/>
    <cellStyle name="Normal 4 2 4 2 3 2 5" xfId="31500"/>
    <cellStyle name="Normal 4 2 4 2 3 2 5 2" xfId="31501"/>
    <cellStyle name="Normal 4 2 4 2 3 2 6" xfId="31502"/>
    <cellStyle name="Normal 4 2 4 2 3 3" xfId="1761"/>
    <cellStyle name="Normal 4 2 4 2 3 3 2" xfId="4481"/>
    <cellStyle name="Normal 4 2 4 2 3 3 2 2" xfId="31503"/>
    <cellStyle name="Normal 4 2 4 2 3 3 2 2 2" xfId="31504"/>
    <cellStyle name="Normal 4 2 4 2 3 3 2 2 2 2" xfId="31505"/>
    <cellStyle name="Normal 4 2 4 2 3 3 2 2 3" xfId="31506"/>
    <cellStyle name="Normal 4 2 4 2 3 3 2 3" xfId="31507"/>
    <cellStyle name="Normal 4 2 4 2 3 3 2 3 2" xfId="31508"/>
    <cellStyle name="Normal 4 2 4 2 3 3 2 4" xfId="31509"/>
    <cellStyle name="Normal 4 2 4 2 3 3 3" xfId="31510"/>
    <cellStyle name="Normal 4 2 4 2 3 3 3 2" xfId="31511"/>
    <cellStyle name="Normal 4 2 4 2 3 3 3 2 2" xfId="31512"/>
    <cellStyle name="Normal 4 2 4 2 3 3 3 3" xfId="31513"/>
    <cellStyle name="Normal 4 2 4 2 3 3 4" xfId="31514"/>
    <cellStyle name="Normal 4 2 4 2 3 3 4 2" xfId="31515"/>
    <cellStyle name="Normal 4 2 4 2 3 3 5" xfId="31516"/>
    <cellStyle name="Normal 4 2 4 2 3 4" xfId="3121"/>
    <cellStyle name="Normal 4 2 4 2 3 4 2" xfId="31517"/>
    <cellStyle name="Normal 4 2 4 2 3 4 2 2" xfId="31518"/>
    <cellStyle name="Normal 4 2 4 2 3 4 2 2 2" xfId="31519"/>
    <cellStyle name="Normal 4 2 4 2 3 4 2 3" xfId="31520"/>
    <cellStyle name="Normal 4 2 4 2 3 4 3" xfId="31521"/>
    <cellStyle name="Normal 4 2 4 2 3 4 3 2" xfId="31522"/>
    <cellStyle name="Normal 4 2 4 2 3 4 4" xfId="31523"/>
    <cellStyle name="Normal 4 2 4 2 3 5" xfId="31524"/>
    <cellStyle name="Normal 4 2 4 2 3 5 2" xfId="31525"/>
    <cellStyle name="Normal 4 2 4 2 3 5 2 2" xfId="31526"/>
    <cellStyle name="Normal 4 2 4 2 3 5 3" xfId="31527"/>
    <cellStyle name="Normal 4 2 4 2 3 6" xfId="31528"/>
    <cellStyle name="Normal 4 2 4 2 3 6 2" xfId="31529"/>
    <cellStyle name="Normal 4 2 4 2 3 7" xfId="31530"/>
    <cellStyle name="Normal 4 2 4 2 4" xfId="673"/>
    <cellStyle name="Normal 4 2 4 2 4 2" xfId="1353"/>
    <cellStyle name="Normal 4 2 4 2 4 2 2" xfId="2713"/>
    <cellStyle name="Normal 4 2 4 2 4 2 2 2" xfId="5433"/>
    <cellStyle name="Normal 4 2 4 2 4 2 2 2 2" xfId="31531"/>
    <cellStyle name="Normal 4 2 4 2 4 2 2 2 2 2" xfId="31532"/>
    <cellStyle name="Normal 4 2 4 2 4 2 2 2 2 2 2" xfId="31533"/>
    <cellStyle name="Normal 4 2 4 2 4 2 2 2 2 3" xfId="31534"/>
    <cellStyle name="Normal 4 2 4 2 4 2 2 2 3" xfId="31535"/>
    <cellStyle name="Normal 4 2 4 2 4 2 2 2 3 2" xfId="31536"/>
    <cellStyle name="Normal 4 2 4 2 4 2 2 2 4" xfId="31537"/>
    <cellStyle name="Normal 4 2 4 2 4 2 2 3" xfId="31538"/>
    <cellStyle name="Normal 4 2 4 2 4 2 2 3 2" xfId="31539"/>
    <cellStyle name="Normal 4 2 4 2 4 2 2 3 2 2" xfId="31540"/>
    <cellStyle name="Normal 4 2 4 2 4 2 2 3 3" xfId="31541"/>
    <cellStyle name="Normal 4 2 4 2 4 2 2 4" xfId="31542"/>
    <cellStyle name="Normal 4 2 4 2 4 2 2 4 2" xfId="31543"/>
    <cellStyle name="Normal 4 2 4 2 4 2 2 5" xfId="31544"/>
    <cellStyle name="Normal 4 2 4 2 4 2 3" xfId="4073"/>
    <cellStyle name="Normal 4 2 4 2 4 2 3 2" xfId="31545"/>
    <cellStyle name="Normal 4 2 4 2 4 2 3 2 2" xfId="31546"/>
    <cellStyle name="Normal 4 2 4 2 4 2 3 2 2 2" xfId="31547"/>
    <cellStyle name="Normal 4 2 4 2 4 2 3 2 3" xfId="31548"/>
    <cellStyle name="Normal 4 2 4 2 4 2 3 3" xfId="31549"/>
    <cellStyle name="Normal 4 2 4 2 4 2 3 3 2" xfId="31550"/>
    <cellStyle name="Normal 4 2 4 2 4 2 3 4" xfId="31551"/>
    <cellStyle name="Normal 4 2 4 2 4 2 4" xfId="31552"/>
    <cellStyle name="Normal 4 2 4 2 4 2 4 2" xfId="31553"/>
    <cellStyle name="Normal 4 2 4 2 4 2 4 2 2" xfId="31554"/>
    <cellStyle name="Normal 4 2 4 2 4 2 4 3" xfId="31555"/>
    <cellStyle name="Normal 4 2 4 2 4 2 5" xfId="31556"/>
    <cellStyle name="Normal 4 2 4 2 4 2 5 2" xfId="31557"/>
    <cellStyle name="Normal 4 2 4 2 4 2 6" xfId="31558"/>
    <cellStyle name="Normal 4 2 4 2 4 3" xfId="2033"/>
    <cellStyle name="Normal 4 2 4 2 4 3 2" xfId="4753"/>
    <cellStyle name="Normal 4 2 4 2 4 3 2 2" xfId="31559"/>
    <cellStyle name="Normal 4 2 4 2 4 3 2 2 2" xfId="31560"/>
    <cellStyle name="Normal 4 2 4 2 4 3 2 2 2 2" xfId="31561"/>
    <cellStyle name="Normal 4 2 4 2 4 3 2 2 3" xfId="31562"/>
    <cellStyle name="Normal 4 2 4 2 4 3 2 3" xfId="31563"/>
    <cellStyle name="Normal 4 2 4 2 4 3 2 3 2" xfId="31564"/>
    <cellStyle name="Normal 4 2 4 2 4 3 2 4" xfId="31565"/>
    <cellStyle name="Normal 4 2 4 2 4 3 3" xfId="31566"/>
    <cellStyle name="Normal 4 2 4 2 4 3 3 2" xfId="31567"/>
    <cellStyle name="Normal 4 2 4 2 4 3 3 2 2" xfId="31568"/>
    <cellStyle name="Normal 4 2 4 2 4 3 3 3" xfId="31569"/>
    <cellStyle name="Normal 4 2 4 2 4 3 4" xfId="31570"/>
    <cellStyle name="Normal 4 2 4 2 4 3 4 2" xfId="31571"/>
    <cellStyle name="Normal 4 2 4 2 4 3 5" xfId="31572"/>
    <cellStyle name="Normal 4 2 4 2 4 4" xfId="3393"/>
    <cellStyle name="Normal 4 2 4 2 4 4 2" xfId="31573"/>
    <cellStyle name="Normal 4 2 4 2 4 4 2 2" xfId="31574"/>
    <cellStyle name="Normal 4 2 4 2 4 4 2 2 2" xfId="31575"/>
    <cellStyle name="Normal 4 2 4 2 4 4 2 3" xfId="31576"/>
    <cellStyle name="Normal 4 2 4 2 4 4 3" xfId="31577"/>
    <cellStyle name="Normal 4 2 4 2 4 4 3 2" xfId="31578"/>
    <cellStyle name="Normal 4 2 4 2 4 4 4" xfId="31579"/>
    <cellStyle name="Normal 4 2 4 2 4 5" xfId="31580"/>
    <cellStyle name="Normal 4 2 4 2 4 5 2" xfId="31581"/>
    <cellStyle name="Normal 4 2 4 2 4 5 2 2" xfId="31582"/>
    <cellStyle name="Normal 4 2 4 2 4 5 3" xfId="31583"/>
    <cellStyle name="Normal 4 2 4 2 4 6" xfId="31584"/>
    <cellStyle name="Normal 4 2 4 2 4 6 2" xfId="31585"/>
    <cellStyle name="Normal 4 2 4 2 4 7" xfId="31586"/>
    <cellStyle name="Normal 4 2 4 2 5" xfId="809"/>
    <cellStyle name="Normal 4 2 4 2 5 2" xfId="2169"/>
    <cellStyle name="Normal 4 2 4 2 5 2 2" xfId="4889"/>
    <cellStyle name="Normal 4 2 4 2 5 2 2 2" xfId="31587"/>
    <cellStyle name="Normal 4 2 4 2 5 2 2 2 2" xfId="31588"/>
    <cellStyle name="Normal 4 2 4 2 5 2 2 2 2 2" xfId="31589"/>
    <cellStyle name="Normal 4 2 4 2 5 2 2 2 3" xfId="31590"/>
    <cellStyle name="Normal 4 2 4 2 5 2 2 3" xfId="31591"/>
    <cellStyle name="Normal 4 2 4 2 5 2 2 3 2" xfId="31592"/>
    <cellStyle name="Normal 4 2 4 2 5 2 2 4" xfId="31593"/>
    <cellStyle name="Normal 4 2 4 2 5 2 3" xfId="31594"/>
    <cellStyle name="Normal 4 2 4 2 5 2 3 2" xfId="31595"/>
    <cellStyle name="Normal 4 2 4 2 5 2 3 2 2" xfId="31596"/>
    <cellStyle name="Normal 4 2 4 2 5 2 3 3" xfId="31597"/>
    <cellStyle name="Normal 4 2 4 2 5 2 4" xfId="31598"/>
    <cellStyle name="Normal 4 2 4 2 5 2 4 2" xfId="31599"/>
    <cellStyle name="Normal 4 2 4 2 5 2 5" xfId="31600"/>
    <cellStyle name="Normal 4 2 4 2 5 3" xfId="3529"/>
    <cellStyle name="Normal 4 2 4 2 5 3 2" xfId="31601"/>
    <cellStyle name="Normal 4 2 4 2 5 3 2 2" xfId="31602"/>
    <cellStyle name="Normal 4 2 4 2 5 3 2 2 2" xfId="31603"/>
    <cellStyle name="Normal 4 2 4 2 5 3 2 3" xfId="31604"/>
    <cellStyle name="Normal 4 2 4 2 5 3 3" xfId="31605"/>
    <cellStyle name="Normal 4 2 4 2 5 3 3 2" xfId="31606"/>
    <cellStyle name="Normal 4 2 4 2 5 3 4" xfId="31607"/>
    <cellStyle name="Normal 4 2 4 2 5 4" xfId="31608"/>
    <cellStyle name="Normal 4 2 4 2 5 4 2" xfId="31609"/>
    <cellStyle name="Normal 4 2 4 2 5 4 2 2" xfId="31610"/>
    <cellStyle name="Normal 4 2 4 2 5 4 3" xfId="31611"/>
    <cellStyle name="Normal 4 2 4 2 5 5" xfId="31612"/>
    <cellStyle name="Normal 4 2 4 2 5 5 2" xfId="31613"/>
    <cellStyle name="Normal 4 2 4 2 5 6" xfId="31614"/>
    <cellStyle name="Normal 4 2 4 2 6" xfId="1489"/>
    <cellStyle name="Normal 4 2 4 2 6 2" xfId="4209"/>
    <cellStyle name="Normal 4 2 4 2 6 2 2" xfId="31615"/>
    <cellStyle name="Normal 4 2 4 2 6 2 2 2" xfId="31616"/>
    <cellStyle name="Normal 4 2 4 2 6 2 2 2 2" xfId="31617"/>
    <cellStyle name="Normal 4 2 4 2 6 2 2 3" xfId="31618"/>
    <cellStyle name="Normal 4 2 4 2 6 2 3" xfId="31619"/>
    <cellStyle name="Normal 4 2 4 2 6 2 3 2" xfId="31620"/>
    <cellStyle name="Normal 4 2 4 2 6 2 4" xfId="31621"/>
    <cellStyle name="Normal 4 2 4 2 6 3" xfId="31622"/>
    <cellStyle name="Normal 4 2 4 2 6 3 2" xfId="31623"/>
    <cellStyle name="Normal 4 2 4 2 6 3 2 2" xfId="31624"/>
    <cellStyle name="Normal 4 2 4 2 6 3 3" xfId="31625"/>
    <cellStyle name="Normal 4 2 4 2 6 4" xfId="31626"/>
    <cellStyle name="Normal 4 2 4 2 6 4 2" xfId="31627"/>
    <cellStyle name="Normal 4 2 4 2 6 5" xfId="31628"/>
    <cellStyle name="Normal 4 2 4 2 7" xfId="2849"/>
    <cellStyle name="Normal 4 2 4 2 7 2" xfId="31629"/>
    <cellStyle name="Normal 4 2 4 2 7 2 2" xfId="31630"/>
    <cellStyle name="Normal 4 2 4 2 7 2 2 2" xfId="31631"/>
    <cellStyle name="Normal 4 2 4 2 7 2 3" xfId="31632"/>
    <cellStyle name="Normal 4 2 4 2 7 3" xfId="31633"/>
    <cellStyle name="Normal 4 2 4 2 7 3 2" xfId="31634"/>
    <cellStyle name="Normal 4 2 4 2 7 4" xfId="31635"/>
    <cellStyle name="Normal 4 2 4 2 8" xfId="31636"/>
    <cellStyle name="Normal 4 2 4 2 8 2" xfId="31637"/>
    <cellStyle name="Normal 4 2 4 2 8 2 2" xfId="31638"/>
    <cellStyle name="Normal 4 2 4 2 8 3" xfId="31639"/>
    <cellStyle name="Normal 4 2 4 2 9" xfId="31640"/>
    <cellStyle name="Normal 4 2 4 2 9 2" xfId="31641"/>
    <cellStyle name="Normal 4 2 4 3" xfId="197"/>
    <cellStyle name="Normal 4 2 4 3 2" xfId="469"/>
    <cellStyle name="Normal 4 2 4 3 2 2" xfId="1149"/>
    <cellStyle name="Normal 4 2 4 3 2 2 2" xfId="2509"/>
    <cellStyle name="Normal 4 2 4 3 2 2 2 2" xfId="5229"/>
    <cellStyle name="Normal 4 2 4 3 2 2 2 2 2" xfId="31642"/>
    <cellStyle name="Normal 4 2 4 3 2 2 2 2 2 2" xfId="31643"/>
    <cellStyle name="Normal 4 2 4 3 2 2 2 2 2 2 2" xfId="31644"/>
    <cellStyle name="Normal 4 2 4 3 2 2 2 2 2 3" xfId="31645"/>
    <cellStyle name="Normal 4 2 4 3 2 2 2 2 3" xfId="31646"/>
    <cellStyle name="Normal 4 2 4 3 2 2 2 2 3 2" xfId="31647"/>
    <cellStyle name="Normal 4 2 4 3 2 2 2 2 4" xfId="31648"/>
    <cellStyle name="Normal 4 2 4 3 2 2 2 3" xfId="31649"/>
    <cellStyle name="Normal 4 2 4 3 2 2 2 3 2" xfId="31650"/>
    <cellStyle name="Normal 4 2 4 3 2 2 2 3 2 2" xfId="31651"/>
    <cellStyle name="Normal 4 2 4 3 2 2 2 3 3" xfId="31652"/>
    <cellStyle name="Normal 4 2 4 3 2 2 2 4" xfId="31653"/>
    <cellStyle name="Normal 4 2 4 3 2 2 2 4 2" xfId="31654"/>
    <cellStyle name="Normal 4 2 4 3 2 2 2 5" xfId="31655"/>
    <cellStyle name="Normal 4 2 4 3 2 2 3" xfId="3869"/>
    <cellStyle name="Normal 4 2 4 3 2 2 3 2" xfId="31656"/>
    <cellStyle name="Normal 4 2 4 3 2 2 3 2 2" xfId="31657"/>
    <cellStyle name="Normal 4 2 4 3 2 2 3 2 2 2" xfId="31658"/>
    <cellStyle name="Normal 4 2 4 3 2 2 3 2 3" xfId="31659"/>
    <cellStyle name="Normal 4 2 4 3 2 2 3 3" xfId="31660"/>
    <cellStyle name="Normal 4 2 4 3 2 2 3 3 2" xfId="31661"/>
    <cellStyle name="Normal 4 2 4 3 2 2 3 4" xfId="31662"/>
    <cellStyle name="Normal 4 2 4 3 2 2 4" xfId="31663"/>
    <cellStyle name="Normal 4 2 4 3 2 2 4 2" xfId="31664"/>
    <cellStyle name="Normal 4 2 4 3 2 2 4 2 2" xfId="31665"/>
    <cellStyle name="Normal 4 2 4 3 2 2 4 3" xfId="31666"/>
    <cellStyle name="Normal 4 2 4 3 2 2 5" xfId="31667"/>
    <cellStyle name="Normal 4 2 4 3 2 2 5 2" xfId="31668"/>
    <cellStyle name="Normal 4 2 4 3 2 2 6" xfId="31669"/>
    <cellStyle name="Normal 4 2 4 3 2 3" xfId="1829"/>
    <cellStyle name="Normal 4 2 4 3 2 3 2" xfId="4549"/>
    <cellStyle name="Normal 4 2 4 3 2 3 2 2" xfId="31670"/>
    <cellStyle name="Normal 4 2 4 3 2 3 2 2 2" xfId="31671"/>
    <cellStyle name="Normal 4 2 4 3 2 3 2 2 2 2" xfId="31672"/>
    <cellStyle name="Normal 4 2 4 3 2 3 2 2 3" xfId="31673"/>
    <cellStyle name="Normal 4 2 4 3 2 3 2 3" xfId="31674"/>
    <cellStyle name="Normal 4 2 4 3 2 3 2 3 2" xfId="31675"/>
    <cellStyle name="Normal 4 2 4 3 2 3 2 4" xfId="31676"/>
    <cellStyle name="Normal 4 2 4 3 2 3 3" xfId="31677"/>
    <cellStyle name="Normal 4 2 4 3 2 3 3 2" xfId="31678"/>
    <cellStyle name="Normal 4 2 4 3 2 3 3 2 2" xfId="31679"/>
    <cellStyle name="Normal 4 2 4 3 2 3 3 3" xfId="31680"/>
    <cellStyle name="Normal 4 2 4 3 2 3 4" xfId="31681"/>
    <cellStyle name="Normal 4 2 4 3 2 3 4 2" xfId="31682"/>
    <cellStyle name="Normal 4 2 4 3 2 3 5" xfId="31683"/>
    <cellStyle name="Normal 4 2 4 3 2 4" xfId="3189"/>
    <cellStyle name="Normal 4 2 4 3 2 4 2" xfId="31684"/>
    <cellStyle name="Normal 4 2 4 3 2 4 2 2" xfId="31685"/>
    <cellStyle name="Normal 4 2 4 3 2 4 2 2 2" xfId="31686"/>
    <cellStyle name="Normal 4 2 4 3 2 4 2 3" xfId="31687"/>
    <cellStyle name="Normal 4 2 4 3 2 4 3" xfId="31688"/>
    <cellStyle name="Normal 4 2 4 3 2 4 3 2" xfId="31689"/>
    <cellStyle name="Normal 4 2 4 3 2 4 4" xfId="31690"/>
    <cellStyle name="Normal 4 2 4 3 2 5" xfId="31691"/>
    <cellStyle name="Normal 4 2 4 3 2 5 2" xfId="31692"/>
    <cellStyle name="Normal 4 2 4 3 2 5 2 2" xfId="31693"/>
    <cellStyle name="Normal 4 2 4 3 2 5 3" xfId="31694"/>
    <cellStyle name="Normal 4 2 4 3 2 6" xfId="31695"/>
    <cellStyle name="Normal 4 2 4 3 2 6 2" xfId="31696"/>
    <cellStyle name="Normal 4 2 4 3 2 7" xfId="31697"/>
    <cellStyle name="Normal 4 2 4 3 3" xfId="877"/>
    <cellStyle name="Normal 4 2 4 3 3 2" xfId="2237"/>
    <cellStyle name="Normal 4 2 4 3 3 2 2" xfId="4957"/>
    <cellStyle name="Normal 4 2 4 3 3 2 2 2" xfId="31698"/>
    <cellStyle name="Normal 4 2 4 3 3 2 2 2 2" xfId="31699"/>
    <cellStyle name="Normal 4 2 4 3 3 2 2 2 2 2" xfId="31700"/>
    <cellStyle name="Normal 4 2 4 3 3 2 2 2 3" xfId="31701"/>
    <cellStyle name="Normal 4 2 4 3 3 2 2 3" xfId="31702"/>
    <cellStyle name="Normal 4 2 4 3 3 2 2 3 2" xfId="31703"/>
    <cellStyle name="Normal 4 2 4 3 3 2 2 4" xfId="31704"/>
    <cellStyle name="Normal 4 2 4 3 3 2 3" xfId="31705"/>
    <cellStyle name="Normal 4 2 4 3 3 2 3 2" xfId="31706"/>
    <cellStyle name="Normal 4 2 4 3 3 2 3 2 2" xfId="31707"/>
    <cellStyle name="Normal 4 2 4 3 3 2 3 3" xfId="31708"/>
    <cellStyle name="Normal 4 2 4 3 3 2 4" xfId="31709"/>
    <cellStyle name="Normal 4 2 4 3 3 2 4 2" xfId="31710"/>
    <cellStyle name="Normal 4 2 4 3 3 2 5" xfId="31711"/>
    <cellStyle name="Normal 4 2 4 3 3 3" xfId="3597"/>
    <cellStyle name="Normal 4 2 4 3 3 3 2" xfId="31712"/>
    <cellStyle name="Normal 4 2 4 3 3 3 2 2" xfId="31713"/>
    <cellStyle name="Normal 4 2 4 3 3 3 2 2 2" xfId="31714"/>
    <cellStyle name="Normal 4 2 4 3 3 3 2 3" xfId="31715"/>
    <cellStyle name="Normal 4 2 4 3 3 3 3" xfId="31716"/>
    <cellStyle name="Normal 4 2 4 3 3 3 3 2" xfId="31717"/>
    <cellStyle name="Normal 4 2 4 3 3 3 4" xfId="31718"/>
    <cellStyle name="Normal 4 2 4 3 3 4" xfId="31719"/>
    <cellStyle name="Normal 4 2 4 3 3 4 2" xfId="31720"/>
    <cellStyle name="Normal 4 2 4 3 3 4 2 2" xfId="31721"/>
    <cellStyle name="Normal 4 2 4 3 3 4 3" xfId="31722"/>
    <cellStyle name="Normal 4 2 4 3 3 5" xfId="31723"/>
    <cellStyle name="Normal 4 2 4 3 3 5 2" xfId="31724"/>
    <cellStyle name="Normal 4 2 4 3 3 6" xfId="31725"/>
    <cellStyle name="Normal 4 2 4 3 4" xfId="1557"/>
    <cellStyle name="Normal 4 2 4 3 4 2" xfId="4277"/>
    <cellStyle name="Normal 4 2 4 3 4 2 2" xfId="31726"/>
    <cellStyle name="Normal 4 2 4 3 4 2 2 2" xfId="31727"/>
    <cellStyle name="Normal 4 2 4 3 4 2 2 2 2" xfId="31728"/>
    <cellStyle name="Normal 4 2 4 3 4 2 2 3" xfId="31729"/>
    <cellStyle name="Normal 4 2 4 3 4 2 3" xfId="31730"/>
    <cellStyle name="Normal 4 2 4 3 4 2 3 2" xfId="31731"/>
    <cellStyle name="Normal 4 2 4 3 4 2 4" xfId="31732"/>
    <cellStyle name="Normal 4 2 4 3 4 3" xfId="31733"/>
    <cellStyle name="Normal 4 2 4 3 4 3 2" xfId="31734"/>
    <cellStyle name="Normal 4 2 4 3 4 3 2 2" xfId="31735"/>
    <cellStyle name="Normal 4 2 4 3 4 3 3" xfId="31736"/>
    <cellStyle name="Normal 4 2 4 3 4 4" xfId="31737"/>
    <cellStyle name="Normal 4 2 4 3 4 4 2" xfId="31738"/>
    <cellStyle name="Normal 4 2 4 3 4 5" xfId="31739"/>
    <cellStyle name="Normal 4 2 4 3 5" xfId="2917"/>
    <cellStyle name="Normal 4 2 4 3 5 2" xfId="31740"/>
    <cellStyle name="Normal 4 2 4 3 5 2 2" xfId="31741"/>
    <cellStyle name="Normal 4 2 4 3 5 2 2 2" xfId="31742"/>
    <cellStyle name="Normal 4 2 4 3 5 2 3" xfId="31743"/>
    <cellStyle name="Normal 4 2 4 3 5 3" xfId="31744"/>
    <cellStyle name="Normal 4 2 4 3 5 3 2" xfId="31745"/>
    <cellStyle name="Normal 4 2 4 3 5 4" xfId="31746"/>
    <cellStyle name="Normal 4 2 4 3 6" xfId="31747"/>
    <cellStyle name="Normal 4 2 4 3 6 2" xfId="31748"/>
    <cellStyle name="Normal 4 2 4 3 6 2 2" xfId="31749"/>
    <cellStyle name="Normal 4 2 4 3 6 3" xfId="31750"/>
    <cellStyle name="Normal 4 2 4 3 7" xfId="31751"/>
    <cellStyle name="Normal 4 2 4 3 7 2" xfId="31752"/>
    <cellStyle name="Normal 4 2 4 3 8" xfId="31753"/>
    <cellStyle name="Normal 4 2 4 4" xfId="333"/>
    <cellStyle name="Normal 4 2 4 4 2" xfId="1013"/>
    <cellStyle name="Normal 4 2 4 4 2 2" xfId="2373"/>
    <cellStyle name="Normal 4 2 4 4 2 2 2" xfId="5093"/>
    <cellStyle name="Normal 4 2 4 4 2 2 2 2" xfId="31754"/>
    <cellStyle name="Normal 4 2 4 4 2 2 2 2 2" xfId="31755"/>
    <cellStyle name="Normal 4 2 4 4 2 2 2 2 2 2" xfId="31756"/>
    <cellStyle name="Normal 4 2 4 4 2 2 2 2 3" xfId="31757"/>
    <cellStyle name="Normal 4 2 4 4 2 2 2 3" xfId="31758"/>
    <cellStyle name="Normal 4 2 4 4 2 2 2 3 2" xfId="31759"/>
    <cellStyle name="Normal 4 2 4 4 2 2 2 4" xfId="31760"/>
    <cellStyle name="Normal 4 2 4 4 2 2 3" xfId="31761"/>
    <cellStyle name="Normal 4 2 4 4 2 2 3 2" xfId="31762"/>
    <cellStyle name="Normal 4 2 4 4 2 2 3 2 2" xfId="31763"/>
    <cellStyle name="Normal 4 2 4 4 2 2 3 3" xfId="31764"/>
    <cellStyle name="Normal 4 2 4 4 2 2 4" xfId="31765"/>
    <cellStyle name="Normal 4 2 4 4 2 2 4 2" xfId="31766"/>
    <cellStyle name="Normal 4 2 4 4 2 2 5" xfId="31767"/>
    <cellStyle name="Normal 4 2 4 4 2 3" xfId="3733"/>
    <cellStyle name="Normal 4 2 4 4 2 3 2" xfId="31768"/>
    <cellStyle name="Normal 4 2 4 4 2 3 2 2" xfId="31769"/>
    <cellStyle name="Normal 4 2 4 4 2 3 2 2 2" xfId="31770"/>
    <cellStyle name="Normal 4 2 4 4 2 3 2 3" xfId="31771"/>
    <cellStyle name="Normal 4 2 4 4 2 3 3" xfId="31772"/>
    <cellStyle name="Normal 4 2 4 4 2 3 3 2" xfId="31773"/>
    <cellStyle name="Normal 4 2 4 4 2 3 4" xfId="31774"/>
    <cellStyle name="Normal 4 2 4 4 2 4" xfId="31775"/>
    <cellStyle name="Normal 4 2 4 4 2 4 2" xfId="31776"/>
    <cellStyle name="Normal 4 2 4 4 2 4 2 2" xfId="31777"/>
    <cellStyle name="Normal 4 2 4 4 2 4 3" xfId="31778"/>
    <cellStyle name="Normal 4 2 4 4 2 5" xfId="31779"/>
    <cellStyle name="Normal 4 2 4 4 2 5 2" xfId="31780"/>
    <cellStyle name="Normal 4 2 4 4 2 6" xfId="31781"/>
    <cellStyle name="Normal 4 2 4 4 3" xfId="1693"/>
    <cellStyle name="Normal 4 2 4 4 3 2" xfId="4413"/>
    <cellStyle name="Normal 4 2 4 4 3 2 2" xfId="31782"/>
    <cellStyle name="Normal 4 2 4 4 3 2 2 2" xfId="31783"/>
    <cellStyle name="Normal 4 2 4 4 3 2 2 2 2" xfId="31784"/>
    <cellStyle name="Normal 4 2 4 4 3 2 2 3" xfId="31785"/>
    <cellStyle name="Normal 4 2 4 4 3 2 3" xfId="31786"/>
    <cellStyle name="Normal 4 2 4 4 3 2 3 2" xfId="31787"/>
    <cellStyle name="Normal 4 2 4 4 3 2 4" xfId="31788"/>
    <cellStyle name="Normal 4 2 4 4 3 3" xfId="31789"/>
    <cellStyle name="Normal 4 2 4 4 3 3 2" xfId="31790"/>
    <cellStyle name="Normal 4 2 4 4 3 3 2 2" xfId="31791"/>
    <cellStyle name="Normal 4 2 4 4 3 3 3" xfId="31792"/>
    <cellStyle name="Normal 4 2 4 4 3 4" xfId="31793"/>
    <cellStyle name="Normal 4 2 4 4 3 4 2" xfId="31794"/>
    <cellStyle name="Normal 4 2 4 4 3 5" xfId="31795"/>
    <cellStyle name="Normal 4 2 4 4 4" xfId="3053"/>
    <cellStyle name="Normal 4 2 4 4 4 2" xfId="31796"/>
    <cellStyle name="Normal 4 2 4 4 4 2 2" xfId="31797"/>
    <cellStyle name="Normal 4 2 4 4 4 2 2 2" xfId="31798"/>
    <cellStyle name="Normal 4 2 4 4 4 2 3" xfId="31799"/>
    <cellStyle name="Normal 4 2 4 4 4 3" xfId="31800"/>
    <cellStyle name="Normal 4 2 4 4 4 3 2" xfId="31801"/>
    <cellStyle name="Normal 4 2 4 4 4 4" xfId="31802"/>
    <cellStyle name="Normal 4 2 4 4 5" xfId="31803"/>
    <cellStyle name="Normal 4 2 4 4 5 2" xfId="31804"/>
    <cellStyle name="Normal 4 2 4 4 5 2 2" xfId="31805"/>
    <cellStyle name="Normal 4 2 4 4 5 3" xfId="31806"/>
    <cellStyle name="Normal 4 2 4 4 6" xfId="31807"/>
    <cellStyle name="Normal 4 2 4 4 6 2" xfId="31808"/>
    <cellStyle name="Normal 4 2 4 4 7" xfId="31809"/>
    <cellStyle name="Normal 4 2 4 5" xfId="605"/>
    <cellStyle name="Normal 4 2 4 5 2" xfId="1285"/>
    <cellStyle name="Normal 4 2 4 5 2 2" xfId="2645"/>
    <cellStyle name="Normal 4 2 4 5 2 2 2" xfId="5365"/>
    <cellStyle name="Normal 4 2 4 5 2 2 2 2" xfId="31810"/>
    <cellStyle name="Normal 4 2 4 5 2 2 2 2 2" xfId="31811"/>
    <cellStyle name="Normal 4 2 4 5 2 2 2 2 2 2" xfId="31812"/>
    <cellStyle name="Normal 4 2 4 5 2 2 2 2 3" xfId="31813"/>
    <cellStyle name="Normal 4 2 4 5 2 2 2 3" xfId="31814"/>
    <cellStyle name="Normal 4 2 4 5 2 2 2 3 2" xfId="31815"/>
    <cellStyle name="Normal 4 2 4 5 2 2 2 4" xfId="31816"/>
    <cellStyle name="Normal 4 2 4 5 2 2 3" xfId="31817"/>
    <cellStyle name="Normal 4 2 4 5 2 2 3 2" xfId="31818"/>
    <cellStyle name="Normal 4 2 4 5 2 2 3 2 2" xfId="31819"/>
    <cellStyle name="Normal 4 2 4 5 2 2 3 3" xfId="31820"/>
    <cellStyle name="Normal 4 2 4 5 2 2 4" xfId="31821"/>
    <cellStyle name="Normal 4 2 4 5 2 2 4 2" xfId="31822"/>
    <cellStyle name="Normal 4 2 4 5 2 2 5" xfId="31823"/>
    <cellStyle name="Normal 4 2 4 5 2 3" xfId="4005"/>
    <cellStyle name="Normal 4 2 4 5 2 3 2" xfId="31824"/>
    <cellStyle name="Normal 4 2 4 5 2 3 2 2" xfId="31825"/>
    <cellStyle name="Normal 4 2 4 5 2 3 2 2 2" xfId="31826"/>
    <cellStyle name="Normal 4 2 4 5 2 3 2 3" xfId="31827"/>
    <cellStyle name="Normal 4 2 4 5 2 3 3" xfId="31828"/>
    <cellStyle name="Normal 4 2 4 5 2 3 3 2" xfId="31829"/>
    <cellStyle name="Normal 4 2 4 5 2 3 4" xfId="31830"/>
    <cellStyle name="Normal 4 2 4 5 2 4" xfId="31831"/>
    <cellStyle name="Normal 4 2 4 5 2 4 2" xfId="31832"/>
    <cellStyle name="Normal 4 2 4 5 2 4 2 2" xfId="31833"/>
    <cellStyle name="Normal 4 2 4 5 2 4 3" xfId="31834"/>
    <cellStyle name="Normal 4 2 4 5 2 5" xfId="31835"/>
    <cellStyle name="Normal 4 2 4 5 2 5 2" xfId="31836"/>
    <cellStyle name="Normal 4 2 4 5 2 6" xfId="31837"/>
    <cellStyle name="Normal 4 2 4 5 3" xfId="1965"/>
    <cellStyle name="Normal 4 2 4 5 3 2" xfId="4685"/>
    <cellStyle name="Normal 4 2 4 5 3 2 2" xfId="31838"/>
    <cellStyle name="Normal 4 2 4 5 3 2 2 2" xfId="31839"/>
    <cellStyle name="Normal 4 2 4 5 3 2 2 2 2" xfId="31840"/>
    <cellStyle name="Normal 4 2 4 5 3 2 2 3" xfId="31841"/>
    <cellStyle name="Normal 4 2 4 5 3 2 3" xfId="31842"/>
    <cellStyle name="Normal 4 2 4 5 3 2 3 2" xfId="31843"/>
    <cellStyle name="Normal 4 2 4 5 3 2 4" xfId="31844"/>
    <cellStyle name="Normal 4 2 4 5 3 3" xfId="31845"/>
    <cellStyle name="Normal 4 2 4 5 3 3 2" xfId="31846"/>
    <cellStyle name="Normal 4 2 4 5 3 3 2 2" xfId="31847"/>
    <cellStyle name="Normal 4 2 4 5 3 3 3" xfId="31848"/>
    <cellStyle name="Normal 4 2 4 5 3 4" xfId="31849"/>
    <cellStyle name="Normal 4 2 4 5 3 4 2" xfId="31850"/>
    <cellStyle name="Normal 4 2 4 5 3 5" xfId="31851"/>
    <cellStyle name="Normal 4 2 4 5 4" xfId="3325"/>
    <cellStyle name="Normal 4 2 4 5 4 2" xfId="31852"/>
    <cellStyle name="Normal 4 2 4 5 4 2 2" xfId="31853"/>
    <cellStyle name="Normal 4 2 4 5 4 2 2 2" xfId="31854"/>
    <cellStyle name="Normal 4 2 4 5 4 2 3" xfId="31855"/>
    <cellStyle name="Normal 4 2 4 5 4 3" xfId="31856"/>
    <cellStyle name="Normal 4 2 4 5 4 3 2" xfId="31857"/>
    <cellStyle name="Normal 4 2 4 5 4 4" xfId="31858"/>
    <cellStyle name="Normal 4 2 4 5 5" xfId="31859"/>
    <cellStyle name="Normal 4 2 4 5 5 2" xfId="31860"/>
    <cellStyle name="Normal 4 2 4 5 5 2 2" xfId="31861"/>
    <cellStyle name="Normal 4 2 4 5 5 3" xfId="31862"/>
    <cellStyle name="Normal 4 2 4 5 6" xfId="31863"/>
    <cellStyle name="Normal 4 2 4 5 6 2" xfId="31864"/>
    <cellStyle name="Normal 4 2 4 5 7" xfId="31865"/>
    <cellStyle name="Normal 4 2 4 6" xfId="741"/>
    <cellStyle name="Normal 4 2 4 6 2" xfId="2101"/>
    <cellStyle name="Normal 4 2 4 6 2 2" xfId="4821"/>
    <cellStyle name="Normal 4 2 4 6 2 2 2" xfId="31866"/>
    <cellStyle name="Normal 4 2 4 6 2 2 2 2" xfId="31867"/>
    <cellStyle name="Normal 4 2 4 6 2 2 2 2 2" xfId="31868"/>
    <cellStyle name="Normal 4 2 4 6 2 2 2 3" xfId="31869"/>
    <cellStyle name="Normal 4 2 4 6 2 2 3" xfId="31870"/>
    <cellStyle name="Normal 4 2 4 6 2 2 3 2" xfId="31871"/>
    <cellStyle name="Normal 4 2 4 6 2 2 4" xfId="31872"/>
    <cellStyle name="Normal 4 2 4 6 2 3" xfId="31873"/>
    <cellStyle name="Normal 4 2 4 6 2 3 2" xfId="31874"/>
    <cellStyle name="Normal 4 2 4 6 2 3 2 2" xfId="31875"/>
    <cellStyle name="Normal 4 2 4 6 2 3 3" xfId="31876"/>
    <cellStyle name="Normal 4 2 4 6 2 4" xfId="31877"/>
    <cellStyle name="Normal 4 2 4 6 2 4 2" xfId="31878"/>
    <cellStyle name="Normal 4 2 4 6 2 5" xfId="31879"/>
    <cellStyle name="Normal 4 2 4 6 3" xfId="3461"/>
    <cellStyle name="Normal 4 2 4 6 3 2" xfId="31880"/>
    <cellStyle name="Normal 4 2 4 6 3 2 2" xfId="31881"/>
    <cellStyle name="Normal 4 2 4 6 3 2 2 2" xfId="31882"/>
    <cellStyle name="Normal 4 2 4 6 3 2 3" xfId="31883"/>
    <cellStyle name="Normal 4 2 4 6 3 3" xfId="31884"/>
    <cellStyle name="Normal 4 2 4 6 3 3 2" xfId="31885"/>
    <cellStyle name="Normal 4 2 4 6 3 4" xfId="31886"/>
    <cellStyle name="Normal 4 2 4 6 4" xfId="31887"/>
    <cellStyle name="Normal 4 2 4 6 4 2" xfId="31888"/>
    <cellStyle name="Normal 4 2 4 6 4 2 2" xfId="31889"/>
    <cellStyle name="Normal 4 2 4 6 4 3" xfId="31890"/>
    <cellStyle name="Normal 4 2 4 6 5" xfId="31891"/>
    <cellStyle name="Normal 4 2 4 6 5 2" xfId="31892"/>
    <cellStyle name="Normal 4 2 4 6 6" xfId="31893"/>
    <cellStyle name="Normal 4 2 4 7" xfId="1421"/>
    <cellStyle name="Normal 4 2 4 7 2" xfId="4141"/>
    <cellStyle name="Normal 4 2 4 7 2 2" xfId="31894"/>
    <cellStyle name="Normal 4 2 4 7 2 2 2" xfId="31895"/>
    <cellStyle name="Normal 4 2 4 7 2 2 2 2" xfId="31896"/>
    <cellStyle name="Normal 4 2 4 7 2 2 3" xfId="31897"/>
    <cellStyle name="Normal 4 2 4 7 2 3" xfId="31898"/>
    <cellStyle name="Normal 4 2 4 7 2 3 2" xfId="31899"/>
    <cellStyle name="Normal 4 2 4 7 2 4" xfId="31900"/>
    <cellStyle name="Normal 4 2 4 7 3" xfId="31901"/>
    <cellStyle name="Normal 4 2 4 7 3 2" xfId="31902"/>
    <cellStyle name="Normal 4 2 4 7 3 2 2" xfId="31903"/>
    <cellStyle name="Normal 4 2 4 7 3 3" xfId="31904"/>
    <cellStyle name="Normal 4 2 4 7 4" xfId="31905"/>
    <cellStyle name="Normal 4 2 4 7 4 2" xfId="31906"/>
    <cellStyle name="Normal 4 2 4 7 5" xfId="31907"/>
    <cellStyle name="Normal 4 2 4 8" xfId="2781"/>
    <cellStyle name="Normal 4 2 4 8 2" xfId="31908"/>
    <cellStyle name="Normal 4 2 4 8 2 2" xfId="31909"/>
    <cellStyle name="Normal 4 2 4 8 2 2 2" xfId="31910"/>
    <cellStyle name="Normal 4 2 4 8 2 3" xfId="31911"/>
    <cellStyle name="Normal 4 2 4 8 3" xfId="31912"/>
    <cellStyle name="Normal 4 2 4 8 3 2" xfId="31913"/>
    <cellStyle name="Normal 4 2 4 8 4" xfId="31914"/>
    <cellStyle name="Normal 4 2 4 9" xfId="31915"/>
    <cellStyle name="Normal 4 2 4 9 2" xfId="31916"/>
    <cellStyle name="Normal 4 2 4 9 2 2" xfId="31917"/>
    <cellStyle name="Normal 4 2 4 9 3" xfId="31918"/>
    <cellStyle name="Normal 4 2 5" xfId="94"/>
    <cellStyle name="Normal 4 2 5 10" xfId="31919"/>
    <cellStyle name="Normal 4 2 5 2" xfId="231"/>
    <cellStyle name="Normal 4 2 5 2 2" xfId="503"/>
    <cellStyle name="Normal 4 2 5 2 2 2" xfId="1183"/>
    <cellStyle name="Normal 4 2 5 2 2 2 2" xfId="2543"/>
    <cellStyle name="Normal 4 2 5 2 2 2 2 2" xfId="5263"/>
    <cellStyle name="Normal 4 2 5 2 2 2 2 2 2" xfId="31920"/>
    <cellStyle name="Normal 4 2 5 2 2 2 2 2 2 2" xfId="31921"/>
    <cellStyle name="Normal 4 2 5 2 2 2 2 2 2 2 2" xfId="31922"/>
    <cellStyle name="Normal 4 2 5 2 2 2 2 2 2 3" xfId="31923"/>
    <cellStyle name="Normal 4 2 5 2 2 2 2 2 3" xfId="31924"/>
    <cellStyle name="Normal 4 2 5 2 2 2 2 2 3 2" xfId="31925"/>
    <cellStyle name="Normal 4 2 5 2 2 2 2 2 4" xfId="31926"/>
    <cellStyle name="Normal 4 2 5 2 2 2 2 3" xfId="31927"/>
    <cellStyle name="Normal 4 2 5 2 2 2 2 3 2" xfId="31928"/>
    <cellStyle name="Normal 4 2 5 2 2 2 2 3 2 2" xfId="31929"/>
    <cellStyle name="Normal 4 2 5 2 2 2 2 3 3" xfId="31930"/>
    <cellStyle name="Normal 4 2 5 2 2 2 2 4" xfId="31931"/>
    <cellStyle name="Normal 4 2 5 2 2 2 2 4 2" xfId="31932"/>
    <cellStyle name="Normal 4 2 5 2 2 2 2 5" xfId="31933"/>
    <cellStyle name="Normal 4 2 5 2 2 2 3" xfId="3903"/>
    <cellStyle name="Normal 4 2 5 2 2 2 3 2" xfId="31934"/>
    <cellStyle name="Normal 4 2 5 2 2 2 3 2 2" xfId="31935"/>
    <cellStyle name="Normal 4 2 5 2 2 2 3 2 2 2" xfId="31936"/>
    <cellStyle name="Normal 4 2 5 2 2 2 3 2 3" xfId="31937"/>
    <cellStyle name="Normal 4 2 5 2 2 2 3 3" xfId="31938"/>
    <cellStyle name="Normal 4 2 5 2 2 2 3 3 2" xfId="31939"/>
    <cellStyle name="Normal 4 2 5 2 2 2 3 4" xfId="31940"/>
    <cellStyle name="Normal 4 2 5 2 2 2 4" xfId="31941"/>
    <cellStyle name="Normal 4 2 5 2 2 2 4 2" xfId="31942"/>
    <cellStyle name="Normal 4 2 5 2 2 2 4 2 2" xfId="31943"/>
    <cellStyle name="Normal 4 2 5 2 2 2 4 3" xfId="31944"/>
    <cellStyle name="Normal 4 2 5 2 2 2 5" xfId="31945"/>
    <cellStyle name="Normal 4 2 5 2 2 2 5 2" xfId="31946"/>
    <cellStyle name="Normal 4 2 5 2 2 2 6" xfId="31947"/>
    <cellStyle name="Normal 4 2 5 2 2 3" xfId="1863"/>
    <cellStyle name="Normal 4 2 5 2 2 3 2" xfId="4583"/>
    <cellStyle name="Normal 4 2 5 2 2 3 2 2" xfId="31948"/>
    <cellStyle name="Normal 4 2 5 2 2 3 2 2 2" xfId="31949"/>
    <cellStyle name="Normal 4 2 5 2 2 3 2 2 2 2" xfId="31950"/>
    <cellStyle name="Normal 4 2 5 2 2 3 2 2 3" xfId="31951"/>
    <cellStyle name="Normal 4 2 5 2 2 3 2 3" xfId="31952"/>
    <cellStyle name="Normal 4 2 5 2 2 3 2 3 2" xfId="31953"/>
    <cellStyle name="Normal 4 2 5 2 2 3 2 4" xfId="31954"/>
    <cellStyle name="Normal 4 2 5 2 2 3 3" xfId="31955"/>
    <cellStyle name="Normal 4 2 5 2 2 3 3 2" xfId="31956"/>
    <cellStyle name="Normal 4 2 5 2 2 3 3 2 2" xfId="31957"/>
    <cellStyle name="Normal 4 2 5 2 2 3 3 3" xfId="31958"/>
    <cellStyle name="Normal 4 2 5 2 2 3 4" xfId="31959"/>
    <cellStyle name="Normal 4 2 5 2 2 3 4 2" xfId="31960"/>
    <cellStyle name="Normal 4 2 5 2 2 3 5" xfId="31961"/>
    <cellStyle name="Normal 4 2 5 2 2 4" xfId="3223"/>
    <cellStyle name="Normal 4 2 5 2 2 4 2" xfId="31962"/>
    <cellStyle name="Normal 4 2 5 2 2 4 2 2" xfId="31963"/>
    <cellStyle name="Normal 4 2 5 2 2 4 2 2 2" xfId="31964"/>
    <cellStyle name="Normal 4 2 5 2 2 4 2 3" xfId="31965"/>
    <cellStyle name="Normal 4 2 5 2 2 4 3" xfId="31966"/>
    <cellStyle name="Normal 4 2 5 2 2 4 3 2" xfId="31967"/>
    <cellStyle name="Normal 4 2 5 2 2 4 4" xfId="31968"/>
    <cellStyle name="Normal 4 2 5 2 2 5" xfId="31969"/>
    <cellStyle name="Normal 4 2 5 2 2 5 2" xfId="31970"/>
    <cellStyle name="Normal 4 2 5 2 2 5 2 2" xfId="31971"/>
    <cellStyle name="Normal 4 2 5 2 2 5 3" xfId="31972"/>
    <cellStyle name="Normal 4 2 5 2 2 6" xfId="31973"/>
    <cellStyle name="Normal 4 2 5 2 2 6 2" xfId="31974"/>
    <cellStyle name="Normal 4 2 5 2 2 7" xfId="31975"/>
    <cellStyle name="Normal 4 2 5 2 3" xfId="911"/>
    <cellStyle name="Normal 4 2 5 2 3 2" xfId="2271"/>
    <cellStyle name="Normal 4 2 5 2 3 2 2" xfId="4991"/>
    <cellStyle name="Normal 4 2 5 2 3 2 2 2" xfId="31976"/>
    <cellStyle name="Normal 4 2 5 2 3 2 2 2 2" xfId="31977"/>
    <cellStyle name="Normal 4 2 5 2 3 2 2 2 2 2" xfId="31978"/>
    <cellStyle name="Normal 4 2 5 2 3 2 2 2 3" xfId="31979"/>
    <cellStyle name="Normal 4 2 5 2 3 2 2 3" xfId="31980"/>
    <cellStyle name="Normal 4 2 5 2 3 2 2 3 2" xfId="31981"/>
    <cellStyle name="Normal 4 2 5 2 3 2 2 4" xfId="31982"/>
    <cellStyle name="Normal 4 2 5 2 3 2 3" xfId="31983"/>
    <cellStyle name="Normal 4 2 5 2 3 2 3 2" xfId="31984"/>
    <cellStyle name="Normal 4 2 5 2 3 2 3 2 2" xfId="31985"/>
    <cellStyle name="Normal 4 2 5 2 3 2 3 3" xfId="31986"/>
    <cellStyle name="Normal 4 2 5 2 3 2 4" xfId="31987"/>
    <cellStyle name="Normal 4 2 5 2 3 2 4 2" xfId="31988"/>
    <cellStyle name="Normal 4 2 5 2 3 2 5" xfId="31989"/>
    <cellStyle name="Normal 4 2 5 2 3 3" xfId="3631"/>
    <cellStyle name="Normal 4 2 5 2 3 3 2" xfId="31990"/>
    <cellStyle name="Normal 4 2 5 2 3 3 2 2" xfId="31991"/>
    <cellStyle name="Normal 4 2 5 2 3 3 2 2 2" xfId="31992"/>
    <cellStyle name="Normal 4 2 5 2 3 3 2 3" xfId="31993"/>
    <cellStyle name="Normal 4 2 5 2 3 3 3" xfId="31994"/>
    <cellStyle name="Normal 4 2 5 2 3 3 3 2" xfId="31995"/>
    <cellStyle name="Normal 4 2 5 2 3 3 4" xfId="31996"/>
    <cellStyle name="Normal 4 2 5 2 3 4" xfId="31997"/>
    <cellStyle name="Normal 4 2 5 2 3 4 2" xfId="31998"/>
    <cellStyle name="Normal 4 2 5 2 3 4 2 2" xfId="31999"/>
    <cellStyle name="Normal 4 2 5 2 3 4 3" xfId="32000"/>
    <cellStyle name="Normal 4 2 5 2 3 5" xfId="32001"/>
    <cellStyle name="Normal 4 2 5 2 3 5 2" xfId="32002"/>
    <cellStyle name="Normal 4 2 5 2 3 6" xfId="32003"/>
    <cellStyle name="Normal 4 2 5 2 4" xfId="1591"/>
    <cellStyle name="Normal 4 2 5 2 4 2" xfId="4311"/>
    <cellStyle name="Normal 4 2 5 2 4 2 2" xfId="32004"/>
    <cellStyle name="Normal 4 2 5 2 4 2 2 2" xfId="32005"/>
    <cellStyle name="Normal 4 2 5 2 4 2 2 2 2" xfId="32006"/>
    <cellStyle name="Normal 4 2 5 2 4 2 2 3" xfId="32007"/>
    <cellStyle name="Normal 4 2 5 2 4 2 3" xfId="32008"/>
    <cellStyle name="Normal 4 2 5 2 4 2 3 2" xfId="32009"/>
    <cellStyle name="Normal 4 2 5 2 4 2 4" xfId="32010"/>
    <cellStyle name="Normal 4 2 5 2 4 3" xfId="32011"/>
    <cellStyle name="Normal 4 2 5 2 4 3 2" xfId="32012"/>
    <cellStyle name="Normal 4 2 5 2 4 3 2 2" xfId="32013"/>
    <cellStyle name="Normal 4 2 5 2 4 3 3" xfId="32014"/>
    <cellStyle name="Normal 4 2 5 2 4 4" xfId="32015"/>
    <cellStyle name="Normal 4 2 5 2 4 4 2" xfId="32016"/>
    <cellStyle name="Normal 4 2 5 2 4 5" xfId="32017"/>
    <cellStyle name="Normal 4 2 5 2 5" xfId="2951"/>
    <cellStyle name="Normal 4 2 5 2 5 2" xfId="32018"/>
    <cellStyle name="Normal 4 2 5 2 5 2 2" xfId="32019"/>
    <cellStyle name="Normal 4 2 5 2 5 2 2 2" xfId="32020"/>
    <cellStyle name="Normal 4 2 5 2 5 2 3" xfId="32021"/>
    <cellStyle name="Normal 4 2 5 2 5 3" xfId="32022"/>
    <cellStyle name="Normal 4 2 5 2 5 3 2" xfId="32023"/>
    <cellStyle name="Normal 4 2 5 2 5 4" xfId="32024"/>
    <cellStyle name="Normal 4 2 5 2 6" xfId="32025"/>
    <cellStyle name="Normal 4 2 5 2 6 2" xfId="32026"/>
    <cellStyle name="Normal 4 2 5 2 6 2 2" xfId="32027"/>
    <cellStyle name="Normal 4 2 5 2 6 3" xfId="32028"/>
    <cellStyle name="Normal 4 2 5 2 7" xfId="32029"/>
    <cellStyle name="Normal 4 2 5 2 7 2" xfId="32030"/>
    <cellStyle name="Normal 4 2 5 2 8" xfId="32031"/>
    <cellStyle name="Normal 4 2 5 3" xfId="367"/>
    <cellStyle name="Normal 4 2 5 3 2" xfId="1047"/>
    <cellStyle name="Normal 4 2 5 3 2 2" xfId="2407"/>
    <cellStyle name="Normal 4 2 5 3 2 2 2" xfId="5127"/>
    <cellStyle name="Normal 4 2 5 3 2 2 2 2" xfId="32032"/>
    <cellStyle name="Normal 4 2 5 3 2 2 2 2 2" xfId="32033"/>
    <cellStyle name="Normal 4 2 5 3 2 2 2 2 2 2" xfId="32034"/>
    <cellStyle name="Normal 4 2 5 3 2 2 2 2 3" xfId="32035"/>
    <cellStyle name="Normal 4 2 5 3 2 2 2 3" xfId="32036"/>
    <cellStyle name="Normal 4 2 5 3 2 2 2 3 2" xfId="32037"/>
    <cellStyle name="Normal 4 2 5 3 2 2 2 4" xfId="32038"/>
    <cellStyle name="Normal 4 2 5 3 2 2 3" xfId="32039"/>
    <cellStyle name="Normal 4 2 5 3 2 2 3 2" xfId="32040"/>
    <cellStyle name="Normal 4 2 5 3 2 2 3 2 2" xfId="32041"/>
    <cellStyle name="Normal 4 2 5 3 2 2 3 3" xfId="32042"/>
    <cellStyle name="Normal 4 2 5 3 2 2 4" xfId="32043"/>
    <cellStyle name="Normal 4 2 5 3 2 2 4 2" xfId="32044"/>
    <cellStyle name="Normal 4 2 5 3 2 2 5" xfId="32045"/>
    <cellStyle name="Normal 4 2 5 3 2 3" xfId="3767"/>
    <cellStyle name="Normal 4 2 5 3 2 3 2" xfId="32046"/>
    <cellStyle name="Normal 4 2 5 3 2 3 2 2" xfId="32047"/>
    <cellStyle name="Normal 4 2 5 3 2 3 2 2 2" xfId="32048"/>
    <cellStyle name="Normal 4 2 5 3 2 3 2 3" xfId="32049"/>
    <cellStyle name="Normal 4 2 5 3 2 3 3" xfId="32050"/>
    <cellStyle name="Normal 4 2 5 3 2 3 3 2" xfId="32051"/>
    <cellStyle name="Normal 4 2 5 3 2 3 4" xfId="32052"/>
    <cellStyle name="Normal 4 2 5 3 2 4" xfId="32053"/>
    <cellStyle name="Normal 4 2 5 3 2 4 2" xfId="32054"/>
    <cellStyle name="Normal 4 2 5 3 2 4 2 2" xfId="32055"/>
    <cellStyle name="Normal 4 2 5 3 2 4 3" xfId="32056"/>
    <cellStyle name="Normal 4 2 5 3 2 5" xfId="32057"/>
    <cellStyle name="Normal 4 2 5 3 2 5 2" xfId="32058"/>
    <cellStyle name="Normal 4 2 5 3 2 6" xfId="32059"/>
    <cellStyle name="Normal 4 2 5 3 3" xfId="1727"/>
    <cellStyle name="Normal 4 2 5 3 3 2" xfId="4447"/>
    <cellStyle name="Normal 4 2 5 3 3 2 2" xfId="32060"/>
    <cellStyle name="Normal 4 2 5 3 3 2 2 2" xfId="32061"/>
    <cellStyle name="Normal 4 2 5 3 3 2 2 2 2" xfId="32062"/>
    <cellStyle name="Normal 4 2 5 3 3 2 2 3" xfId="32063"/>
    <cellStyle name="Normal 4 2 5 3 3 2 3" xfId="32064"/>
    <cellStyle name="Normal 4 2 5 3 3 2 3 2" xfId="32065"/>
    <cellStyle name="Normal 4 2 5 3 3 2 4" xfId="32066"/>
    <cellStyle name="Normal 4 2 5 3 3 3" xfId="32067"/>
    <cellStyle name="Normal 4 2 5 3 3 3 2" xfId="32068"/>
    <cellStyle name="Normal 4 2 5 3 3 3 2 2" xfId="32069"/>
    <cellStyle name="Normal 4 2 5 3 3 3 3" xfId="32070"/>
    <cellStyle name="Normal 4 2 5 3 3 4" xfId="32071"/>
    <cellStyle name="Normal 4 2 5 3 3 4 2" xfId="32072"/>
    <cellStyle name="Normal 4 2 5 3 3 5" xfId="32073"/>
    <cellStyle name="Normal 4 2 5 3 4" xfId="3087"/>
    <cellStyle name="Normal 4 2 5 3 4 2" xfId="32074"/>
    <cellStyle name="Normal 4 2 5 3 4 2 2" xfId="32075"/>
    <cellStyle name="Normal 4 2 5 3 4 2 2 2" xfId="32076"/>
    <cellStyle name="Normal 4 2 5 3 4 2 3" xfId="32077"/>
    <cellStyle name="Normal 4 2 5 3 4 3" xfId="32078"/>
    <cellStyle name="Normal 4 2 5 3 4 3 2" xfId="32079"/>
    <cellStyle name="Normal 4 2 5 3 4 4" xfId="32080"/>
    <cellStyle name="Normal 4 2 5 3 5" xfId="32081"/>
    <cellStyle name="Normal 4 2 5 3 5 2" xfId="32082"/>
    <cellStyle name="Normal 4 2 5 3 5 2 2" xfId="32083"/>
    <cellStyle name="Normal 4 2 5 3 5 3" xfId="32084"/>
    <cellStyle name="Normal 4 2 5 3 6" xfId="32085"/>
    <cellStyle name="Normal 4 2 5 3 6 2" xfId="32086"/>
    <cellStyle name="Normal 4 2 5 3 7" xfId="32087"/>
    <cellStyle name="Normal 4 2 5 4" xfId="639"/>
    <cellStyle name="Normal 4 2 5 4 2" xfId="1319"/>
    <cellStyle name="Normal 4 2 5 4 2 2" xfId="2679"/>
    <cellStyle name="Normal 4 2 5 4 2 2 2" xfId="5399"/>
    <cellStyle name="Normal 4 2 5 4 2 2 2 2" xfId="32088"/>
    <cellStyle name="Normal 4 2 5 4 2 2 2 2 2" xfId="32089"/>
    <cellStyle name="Normal 4 2 5 4 2 2 2 2 2 2" xfId="32090"/>
    <cellStyle name="Normal 4 2 5 4 2 2 2 2 3" xfId="32091"/>
    <cellStyle name="Normal 4 2 5 4 2 2 2 3" xfId="32092"/>
    <cellStyle name="Normal 4 2 5 4 2 2 2 3 2" xfId="32093"/>
    <cellStyle name="Normal 4 2 5 4 2 2 2 4" xfId="32094"/>
    <cellStyle name="Normal 4 2 5 4 2 2 3" xfId="32095"/>
    <cellStyle name="Normal 4 2 5 4 2 2 3 2" xfId="32096"/>
    <cellStyle name="Normal 4 2 5 4 2 2 3 2 2" xfId="32097"/>
    <cellStyle name="Normal 4 2 5 4 2 2 3 3" xfId="32098"/>
    <cellStyle name="Normal 4 2 5 4 2 2 4" xfId="32099"/>
    <cellStyle name="Normal 4 2 5 4 2 2 4 2" xfId="32100"/>
    <cellStyle name="Normal 4 2 5 4 2 2 5" xfId="32101"/>
    <cellStyle name="Normal 4 2 5 4 2 3" xfId="4039"/>
    <cellStyle name="Normal 4 2 5 4 2 3 2" xfId="32102"/>
    <cellStyle name="Normal 4 2 5 4 2 3 2 2" xfId="32103"/>
    <cellStyle name="Normal 4 2 5 4 2 3 2 2 2" xfId="32104"/>
    <cellStyle name="Normal 4 2 5 4 2 3 2 3" xfId="32105"/>
    <cellStyle name="Normal 4 2 5 4 2 3 3" xfId="32106"/>
    <cellStyle name="Normal 4 2 5 4 2 3 3 2" xfId="32107"/>
    <cellStyle name="Normal 4 2 5 4 2 3 4" xfId="32108"/>
    <cellStyle name="Normal 4 2 5 4 2 4" xfId="32109"/>
    <cellStyle name="Normal 4 2 5 4 2 4 2" xfId="32110"/>
    <cellStyle name="Normal 4 2 5 4 2 4 2 2" xfId="32111"/>
    <cellStyle name="Normal 4 2 5 4 2 4 3" xfId="32112"/>
    <cellStyle name="Normal 4 2 5 4 2 5" xfId="32113"/>
    <cellStyle name="Normal 4 2 5 4 2 5 2" xfId="32114"/>
    <cellStyle name="Normal 4 2 5 4 2 6" xfId="32115"/>
    <cellStyle name="Normal 4 2 5 4 3" xfId="1999"/>
    <cellStyle name="Normal 4 2 5 4 3 2" xfId="4719"/>
    <cellStyle name="Normal 4 2 5 4 3 2 2" xfId="32116"/>
    <cellStyle name="Normal 4 2 5 4 3 2 2 2" xfId="32117"/>
    <cellStyle name="Normal 4 2 5 4 3 2 2 2 2" xfId="32118"/>
    <cellStyle name="Normal 4 2 5 4 3 2 2 3" xfId="32119"/>
    <cellStyle name="Normal 4 2 5 4 3 2 3" xfId="32120"/>
    <cellStyle name="Normal 4 2 5 4 3 2 3 2" xfId="32121"/>
    <cellStyle name="Normal 4 2 5 4 3 2 4" xfId="32122"/>
    <cellStyle name="Normal 4 2 5 4 3 3" xfId="32123"/>
    <cellStyle name="Normal 4 2 5 4 3 3 2" xfId="32124"/>
    <cellStyle name="Normal 4 2 5 4 3 3 2 2" xfId="32125"/>
    <cellStyle name="Normal 4 2 5 4 3 3 3" xfId="32126"/>
    <cellStyle name="Normal 4 2 5 4 3 4" xfId="32127"/>
    <cellStyle name="Normal 4 2 5 4 3 4 2" xfId="32128"/>
    <cellStyle name="Normal 4 2 5 4 3 5" xfId="32129"/>
    <cellStyle name="Normal 4 2 5 4 4" xfId="3359"/>
    <cellStyle name="Normal 4 2 5 4 4 2" xfId="32130"/>
    <cellStyle name="Normal 4 2 5 4 4 2 2" xfId="32131"/>
    <cellStyle name="Normal 4 2 5 4 4 2 2 2" xfId="32132"/>
    <cellStyle name="Normal 4 2 5 4 4 2 3" xfId="32133"/>
    <cellStyle name="Normal 4 2 5 4 4 3" xfId="32134"/>
    <cellStyle name="Normal 4 2 5 4 4 3 2" xfId="32135"/>
    <cellStyle name="Normal 4 2 5 4 4 4" xfId="32136"/>
    <cellStyle name="Normal 4 2 5 4 5" xfId="32137"/>
    <cellStyle name="Normal 4 2 5 4 5 2" xfId="32138"/>
    <cellStyle name="Normal 4 2 5 4 5 2 2" xfId="32139"/>
    <cellStyle name="Normal 4 2 5 4 5 3" xfId="32140"/>
    <cellStyle name="Normal 4 2 5 4 6" xfId="32141"/>
    <cellStyle name="Normal 4 2 5 4 6 2" xfId="32142"/>
    <cellStyle name="Normal 4 2 5 4 7" xfId="32143"/>
    <cellStyle name="Normal 4 2 5 5" xfId="775"/>
    <cellStyle name="Normal 4 2 5 5 2" xfId="2135"/>
    <cellStyle name="Normal 4 2 5 5 2 2" xfId="4855"/>
    <cellStyle name="Normal 4 2 5 5 2 2 2" xfId="32144"/>
    <cellStyle name="Normal 4 2 5 5 2 2 2 2" xfId="32145"/>
    <cellStyle name="Normal 4 2 5 5 2 2 2 2 2" xfId="32146"/>
    <cellStyle name="Normal 4 2 5 5 2 2 2 3" xfId="32147"/>
    <cellStyle name="Normal 4 2 5 5 2 2 3" xfId="32148"/>
    <cellStyle name="Normal 4 2 5 5 2 2 3 2" xfId="32149"/>
    <cellStyle name="Normal 4 2 5 5 2 2 4" xfId="32150"/>
    <cellStyle name="Normal 4 2 5 5 2 3" xfId="32151"/>
    <cellStyle name="Normal 4 2 5 5 2 3 2" xfId="32152"/>
    <cellStyle name="Normal 4 2 5 5 2 3 2 2" xfId="32153"/>
    <cellStyle name="Normal 4 2 5 5 2 3 3" xfId="32154"/>
    <cellStyle name="Normal 4 2 5 5 2 4" xfId="32155"/>
    <cellStyle name="Normal 4 2 5 5 2 4 2" xfId="32156"/>
    <cellStyle name="Normal 4 2 5 5 2 5" xfId="32157"/>
    <cellStyle name="Normal 4 2 5 5 3" xfId="3495"/>
    <cellStyle name="Normal 4 2 5 5 3 2" xfId="32158"/>
    <cellStyle name="Normal 4 2 5 5 3 2 2" xfId="32159"/>
    <cellStyle name="Normal 4 2 5 5 3 2 2 2" xfId="32160"/>
    <cellStyle name="Normal 4 2 5 5 3 2 3" xfId="32161"/>
    <cellStyle name="Normal 4 2 5 5 3 3" xfId="32162"/>
    <cellStyle name="Normal 4 2 5 5 3 3 2" xfId="32163"/>
    <cellStyle name="Normal 4 2 5 5 3 4" xfId="32164"/>
    <cellStyle name="Normal 4 2 5 5 4" xfId="32165"/>
    <cellStyle name="Normal 4 2 5 5 4 2" xfId="32166"/>
    <cellStyle name="Normal 4 2 5 5 4 2 2" xfId="32167"/>
    <cellStyle name="Normal 4 2 5 5 4 3" xfId="32168"/>
    <cellStyle name="Normal 4 2 5 5 5" xfId="32169"/>
    <cellStyle name="Normal 4 2 5 5 5 2" xfId="32170"/>
    <cellStyle name="Normal 4 2 5 5 6" xfId="32171"/>
    <cellStyle name="Normal 4 2 5 6" xfId="1455"/>
    <cellStyle name="Normal 4 2 5 6 2" xfId="4175"/>
    <cellStyle name="Normal 4 2 5 6 2 2" xfId="32172"/>
    <cellStyle name="Normal 4 2 5 6 2 2 2" xfId="32173"/>
    <cellStyle name="Normal 4 2 5 6 2 2 2 2" xfId="32174"/>
    <cellStyle name="Normal 4 2 5 6 2 2 3" xfId="32175"/>
    <cellStyle name="Normal 4 2 5 6 2 3" xfId="32176"/>
    <cellStyle name="Normal 4 2 5 6 2 3 2" xfId="32177"/>
    <cellStyle name="Normal 4 2 5 6 2 4" xfId="32178"/>
    <cellStyle name="Normal 4 2 5 6 3" xfId="32179"/>
    <cellStyle name="Normal 4 2 5 6 3 2" xfId="32180"/>
    <cellStyle name="Normal 4 2 5 6 3 2 2" xfId="32181"/>
    <cellStyle name="Normal 4 2 5 6 3 3" xfId="32182"/>
    <cellStyle name="Normal 4 2 5 6 4" xfId="32183"/>
    <cellStyle name="Normal 4 2 5 6 4 2" xfId="32184"/>
    <cellStyle name="Normal 4 2 5 6 5" xfId="32185"/>
    <cellStyle name="Normal 4 2 5 7" xfId="2815"/>
    <cellStyle name="Normal 4 2 5 7 2" xfId="32186"/>
    <cellStyle name="Normal 4 2 5 7 2 2" xfId="32187"/>
    <cellStyle name="Normal 4 2 5 7 2 2 2" xfId="32188"/>
    <cellStyle name="Normal 4 2 5 7 2 3" xfId="32189"/>
    <cellStyle name="Normal 4 2 5 7 3" xfId="32190"/>
    <cellStyle name="Normal 4 2 5 7 3 2" xfId="32191"/>
    <cellStyle name="Normal 4 2 5 7 4" xfId="32192"/>
    <cellStyle name="Normal 4 2 5 8" xfId="32193"/>
    <cellStyle name="Normal 4 2 5 8 2" xfId="32194"/>
    <cellStyle name="Normal 4 2 5 8 2 2" xfId="32195"/>
    <cellStyle name="Normal 4 2 5 8 3" xfId="32196"/>
    <cellStyle name="Normal 4 2 5 9" xfId="32197"/>
    <cellStyle name="Normal 4 2 5 9 2" xfId="32198"/>
    <cellStyle name="Normal 4 2 6" xfId="163"/>
    <cellStyle name="Normal 4 2 6 2" xfId="435"/>
    <cellStyle name="Normal 4 2 6 2 2" xfId="1115"/>
    <cellStyle name="Normal 4 2 6 2 2 2" xfId="2475"/>
    <cellStyle name="Normal 4 2 6 2 2 2 2" xfId="5195"/>
    <cellStyle name="Normal 4 2 6 2 2 2 2 2" xfId="32199"/>
    <cellStyle name="Normal 4 2 6 2 2 2 2 2 2" xfId="32200"/>
    <cellStyle name="Normal 4 2 6 2 2 2 2 2 2 2" xfId="32201"/>
    <cellStyle name="Normal 4 2 6 2 2 2 2 2 3" xfId="32202"/>
    <cellStyle name="Normal 4 2 6 2 2 2 2 3" xfId="32203"/>
    <cellStyle name="Normal 4 2 6 2 2 2 2 3 2" xfId="32204"/>
    <cellStyle name="Normal 4 2 6 2 2 2 2 4" xfId="32205"/>
    <cellStyle name="Normal 4 2 6 2 2 2 3" xfId="32206"/>
    <cellStyle name="Normal 4 2 6 2 2 2 3 2" xfId="32207"/>
    <cellStyle name="Normal 4 2 6 2 2 2 3 2 2" xfId="32208"/>
    <cellStyle name="Normal 4 2 6 2 2 2 3 3" xfId="32209"/>
    <cellStyle name="Normal 4 2 6 2 2 2 4" xfId="32210"/>
    <cellStyle name="Normal 4 2 6 2 2 2 4 2" xfId="32211"/>
    <cellStyle name="Normal 4 2 6 2 2 2 5" xfId="32212"/>
    <cellStyle name="Normal 4 2 6 2 2 3" xfId="3835"/>
    <cellStyle name="Normal 4 2 6 2 2 3 2" xfId="32213"/>
    <cellStyle name="Normal 4 2 6 2 2 3 2 2" xfId="32214"/>
    <cellStyle name="Normal 4 2 6 2 2 3 2 2 2" xfId="32215"/>
    <cellStyle name="Normal 4 2 6 2 2 3 2 3" xfId="32216"/>
    <cellStyle name="Normal 4 2 6 2 2 3 3" xfId="32217"/>
    <cellStyle name="Normal 4 2 6 2 2 3 3 2" xfId="32218"/>
    <cellStyle name="Normal 4 2 6 2 2 3 4" xfId="32219"/>
    <cellStyle name="Normal 4 2 6 2 2 4" xfId="32220"/>
    <cellStyle name="Normal 4 2 6 2 2 4 2" xfId="32221"/>
    <cellStyle name="Normal 4 2 6 2 2 4 2 2" xfId="32222"/>
    <cellStyle name="Normal 4 2 6 2 2 4 3" xfId="32223"/>
    <cellStyle name="Normal 4 2 6 2 2 5" xfId="32224"/>
    <cellStyle name="Normal 4 2 6 2 2 5 2" xfId="32225"/>
    <cellStyle name="Normal 4 2 6 2 2 6" xfId="32226"/>
    <cellStyle name="Normal 4 2 6 2 3" xfId="1795"/>
    <cellStyle name="Normal 4 2 6 2 3 2" xfId="4515"/>
    <cellStyle name="Normal 4 2 6 2 3 2 2" xfId="32227"/>
    <cellStyle name="Normal 4 2 6 2 3 2 2 2" xfId="32228"/>
    <cellStyle name="Normal 4 2 6 2 3 2 2 2 2" xfId="32229"/>
    <cellStyle name="Normal 4 2 6 2 3 2 2 3" xfId="32230"/>
    <cellStyle name="Normal 4 2 6 2 3 2 3" xfId="32231"/>
    <cellStyle name="Normal 4 2 6 2 3 2 3 2" xfId="32232"/>
    <cellStyle name="Normal 4 2 6 2 3 2 4" xfId="32233"/>
    <cellStyle name="Normal 4 2 6 2 3 3" xfId="32234"/>
    <cellStyle name="Normal 4 2 6 2 3 3 2" xfId="32235"/>
    <cellStyle name="Normal 4 2 6 2 3 3 2 2" xfId="32236"/>
    <cellStyle name="Normal 4 2 6 2 3 3 3" xfId="32237"/>
    <cellStyle name="Normal 4 2 6 2 3 4" xfId="32238"/>
    <cellStyle name="Normal 4 2 6 2 3 4 2" xfId="32239"/>
    <cellStyle name="Normal 4 2 6 2 3 5" xfId="32240"/>
    <cellStyle name="Normal 4 2 6 2 4" xfId="3155"/>
    <cellStyle name="Normal 4 2 6 2 4 2" xfId="32241"/>
    <cellStyle name="Normal 4 2 6 2 4 2 2" xfId="32242"/>
    <cellStyle name="Normal 4 2 6 2 4 2 2 2" xfId="32243"/>
    <cellStyle name="Normal 4 2 6 2 4 2 3" xfId="32244"/>
    <cellStyle name="Normal 4 2 6 2 4 3" xfId="32245"/>
    <cellStyle name="Normal 4 2 6 2 4 3 2" xfId="32246"/>
    <cellStyle name="Normal 4 2 6 2 4 4" xfId="32247"/>
    <cellStyle name="Normal 4 2 6 2 5" xfId="32248"/>
    <cellStyle name="Normal 4 2 6 2 5 2" xfId="32249"/>
    <cellStyle name="Normal 4 2 6 2 5 2 2" xfId="32250"/>
    <cellStyle name="Normal 4 2 6 2 5 3" xfId="32251"/>
    <cellStyle name="Normal 4 2 6 2 6" xfId="32252"/>
    <cellStyle name="Normal 4 2 6 2 6 2" xfId="32253"/>
    <cellStyle name="Normal 4 2 6 2 7" xfId="32254"/>
    <cellStyle name="Normal 4 2 6 3" xfId="843"/>
    <cellStyle name="Normal 4 2 6 3 2" xfId="2203"/>
    <cellStyle name="Normal 4 2 6 3 2 2" xfId="4923"/>
    <cellStyle name="Normal 4 2 6 3 2 2 2" xfId="32255"/>
    <cellStyle name="Normal 4 2 6 3 2 2 2 2" xfId="32256"/>
    <cellStyle name="Normal 4 2 6 3 2 2 2 2 2" xfId="32257"/>
    <cellStyle name="Normal 4 2 6 3 2 2 2 3" xfId="32258"/>
    <cellStyle name="Normal 4 2 6 3 2 2 3" xfId="32259"/>
    <cellStyle name="Normal 4 2 6 3 2 2 3 2" xfId="32260"/>
    <cellStyle name="Normal 4 2 6 3 2 2 4" xfId="32261"/>
    <cellStyle name="Normal 4 2 6 3 2 3" xfId="32262"/>
    <cellStyle name="Normal 4 2 6 3 2 3 2" xfId="32263"/>
    <cellStyle name="Normal 4 2 6 3 2 3 2 2" xfId="32264"/>
    <cellStyle name="Normal 4 2 6 3 2 3 3" xfId="32265"/>
    <cellStyle name="Normal 4 2 6 3 2 4" xfId="32266"/>
    <cellStyle name="Normal 4 2 6 3 2 4 2" xfId="32267"/>
    <cellStyle name="Normal 4 2 6 3 2 5" xfId="32268"/>
    <cellStyle name="Normal 4 2 6 3 3" xfId="3563"/>
    <cellStyle name="Normal 4 2 6 3 3 2" xfId="32269"/>
    <cellStyle name="Normal 4 2 6 3 3 2 2" xfId="32270"/>
    <cellStyle name="Normal 4 2 6 3 3 2 2 2" xfId="32271"/>
    <cellStyle name="Normal 4 2 6 3 3 2 3" xfId="32272"/>
    <cellStyle name="Normal 4 2 6 3 3 3" xfId="32273"/>
    <cellStyle name="Normal 4 2 6 3 3 3 2" xfId="32274"/>
    <cellStyle name="Normal 4 2 6 3 3 4" xfId="32275"/>
    <cellStyle name="Normal 4 2 6 3 4" xfId="32276"/>
    <cellStyle name="Normal 4 2 6 3 4 2" xfId="32277"/>
    <cellStyle name="Normal 4 2 6 3 4 2 2" xfId="32278"/>
    <cellStyle name="Normal 4 2 6 3 4 3" xfId="32279"/>
    <cellStyle name="Normal 4 2 6 3 5" xfId="32280"/>
    <cellStyle name="Normal 4 2 6 3 5 2" xfId="32281"/>
    <cellStyle name="Normal 4 2 6 3 6" xfId="32282"/>
    <cellStyle name="Normal 4 2 6 4" xfId="1523"/>
    <cellStyle name="Normal 4 2 6 4 2" xfId="4243"/>
    <cellStyle name="Normal 4 2 6 4 2 2" xfId="32283"/>
    <cellStyle name="Normal 4 2 6 4 2 2 2" xfId="32284"/>
    <cellStyle name="Normal 4 2 6 4 2 2 2 2" xfId="32285"/>
    <cellStyle name="Normal 4 2 6 4 2 2 3" xfId="32286"/>
    <cellStyle name="Normal 4 2 6 4 2 3" xfId="32287"/>
    <cellStyle name="Normal 4 2 6 4 2 3 2" xfId="32288"/>
    <cellStyle name="Normal 4 2 6 4 2 4" xfId="32289"/>
    <cellStyle name="Normal 4 2 6 4 3" xfId="32290"/>
    <cellStyle name="Normal 4 2 6 4 3 2" xfId="32291"/>
    <cellStyle name="Normal 4 2 6 4 3 2 2" xfId="32292"/>
    <cellStyle name="Normal 4 2 6 4 3 3" xfId="32293"/>
    <cellStyle name="Normal 4 2 6 4 4" xfId="32294"/>
    <cellStyle name="Normal 4 2 6 4 4 2" xfId="32295"/>
    <cellStyle name="Normal 4 2 6 4 5" xfId="32296"/>
    <cellStyle name="Normal 4 2 6 5" xfId="2883"/>
    <cellStyle name="Normal 4 2 6 5 2" xfId="32297"/>
    <cellStyle name="Normal 4 2 6 5 2 2" xfId="32298"/>
    <cellStyle name="Normal 4 2 6 5 2 2 2" xfId="32299"/>
    <cellStyle name="Normal 4 2 6 5 2 3" xfId="32300"/>
    <cellStyle name="Normal 4 2 6 5 3" xfId="32301"/>
    <cellStyle name="Normal 4 2 6 5 3 2" xfId="32302"/>
    <cellStyle name="Normal 4 2 6 5 4" xfId="32303"/>
    <cellStyle name="Normal 4 2 6 6" xfId="32304"/>
    <cellStyle name="Normal 4 2 6 6 2" xfId="32305"/>
    <cellStyle name="Normal 4 2 6 6 2 2" xfId="32306"/>
    <cellStyle name="Normal 4 2 6 6 3" xfId="32307"/>
    <cellStyle name="Normal 4 2 6 7" xfId="32308"/>
    <cellStyle name="Normal 4 2 6 7 2" xfId="32309"/>
    <cellStyle name="Normal 4 2 6 8" xfId="32310"/>
    <cellStyle name="Normal 4 2 7" xfId="299"/>
    <cellStyle name="Normal 4 2 7 2" xfId="979"/>
    <cellStyle name="Normal 4 2 7 2 2" xfId="2339"/>
    <cellStyle name="Normal 4 2 7 2 2 2" xfId="5059"/>
    <cellStyle name="Normal 4 2 7 2 2 2 2" xfId="32311"/>
    <cellStyle name="Normal 4 2 7 2 2 2 2 2" xfId="32312"/>
    <cellStyle name="Normal 4 2 7 2 2 2 2 2 2" xfId="32313"/>
    <cellStyle name="Normal 4 2 7 2 2 2 2 3" xfId="32314"/>
    <cellStyle name="Normal 4 2 7 2 2 2 3" xfId="32315"/>
    <cellStyle name="Normal 4 2 7 2 2 2 3 2" xfId="32316"/>
    <cellStyle name="Normal 4 2 7 2 2 2 4" xfId="32317"/>
    <cellStyle name="Normal 4 2 7 2 2 3" xfId="32318"/>
    <cellStyle name="Normal 4 2 7 2 2 3 2" xfId="32319"/>
    <cellStyle name="Normal 4 2 7 2 2 3 2 2" xfId="32320"/>
    <cellStyle name="Normal 4 2 7 2 2 3 3" xfId="32321"/>
    <cellStyle name="Normal 4 2 7 2 2 4" xfId="32322"/>
    <cellStyle name="Normal 4 2 7 2 2 4 2" xfId="32323"/>
    <cellStyle name="Normal 4 2 7 2 2 5" xfId="32324"/>
    <cellStyle name="Normal 4 2 7 2 3" xfId="3699"/>
    <cellStyle name="Normal 4 2 7 2 3 2" xfId="32325"/>
    <cellStyle name="Normal 4 2 7 2 3 2 2" xfId="32326"/>
    <cellStyle name="Normal 4 2 7 2 3 2 2 2" xfId="32327"/>
    <cellStyle name="Normal 4 2 7 2 3 2 3" xfId="32328"/>
    <cellStyle name="Normal 4 2 7 2 3 3" xfId="32329"/>
    <cellStyle name="Normal 4 2 7 2 3 3 2" xfId="32330"/>
    <cellStyle name="Normal 4 2 7 2 3 4" xfId="32331"/>
    <cellStyle name="Normal 4 2 7 2 4" xfId="32332"/>
    <cellStyle name="Normal 4 2 7 2 4 2" xfId="32333"/>
    <cellStyle name="Normal 4 2 7 2 4 2 2" xfId="32334"/>
    <cellStyle name="Normal 4 2 7 2 4 3" xfId="32335"/>
    <cellStyle name="Normal 4 2 7 2 5" xfId="32336"/>
    <cellStyle name="Normal 4 2 7 2 5 2" xfId="32337"/>
    <cellStyle name="Normal 4 2 7 2 6" xfId="32338"/>
    <cellStyle name="Normal 4 2 7 3" xfId="1659"/>
    <cellStyle name="Normal 4 2 7 3 2" xfId="4379"/>
    <cellStyle name="Normal 4 2 7 3 2 2" xfId="32339"/>
    <cellStyle name="Normal 4 2 7 3 2 2 2" xfId="32340"/>
    <cellStyle name="Normal 4 2 7 3 2 2 2 2" xfId="32341"/>
    <cellStyle name="Normal 4 2 7 3 2 2 3" xfId="32342"/>
    <cellStyle name="Normal 4 2 7 3 2 3" xfId="32343"/>
    <cellStyle name="Normal 4 2 7 3 2 3 2" xfId="32344"/>
    <cellStyle name="Normal 4 2 7 3 2 4" xfId="32345"/>
    <cellStyle name="Normal 4 2 7 3 3" xfId="32346"/>
    <cellStyle name="Normal 4 2 7 3 3 2" xfId="32347"/>
    <cellStyle name="Normal 4 2 7 3 3 2 2" xfId="32348"/>
    <cellStyle name="Normal 4 2 7 3 3 3" xfId="32349"/>
    <cellStyle name="Normal 4 2 7 3 4" xfId="32350"/>
    <cellStyle name="Normal 4 2 7 3 4 2" xfId="32351"/>
    <cellStyle name="Normal 4 2 7 3 5" xfId="32352"/>
    <cellStyle name="Normal 4 2 7 4" xfId="3019"/>
    <cellStyle name="Normal 4 2 7 4 2" xfId="32353"/>
    <cellStyle name="Normal 4 2 7 4 2 2" xfId="32354"/>
    <cellStyle name="Normal 4 2 7 4 2 2 2" xfId="32355"/>
    <cellStyle name="Normal 4 2 7 4 2 3" xfId="32356"/>
    <cellStyle name="Normal 4 2 7 4 3" xfId="32357"/>
    <cellStyle name="Normal 4 2 7 4 3 2" xfId="32358"/>
    <cellStyle name="Normal 4 2 7 4 4" xfId="32359"/>
    <cellStyle name="Normal 4 2 7 5" xfId="32360"/>
    <cellStyle name="Normal 4 2 7 5 2" xfId="32361"/>
    <cellStyle name="Normal 4 2 7 5 2 2" xfId="32362"/>
    <cellStyle name="Normal 4 2 7 5 3" xfId="32363"/>
    <cellStyle name="Normal 4 2 7 6" xfId="32364"/>
    <cellStyle name="Normal 4 2 7 6 2" xfId="32365"/>
    <cellStyle name="Normal 4 2 7 7" xfId="32366"/>
    <cellStyle name="Normal 4 2 8" xfId="571"/>
    <cellStyle name="Normal 4 2 8 2" xfId="1251"/>
    <cellStyle name="Normal 4 2 8 2 2" xfId="2611"/>
    <cellStyle name="Normal 4 2 8 2 2 2" xfId="5331"/>
    <cellStyle name="Normal 4 2 8 2 2 2 2" xfId="32367"/>
    <cellStyle name="Normal 4 2 8 2 2 2 2 2" xfId="32368"/>
    <cellStyle name="Normal 4 2 8 2 2 2 2 2 2" xfId="32369"/>
    <cellStyle name="Normal 4 2 8 2 2 2 2 3" xfId="32370"/>
    <cellStyle name="Normal 4 2 8 2 2 2 3" xfId="32371"/>
    <cellStyle name="Normal 4 2 8 2 2 2 3 2" xfId="32372"/>
    <cellStyle name="Normal 4 2 8 2 2 2 4" xfId="32373"/>
    <cellStyle name="Normal 4 2 8 2 2 3" xfId="32374"/>
    <cellStyle name="Normal 4 2 8 2 2 3 2" xfId="32375"/>
    <cellStyle name="Normal 4 2 8 2 2 3 2 2" xfId="32376"/>
    <cellStyle name="Normal 4 2 8 2 2 3 3" xfId="32377"/>
    <cellStyle name="Normal 4 2 8 2 2 4" xfId="32378"/>
    <cellStyle name="Normal 4 2 8 2 2 4 2" xfId="32379"/>
    <cellStyle name="Normal 4 2 8 2 2 5" xfId="32380"/>
    <cellStyle name="Normal 4 2 8 2 3" xfId="3971"/>
    <cellStyle name="Normal 4 2 8 2 3 2" xfId="32381"/>
    <cellStyle name="Normal 4 2 8 2 3 2 2" xfId="32382"/>
    <cellStyle name="Normal 4 2 8 2 3 2 2 2" xfId="32383"/>
    <cellStyle name="Normal 4 2 8 2 3 2 3" xfId="32384"/>
    <cellStyle name="Normal 4 2 8 2 3 3" xfId="32385"/>
    <cellStyle name="Normal 4 2 8 2 3 3 2" xfId="32386"/>
    <cellStyle name="Normal 4 2 8 2 3 4" xfId="32387"/>
    <cellStyle name="Normal 4 2 8 2 4" xfId="32388"/>
    <cellStyle name="Normal 4 2 8 2 4 2" xfId="32389"/>
    <cellStyle name="Normal 4 2 8 2 4 2 2" xfId="32390"/>
    <cellStyle name="Normal 4 2 8 2 4 3" xfId="32391"/>
    <cellStyle name="Normal 4 2 8 2 5" xfId="32392"/>
    <cellStyle name="Normal 4 2 8 2 5 2" xfId="32393"/>
    <cellStyle name="Normal 4 2 8 2 6" xfId="32394"/>
    <cellStyle name="Normal 4 2 8 3" xfId="1931"/>
    <cellStyle name="Normal 4 2 8 3 2" xfId="4651"/>
    <cellStyle name="Normal 4 2 8 3 2 2" xfId="32395"/>
    <cellStyle name="Normal 4 2 8 3 2 2 2" xfId="32396"/>
    <cellStyle name="Normal 4 2 8 3 2 2 2 2" xfId="32397"/>
    <cellStyle name="Normal 4 2 8 3 2 2 3" xfId="32398"/>
    <cellStyle name="Normal 4 2 8 3 2 3" xfId="32399"/>
    <cellStyle name="Normal 4 2 8 3 2 3 2" xfId="32400"/>
    <cellStyle name="Normal 4 2 8 3 2 4" xfId="32401"/>
    <cellStyle name="Normal 4 2 8 3 3" xfId="32402"/>
    <cellStyle name="Normal 4 2 8 3 3 2" xfId="32403"/>
    <cellStyle name="Normal 4 2 8 3 3 2 2" xfId="32404"/>
    <cellStyle name="Normal 4 2 8 3 3 3" xfId="32405"/>
    <cellStyle name="Normal 4 2 8 3 4" xfId="32406"/>
    <cellStyle name="Normal 4 2 8 3 4 2" xfId="32407"/>
    <cellStyle name="Normal 4 2 8 3 5" xfId="32408"/>
    <cellStyle name="Normal 4 2 8 4" xfId="3291"/>
    <cellStyle name="Normal 4 2 8 4 2" xfId="32409"/>
    <cellStyle name="Normal 4 2 8 4 2 2" xfId="32410"/>
    <cellStyle name="Normal 4 2 8 4 2 2 2" xfId="32411"/>
    <cellStyle name="Normal 4 2 8 4 2 3" xfId="32412"/>
    <cellStyle name="Normal 4 2 8 4 3" xfId="32413"/>
    <cellStyle name="Normal 4 2 8 4 3 2" xfId="32414"/>
    <cellStyle name="Normal 4 2 8 4 4" xfId="32415"/>
    <cellStyle name="Normal 4 2 8 5" xfId="32416"/>
    <cellStyle name="Normal 4 2 8 5 2" xfId="32417"/>
    <cellStyle name="Normal 4 2 8 5 2 2" xfId="32418"/>
    <cellStyle name="Normal 4 2 8 5 3" xfId="32419"/>
    <cellStyle name="Normal 4 2 8 6" xfId="32420"/>
    <cellStyle name="Normal 4 2 8 6 2" xfId="32421"/>
    <cellStyle name="Normal 4 2 8 7" xfId="32422"/>
    <cellStyle name="Normal 4 2 9" xfId="707"/>
    <cellStyle name="Normal 4 2 9 2" xfId="2067"/>
    <cellStyle name="Normal 4 2 9 2 2" xfId="4787"/>
    <cellStyle name="Normal 4 2 9 2 2 2" xfId="32423"/>
    <cellStyle name="Normal 4 2 9 2 2 2 2" xfId="32424"/>
    <cellStyle name="Normal 4 2 9 2 2 2 2 2" xfId="32425"/>
    <cellStyle name="Normal 4 2 9 2 2 2 3" xfId="32426"/>
    <cellStyle name="Normal 4 2 9 2 2 3" xfId="32427"/>
    <cellStyle name="Normal 4 2 9 2 2 3 2" xfId="32428"/>
    <cellStyle name="Normal 4 2 9 2 2 4" xfId="32429"/>
    <cellStyle name="Normal 4 2 9 2 3" xfId="32430"/>
    <cellStyle name="Normal 4 2 9 2 3 2" xfId="32431"/>
    <cellStyle name="Normal 4 2 9 2 3 2 2" xfId="32432"/>
    <cellStyle name="Normal 4 2 9 2 3 3" xfId="32433"/>
    <cellStyle name="Normal 4 2 9 2 4" xfId="32434"/>
    <cellStyle name="Normal 4 2 9 2 4 2" xfId="32435"/>
    <cellStyle name="Normal 4 2 9 2 5" xfId="32436"/>
    <cellStyle name="Normal 4 2 9 3" xfId="3427"/>
    <cellStyle name="Normal 4 2 9 3 2" xfId="32437"/>
    <cellStyle name="Normal 4 2 9 3 2 2" xfId="32438"/>
    <cellStyle name="Normal 4 2 9 3 2 2 2" xfId="32439"/>
    <cellStyle name="Normal 4 2 9 3 2 3" xfId="32440"/>
    <cellStyle name="Normal 4 2 9 3 3" xfId="32441"/>
    <cellStyle name="Normal 4 2 9 3 3 2" xfId="32442"/>
    <cellStyle name="Normal 4 2 9 3 4" xfId="32443"/>
    <cellStyle name="Normal 4 2 9 4" xfId="32444"/>
    <cellStyle name="Normal 4 2 9 4 2" xfId="32445"/>
    <cellStyle name="Normal 4 2 9 4 2 2" xfId="32446"/>
    <cellStyle name="Normal 4 2 9 4 3" xfId="32447"/>
    <cellStyle name="Normal 4 2 9 5" xfId="32448"/>
    <cellStyle name="Normal 4 2 9 5 2" xfId="32449"/>
    <cellStyle name="Normal 4 2 9 6" xfId="32450"/>
    <cellStyle name="Normal 4 3" xfId="21"/>
    <cellStyle name="Normal 4 3 10" xfId="1386"/>
    <cellStyle name="Normal 4 3 10 2" xfId="4106"/>
    <cellStyle name="Normal 4 3 10 2 2" xfId="32451"/>
    <cellStyle name="Normal 4 3 10 2 2 2" xfId="32452"/>
    <cellStyle name="Normal 4 3 10 2 2 2 2" xfId="32453"/>
    <cellStyle name="Normal 4 3 10 2 2 3" xfId="32454"/>
    <cellStyle name="Normal 4 3 10 2 3" xfId="32455"/>
    <cellStyle name="Normal 4 3 10 2 3 2" xfId="32456"/>
    <cellStyle name="Normal 4 3 10 2 4" xfId="32457"/>
    <cellStyle name="Normal 4 3 10 3" xfId="32458"/>
    <cellStyle name="Normal 4 3 10 3 2" xfId="32459"/>
    <cellStyle name="Normal 4 3 10 3 2 2" xfId="32460"/>
    <cellStyle name="Normal 4 3 10 3 3" xfId="32461"/>
    <cellStyle name="Normal 4 3 10 4" xfId="32462"/>
    <cellStyle name="Normal 4 3 10 4 2" xfId="32463"/>
    <cellStyle name="Normal 4 3 10 5" xfId="32464"/>
    <cellStyle name="Normal 4 3 11" xfId="2746"/>
    <cellStyle name="Normal 4 3 11 2" xfId="32465"/>
    <cellStyle name="Normal 4 3 11 2 2" xfId="32466"/>
    <cellStyle name="Normal 4 3 11 2 2 2" xfId="32467"/>
    <cellStyle name="Normal 4 3 11 2 3" xfId="32468"/>
    <cellStyle name="Normal 4 3 11 3" xfId="32469"/>
    <cellStyle name="Normal 4 3 11 3 2" xfId="32470"/>
    <cellStyle name="Normal 4 3 11 4" xfId="32471"/>
    <cellStyle name="Normal 4 3 12" xfId="32472"/>
    <cellStyle name="Normal 4 3 12 2" xfId="32473"/>
    <cellStyle name="Normal 4 3 12 2 2" xfId="32474"/>
    <cellStyle name="Normal 4 3 12 3" xfId="32475"/>
    <cellStyle name="Normal 4 3 13" xfId="32476"/>
    <cellStyle name="Normal 4 3 13 2" xfId="32477"/>
    <cellStyle name="Normal 4 3 14" xfId="32478"/>
    <cellStyle name="Normal 4 3 2" xfId="29"/>
    <cellStyle name="Normal 4 3 2 10" xfId="2753"/>
    <cellStyle name="Normal 4 3 2 10 2" xfId="32479"/>
    <cellStyle name="Normal 4 3 2 10 2 2" xfId="32480"/>
    <cellStyle name="Normal 4 3 2 10 2 2 2" xfId="32481"/>
    <cellStyle name="Normal 4 3 2 10 2 3" xfId="32482"/>
    <cellStyle name="Normal 4 3 2 10 3" xfId="32483"/>
    <cellStyle name="Normal 4 3 2 10 3 2" xfId="32484"/>
    <cellStyle name="Normal 4 3 2 10 4" xfId="32485"/>
    <cellStyle name="Normal 4 3 2 11" xfId="32486"/>
    <cellStyle name="Normal 4 3 2 11 2" xfId="32487"/>
    <cellStyle name="Normal 4 3 2 11 2 2" xfId="32488"/>
    <cellStyle name="Normal 4 3 2 11 3" xfId="32489"/>
    <cellStyle name="Normal 4 3 2 12" xfId="32490"/>
    <cellStyle name="Normal 4 3 2 12 2" xfId="32491"/>
    <cellStyle name="Normal 4 3 2 13" xfId="32492"/>
    <cellStyle name="Normal 4 3 2 2" xfId="48"/>
    <cellStyle name="Normal 4 3 2 2 10" xfId="32493"/>
    <cellStyle name="Normal 4 3 2 2 10 2" xfId="32494"/>
    <cellStyle name="Normal 4 3 2 2 10 2 2" xfId="32495"/>
    <cellStyle name="Normal 4 3 2 2 10 3" xfId="32496"/>
    <cellStyle name="Normal 4 3 2 2 11" xfId="32497"/>
    <cellStyle name="Normal 4 3 2 2 11 2" xfId="32498"/>
    <cellStyle name="Normal 4 3 2 2 12" xfId="32499"/>
    <cellStyle name="Normal 4 3 2 2 2" xfId="83"/>
    <cellStyle name="Normal 4 3 2 2 2 10" xfId="32500"/>
    <cellStyle name="Normal 4 3 2 2 2 10 2" xfId="32501"/>
    <cellStyle name="Normal 4 3 2 2 2 11" xfId="32502"/>
    <cellStyle name="Normal 4 3 2 2 2 2" xfId="151"/>
    <cellStyle name="Normal 4 3 2 2 2 2 10" xfId="32503"/>
    <cellStyle name="Normal 4 3 2 2 2 2 2" xfId="288"/>
    <cellStyle name="Normal 4 3 2 2 2 2 2 2" xfId="560"/>
    <cellStyle name="Normal 4 3 2 2 2 2 2 2 2" xfId="1240"/>
    <cellStyle name="Normal 4 3 2 2 2 2 2 2 2 2" xfId="2600"/>
    <cellStyle name="Normal 4 3 2 2 2 2 2 2 2 2 2" xfId="5320"/>
    <cellStyle name="Normal 4 3 2 2 2 2 2 2 2 2 2 2" xfId="32504"/>
    <cellStyle name="Normal 4 3 2 2 2 2 2 2 2 2 2 2 2" xfId="32505"/>
    <cellStyle name="Normal 4 3 2 2 2 2 2 2 2 2 2 2 2 2" xfId="32506"/>
    <cellStyle name="Normal 4 3 2 2 2 2 2 2 2 2 2 2 3" xfId="32507"/>
    <cellStyle name="Normal 4 3 2 2 2 2 2 2 2 2 2 3" xfId="32508"/>
    <cellStyle name="Normal 4 3 2 2 2 2 2 2 2 2 2 3 2" xfId="32509"/>
    <cellStyle name="Normal 4 3 2 2 2 2 2 2 2 2 2 4" xfId="32510"/>
    <cellStyle name="Normal 4 3 2 2 2 2 2 2 2 2 3" xfId="32511"/>
    <cellStyle name="Normal 4 3 2 2 2 2 2 2 2 2 3 2" xfId="32512"/>
    <cellStyle name="Normal 4 3 2 2 2 2 2 2 2 2 3 2 2" xfId="32513"/>
    <cellStyle name="Normal 4 3 2 2 2 2 2 2 2 2 3 3" xfId="32514"/>
    <cellStyle name="Normal 4 3 2 2 2 2 2 2 2 2 4" xfId="32515"/>
    <cellStyle name="Normal 4 3 2 2 2 2 2 2 2 2 4 2" xfId="32516"/>
    <cellStyle name="Normal 4 3 2 2 2 2 2 2 2 2 5" xfId="32517"/>
    <cellStyle name="Normal 4 3 2 2 2 2 2 2 2 3" xfId="3960"/>
    <cellStyle name="Normal 4 3 2 2 2 2 2 2 2 3 2" xfId="32518"/>
    <cellStyle name="Normal 4 3 2 2 2 2 2 2 2 3 2 2" xfId="32519"/>
    <cellStyle name="Normal 4 3 2 2 2 2 2 2 2 3 2 2 2" xfId="32520"/>
    <cellStyle name="Normal 4 3 2 2 2 2 2 2 2 3 2 3" xfId="32521"/>
    <cellStyle name="Normal 4 3 2 2 2 2 2 2 2 3 3" xfId="32522"/>
    <cellStyle name="Normal 4 3 2 2 2 2 2 2 2 3 3 2" xfId="32523"/>
    <cellStyle name="Normal 4 3 2 2 2 2 2 2 2 3 4" xfId="32524"/>
    <cellStyle name="Normal 4 3 2 2 2 2 2 2 2 4" xfId="32525"/>
    <cellStyle name="Normal 4 3 2 2 2 2 2 2 2 4 2" xfId="32526"/>
    <cellStyle name="Normal 4 3 2 2 2 2 2 2 2 4 2 2" xfId="32527"/>
    <cellStyle name="Normal 4 3 2 2 2 2 2 2 2 4 3" xfId="32528"/>
    <cellStyle name="Normal 4 3 2 2 2 2 2 2 2 5" xfId="32529"/>
    <cellStyle name="Normal 4 3 2 2 2 2 2 2 2 5 2" xfId="32530"/>
    <cellStyle name="Normal 4 3 2 2 2 2 2 2 2 6" xfId="32531"/>
    <cellStyle name="Normal 4 3 2 2 2 2 2 2 3" xfId="1920"/>
    <cellStyle name="Normal 4 3 2 2 2 2 2 2 3 2" xfId="4640"/>
    <cellStyle name="Normal 4 3 2 2 2 2 2 2 3 2 2" xfId="32532"/>
    <cellStyle name="Normal 4 3 2 2 2 2 2 2 3 2 2 2" xfId="32533"/>
    <cellStyle name="Normal 4 3 2 2 2 2 2 2 3 2 2 2 2" xfId="32534"/>
    <cellStyle name="Normal 4 3 2 2 2 2 2 2 3 2 2 3" xfId="32535"/>
    <cellStyle name="Normal 4 3 2 2 2 2 2 2 3 2 3" xfId="32536"/>
    <cellStyle name="Normal 4 3 2 2 2 2 2 2 3 2 3 2" xfId="32537"/>
    <cellStyle name="Normal 4 3 2 2 2 2 2 2 3 2 4" xfId="32538"/>
    <cellStyle name="Normal 4 3 2 2 2 2 2 2 3 3" xfId="32539"/>
    <cellStyle name="Normal 4 3 2 2 2 2 2 2 3 3 2" xfId="32540"/>
    <cellStyle name="Normal 4 3 2 2 2 2 2 2 3 3 2 2" xfId="32541"/>
    <cellStyle name="Normal 4 3 2 2 2 2 2 2 3 3 3" xfId="32542"/>
    <cellStyle name="Normal 4 3 2 2 2 2 2 2 3 4" xfId="32543"/>
    <cellStyle name="Normal 4 3 2 2 2 2 2 2 3 4 2" xfId="32544"/>
    <cellStyle name="Normal 4 3 2 2 2 2 2 2 3 5" xfId="32545"/>
    <cellStyle name="Normal 4 3 2 2 2 2 2 2 4" xfId="3280"/>
    <cellStyle name="Normal 4 3 2 2 2 2 2 2 4 2" xfId="32546"/>
    <cellStyle name="Normal 4 3 2 2 2 2 2 2 4 2 2" xfId="32547"/>
    <cellStyle name="Normal 4 3 2 2 2 2 2 2 4 2 2 2" xfId="32548"/>
    <cellStyle name="Normal 4 3 2 2 2 2 2 2 4 2 3" xfId="32549"/>
    <cellStyle name="Normal 4 3 2 2 2 2 2 2 4 3" xfId="32550"/>
    <cellStyle name="Normal 4 3 2 2 2 2 2 2 4 3 2" xfId="32551"/>
    <cellStyle name="Normal 4 3 2 2 2 2 2 2 4 4" xfId="32552"/>
    <cellStyle name="Normal 4 3 2 2 2 2 2 2 5" xfId="32553"/>
    <cellStyle name="Normal 4 3 2 2 2 2 2 2 5 2" xfId="32554"/>
    <cellStyle name="Normal 4 3 2 2 2 2 2 2 5 2 2" xfId="32555"/>
    <cellStyle name="Normal 4 3 2 2 2 2 2 2 5 3" xfId="32556"/>
    <cellStyle name="Normal 4 3 2 2 2 2 2 2 6" xfId="32557"/>
    <cellStyle name="Normal 4 3 2 2 2 2 2 2 6 2" xfId="32558"/>
    <cellStyle name="Normal 4 3 2 2 2 2 2 2 7" xfId="32559"/>
    <cellStyle name="Normal 4 3 2 2 2 2 2 3" xfId="968"/>
    <cellStyle name="Normal 4 3 2 2 2 2 2 3 2" xfId="2328"/>
    <cellStyle name="Normal 4 3 2 2 2 2 2 3 2 2" xfId="5048"/>
    <cellStyle name="Normal 4 3 2 2 2 2 2 3 2 2 2" xfId="32560"/>
    <cellStyle name="Normal 4 3 2 2 2 2 2 3 2 2 2 2" xfId="32561"/>
    <cellStyle name="Normal 4 3 2 2 2 2 2 3 2 2 2 2 2" xfId="32562"/>
    <cellStyle name="Normal 4 3 2 2 2 2 2 3 2 2 2 3" xfId="32563"/>
    <cellStyle name="Normal 4 3 2 2 2 2 2 3 2 2 3" xfId="32564"/>
    <cellStyle name="Normal 4 3 2 2 2 2 2 3 2 2 3 2" xfId="32565"/>
    <cellStyle name="Normal 4 3 2 2 2 2 2 3 2 2 4" xfId="32566"/>
    <cellStyle name="Normal 4 3 2 2 2 2 2 3 2 3" xfId="32567"/>
    <cellStyle name="Normal 4 3 2 2 2 2 2 3 2 3 2" xfId="32568"/>
    <cellStyle name="Normal 4 3 2 2 2 2 2 3 2 3 2 2" xfId="32569"/>
    <cellStyle name="Normal 4 3 2 2 2 2 2 3 2 3 3" xfId="32570"/>
    <cellStyle name="Normal 4 3 2 2 2 2 2 3 2 4" xfId="32571"/>
    <cellStyle name="Normal 4 3 2 2 2 2 2 3 2 4 2" xfId="32572"/>
    <cellStyle name="Normal 4 3 2 2 2 2 2 3 2 5" xfId="32573"/>
    <cellStyle name="Normal 4 3 2 2 2 2 2 3 3" xfId="3688"/>
    <cellStyle name="Normal 4 3 2 2 2 2 2 3 3 2" xfId="32574"/>
    <cellStyle name="Normal 4 3 2 2 2 2 2 3 3 2 2" xfId="32575"/>
    <cellStyle name="Normal 4 3 2 2 2 2 2 3 3 2 2 2" xfId="32576"/>
    <cellStyle name="Normal 4 3 2 2 2 2 2 3 3 2 3" xfId="32577"/>
    <cellStyle name="Normal 4 3 2 2 2 2 2 3 3 3" xfId="32578"/>
    <cellStyle name="Normal 4 3 2 2 2 2 2 3 3 3 2" xfId="32579"/>
    <cellStyle name="Normal 4 3 2 2 2 2 2 3 3 4" xfId="32580"/>
    <cellStyle name="Normal 4 3 2 2 2 2 2 3 4" xfId="32581"/>
    <cellStyle name="Normal 4 3 2 2 2 2 2 3 4 2" xfId="32582"/>
    <cellStyle name="Normal 4 3 2 2 2 2 2 3 4 2 2" xfId="32583"/>
    <cellStyle name="Normal 4 3 2 2 2 2 2 3 4 3" xfId="32584"/>
    <cellStyle name="Normal 4 3 2 2 2 2 2 3 5" xfId="32585"/>
    <cellStyle name="Normal 4 3 2 2 2 2 2 3 5 2" xfId="32586"/>
    <cellStyle name="Normal 4 3 2 2 2 2 2 3 6" xfId="32587"/>
    <cellStyle name="Normal 4 3 2 2 2 2 2 4" xfId="1648"/>
    <cellStyle name="Normal 4 3 2 2 2 2 2 4 2" xfId="4368"/>
    <cellStyle name="Normal 4 3 2 2 2 2 2 4 2 2" xfId="32588"/>
    <cellStyle name="Normal 4 3 2 2 2 2 2 4 2 2 2" xfId="32589"/>
    <cellStyle name="Normal 4 3 2 2 2 2 2 4 2 2 2 2" xfId="32590"/>
    <cellStyle name="Normal 4 3 2 2 2 2 2 4 2 2 3" xfId="32591"/>
    <cellStyle name="Normal 4 3 2 2 2 2 2 4 2 3" xfId="32592"/>
    <cellStyle name="Normal 4 3 2 2 2 2 2 4 2 3 2" xfId="32593"/>
    <cellStyle name="Normal 4 3 2 2 2 2 2 4 2 4" xfId="32594"/>
    <cellStyle name="Normal 4 3 2 2 2 2 2 4 3" xfId="32595"/>
    <cellStyle name="Normal 4 3 2 2 2 2 2 4 3 2" xfId="32596"/>
    <cellStyle name="Normal 4 3 2 2 2 2 2 4 3 2 2" xfId="32597"/>
    <cellStyle name="Normal 4 3 2 2 2 2 2 4 3 3" xfId="32598"/>
    <cellStyle name="Normal 4 3 2 2 2 2 2 4 4" xfId="32599"/>
    <cellStyle name="Normal 4 3 2 2 2 2 2 4 4 2" xfId="32600"/>
    <cellStyle name="Normal 4 3 2 2 2 2 2 4 5" xfId="32601"/>
    <cellStyle name="Normal 4 3 2 2 2 2 2 5" xfId="3008"/>
    <cellStyle name="Normal 4 3 2 2 2 2 2 5 2" xfId="32602"/>
    <cellStyle name="Normal 4 3 2 2 2 2 2 5 2 2" xfId="32603"/>
    <cellStyle name="Normal 4 3 2 2 2 2 2 5 2 2 2" xfId="32604"/>
    <cellStyle name="Normal 4 3 2 2 2 2 2 5 2 3" xfId="32605"/>
    <cellStyle name="Normal 4 3 2 2 2 2 2 5 3" xfId="32606"/>
    <cellStyle name="Normal 4 3 2 2 2 2 2 5 3 2" xfId="32607"/>
    <cellStyle name="Normal 4 3 2 2 2 2 2 5 4" xfId="32608"/>
    <cellStyle name="Normal 4 3 2 2 2 2 2 6" xfId="32609"/>
    <cellStyle name="Normal 4 3 2 2 2 2 2 6 2" xfId="32610"/>
    <cellStyle name="Normal 4 3 2 2 2 2 2 6 2 2" xfId="32611"/>
    <cellStyle name="Normal 4 3 2 2 2 2 2 6 3" xfId="32612"/>
    <cellStyle name="Normal 4 3 2 2 2 2 2 7" xfId="32613"/>
    <cellStyle name="Normal 4 3 2 2 2 2 2 7 2" xfId="32614"/>
    <cellStyle name="Normal 4 3 2 2 2 2 2 8" xfId="32615"/>
    <cellStyle name="Normal 4 3 2 2 2 2 3" xfId="424"/>
    <cellStyle name="Normal 4 3 2 2 2 2 3 2" xfId="1104"/>
    <cellStyle name="Normal 4 3 2 2 2 2 3 2 2" xfId="2464"/>
    <cellStyle name="Normal 4 3 2 2 2 2 3 2 2 2" xfId="5184"/>
    <cellStyle name="Normal 4 3 2 2 2 2 3 2 2 2 2" xfId="32616"/>
    <cellStyle name="Normal 4 3 2 2 2 2 3 2 2 2 2 2" xfId="32617"/>
    <cellStyle name="Normal 4 3 2 2 2 2 3 2 2 2 2 2 2" xfId="32618"/>
    <cellStyle name="Normal 4 3 2 2 2 2 3 2 2 2 2 3" xfId="32619"/>
    <cellStyle name="Normal 4 3 2 2 2 2 3 2 2 2 3" xfId="32620"/>
    <cellStyle name="Normal 4 3 2 2 2 2 3 2 2 2 3 2" xfId="32621"/>
    <cellStyle name="Normal 4 3 2 2 2 2 3 2 2 2 4" xfId="32622"/>
    <cellStyle name="Normal 4 3 2 2 2 2 3 2 2 3" xfId="32623"/>
    <cellStyle name="Normal 4 3 2 2 2 2 3 2 2 3 2" xfId="32624"/>
    <cellStyle name="Normal 4 3 2 2 2 2 3 2 2 3 2 2" xfId="32625"/>
    <cellStyle name="Normal 4 3 2 2 2 2 3 2 2 3 3" xfId="32626"/>
    <cellStyle name="Normal 4 3 2 2 2 2 3 2 2 4" xfId="32627"/>
    <cellStyle name="Normal 4 3 2 2 2 2 3 2 2 4 2" xfId="32628"/>
    <cellStyle name="Normal 4 3 2 2 2 2 3 2 2 5" xfId="32629"/>
    <cellStyle name="Normal 4 3 2 2 2 2 3 2 3" xfId="3824"/>
    <cellStyle name="Normal 4 3 2 2 2 2 3 2 3 2" xfId="32630"/>
    <cellStyle name="Normal 4 3 2 2 2 2 3 2 3 2 2" xfId="32631"/>
    <cellStyle name="Normal 4 3 2 2 2 2 3 2 3 2 2 2" xfId="32632"/>
    <cellStyle name="Normal 4 3 2 2 2 2 3 2 3 2 3" xfId="32633"/>
    <cellStyle name="Normal 4 3 2 2 2 2 3 2 3 3" xfId="32634"/>
    <cellStyle name="Normal 4 3 2 2 2 2 3 2 3 3 2" xfId="32635"/>
    <cellStyle name="Normal 4 3 2 2 2 2 3 2 3 4" xfId="32636"/>
    <cellStyle name="Normal 4 3 2 2 2 2 3 2 4" xfId="32637"/>
    <cellStyle name="Normal 4 3 2 2 2 2 3 2 4 2" xfId="32638"/>
    <cellStyle name="Normal 4 3 2 2 2 2 3 2 4 2 2" xfId="32639"/>
    <cellStyle name="Normal 4 3 2 2 2 2 3 2 4 3" xfId="32640"/>
    <cellStyle name="Normal 4 3 2 2 2 2 3 2 5" xfId="32641"/>
    <cellStyle name="Normal 4 3 2 2 2 2 3 2 5 2" xfId="32642"/>
    <cellStyle name="Normal 4 3 2 2 2 2 3 2 6" xfId="32643"/>
    <cellStyle name="Normal 4 3 2 2 2 2 3 3" xfId="1784"/>
    <cellStyle name="Normal 4 3 2 2 2 2 3 3 2" xfId="4504"/>
    <cellStyle name="Normal 4 3 2 2 2 2 3 3 2 2" xfId="32644"/>
    <cellStyle name="Normal 4 3 2 2 2 2 3 3 2 2 2" xfId="32645"/>
    <cellStyle name="Normal 4 3 2 2 2 2 3 3 2 2 2 2" xfId="32646"/>
    <cellStyle name="Normal 4 3 2 2 2 2 3 3 2 2 3" xfId="32647"/>
    <cellStyle name="Normal 4 3 2 2 2 2 3 3 2 3" xfId="32648"/>
    <cellStyle name="Normal 4 3 2 2 2 2 3 3 2 3 2" xfId="32649"/>
    <cellStyle name="Normal 4 3 2 2 2 2 3 3 2 4" xfId="32650"/>
    <cellStyle name="Normal 4 3 2 2 2 2 3 3 3" xfId="32651"/>
    <cellStyle name="Normal 4 3 2 2 2 2 3 3 3 2" xfId="32652"/>
    <cellStyle name="Normal 4 3 2 2 2 2 3 3 3 2 2" xfId="32653"/>
    <cellStyle name="Normal 4 3 2 2 2 2 3 3 3 3" xfId="32654"/>
    <cellStyle name="Normal 4 3 2 2 2 2 3 3 4" xfId="32655"/>
    <cellStyle name="Normal 4 3 2 2 2 2 3 3 4 2" xfId="32656"/>
    <cellStyle name="Normal 4 3 2 2 2 2 3 3 5" xfId="32657"/>
    <cellStyle name="Normal 4 3 2 2 2 2 3 4" xfId="3144"/>
    <cellStyle name="Normal 4 3 2 2 2 2 3 4 2" xfId="32658"/>
    <cellStyle name="Normal 4 3 2 2 2 2 3 4 2 2" xfId="32659"/>
    <cellStyle name="Normal 4 3 2 2 2 2 3 4 2 2 2" xfId="32660"/>
    <cellStyle name="Normal 4 3 2 2 2 2 3 4 2 3" xfId="32661"/>
    <cellStyle name="Normal 4 3 2 2 2 2 3 4 3" xfId="32662"/>
    <cellStyle name="Normal 4 3 2 2 2 2 3 4 3 2" xfId="32663"/>
    <cellStyle name="Normal 4 3 2 2 2 2 3 4 4" xfId="32664"/>
    <cellStyle name="Normal 4 3 2 2 2 2 3 5" xfId="32665"/>
    <cellStyle name="Normal 4 3 2 2 2 2 3 5 2" xfId="32666"/>
    <cellStyle name="Normal 4 3 2 2 2 2 3 5 2 2" xfId="32667"/>
    <cellStyle name="Normal 4 3 2 2 2 2 3 5 3" xfId="32668"/>
    <cellStyle name="Normal 4 3 2 2 2 2 3 6" xfId="32669"/>
    <cellStyle name="Normal 4 3 2 2 2 2 3 6 2" xfId="32670"/>
    <cellStyle name="Normal 4 3 2 2 2 2 3 7" xfId="32671"/>
    <cellStyle name="Normal 4 3 2 2 2 2 4" xfId="696"/>
    <cellStyle name="Normal 4 3 2 2 2 2 4 2" xfId="1376"/>
    <cellStyle name="Normal 4 3 2 2 2 2 4 2 2" xfId="2736"/>
    <cellStyle name="Normal 4 3 2 2 2 2 4 2 2 2" xfId="5456"/>
    <cellStyle name="Normal 4 3 2 2 2 2 4 2 2 2 2" xfId="32672"/>
    <cellStyle name="Normal 4 3 2 2 2 2 4 2 2 2 2 2" xfId="32673"/>
    <cellStyle name="Normal 4 3 2 2 2 2 4 2 2 2 2 2 2" xfId="32674"/>
    <cellStyle name="Normal 4 3 2 2 2 2 4 2 2 2 2 3" xfId="32675"/>
    <cellStyle name="Normal 4 3 2 2 2 2 4 2 2 2 3" xfId="32676"/>
    <cellStyle name="Normal 4 3 2 2 2 2 4 2 2 2 3 2" xfId="32677"/>
    <cellStyle name="Normal 4 3 2 2 2 2 4 2 2 2 4" xfId="32678"/>
    <cellStyle name="Normal 4 3 2 2 2 2 4 2 2 3" xfId="32679"/>
    <cellStyle name="Normal 4 3 2 2 2 2 4 2 2 3 2" xfId="32680"/>
    <cellStyle name="Normal 4 3 2 2 2 2 4 2 2 3 2 2" xfId="32681"/>
    <cellStyle name="Normal 4 3 2 2 2 2 4 2 2 3 3" xfId="32682"/>
    <cellStyle name="Normal 4 3 2 2 2 2 4 2 2 4" xfId="32683"/>
    <cellStyle name="Normal 4 3 2 2 2 2 4 2 2 4 2" xfId="32684"/>
    <cellStyle name="Normal 4 3 2 2 2 2 4 2 2 5" xfId="32685"/>
    <cellStyle name="Normal 4 3 2 2 2 2 4 2 3" xfId="4096"/>
    <cellStyle name="Normal 4 3 2 2 2 2 4 2 3 2" xfId="32686"/>
    <cellStyle name="Normal 4 3 2 2 2 2 4 2 3 2 2" xfId="32687"/>
    <cellStyle name="Normal 4 3 2 2 2 2 4 2 3 2 2 2" xfId="32688"/>
    <cellStyle name="Normal 4 3 2 2 2 2 4 2 3 2 3" xfId="32689"/>
    <cellStyle name="Normal 4 3 2 2 2 2 4 2 3 3" xfId="32690"/>
    <cellStyle name="Normal 4 3 2 2 2 2 4 2 3 3 2" xfId="32691"/>
    <cellStyle name="Normal 4 3 2 2 2 2 4 2 3 4" xfId="32692"/>
    <cellStyle name="Normal 4 3 2 2 2 2 4 2 4" xfId="32693"/>
    <cellStyle name="Normal 4 3 2 2 2 2 4 2 4 2" xfId="32694"/>
    <cellStyle name="Normal 4 3 2 2 2 2 4 2 4 2 2" xfId="32695"/>
    <cellStyle name="Normal 4 3 2 2 2 2 4 2 4 3" xfId="32696"/>
    <cellStyle name="Normal 4 3 2 2 2 2 4 2 5" xfId="32697"/>
    <cellStyle name="Normal 4 3 2 2 2 2 4 2 5 2" xfId="32698"/>
    <cellStyle name="Normal 4 3 2 2 2 2 4 2 6" xfId="32699"/>
    <cellStyle name="Normal 4 3 2 2 2 2 4 3" xfId="2056"/>
    <cellStyle name="Normal 4 3 2 2 2 2 4 3 2" xfId="4776"/>
    <cellStyle name="Normal 4 3 2 2 2 2 4 3 2 2" xfId="32700"/>
    <cellStyle name="Normal 4 3 2 2 2 2 4 3 2 2 2" xfId="32701"/>
    <cellStyle name="Normal 4 3 2 2 2 2 4 3 2 2 2 2" xfId="32702"/>
    <cellStyle name="Normal 4 3 2 2 2 2 4 3 2 2 3" xfId="32703"/>
    <cellStyle name="Normal 4 3 2 2 2 2 4 3 2 3" xfId="32704"/>
    <cellStyle name="Normal 4 3 2 2 2 2 4 3 2 3 2" xfId="32705"/>
    <cellStyle name="Normal 4 3 2 2 2 2 4 3 2 4" xfId="32706"/>
    <cellStyle name="Normal 4 3 2 2 2 2 4 3 3" xfId="32707"/>
    <cellStyle name="Normal 4 3 2 2 2 2 4 3 3 2" xfId="32708"/>
    <cellStyle name="Normal 4 3 2 2 2 2 4 3 3 2 2" xfId="32709"/>
    <cellStyle name="Normal 4 3 2 2 2 2 4 3 3 3" xfId="32710"/>
    <cellStyle name="Normal 4 3 2 2 2 2 4 3 4" xfId="32711"/>
    <cellStyle name="Normal 4 3 2 2 2 2 4 3 4 2" xfId="32712"/>
    <cellStyle name="Normal 4 3 2 2 2 2 4 3 5" xfId="32713"/>
    <cellStyle name="Normal 4 3 2 2 2 2 4 4" xfId="3416"/>
    <cellStyle name="Normal 4 3 2 2 2 2 4 4 2" xfId="32714"/>
    <cellStyle name="Normal 4 3 2 2 2 2 4 4 2 2" xfId="32715"/>
    <cellStyle name="Normal 4 3 2 2 2 2 4 4 2 2 2" xfId="32716"/>
    <cellStyle name="Normal 4 3 2 2 2 2 4 4 2 3" xfId="32717"/>
    <cellStyle name="Normal 4 3 2 2 2 2 4 4 3" xfId="32718"/>
    <cellStyle name="Normal 4 3 2 2 2 2 4 4 3 2" xfId="32719"/>
    <cellStyle name="Normal 4 3 2 2 2 2 4 4 4" xfId="32720"/>
    <cellStyle name="Normal 4 3 2 2 2 2 4 5" xfId="32721"/>
    <cellStyle name="Normal 4 3 2 2 2 2 4 5 2" xfId="32722"/>
    <cellStyle name="Normal 4 3 2 2 2 2 4 5 2 2" xfId="32723"/>
    <cellStyle name="Normal 4 3 2 2 2 2 4 5 3" xfId="32724"/>
    <cellStyle name="Normal 4 3 2 2 2 2 4 6" xfId="32725"/>
    <cellStyle name="Normal 4 3 2 2 2 2 4 6 2" xfId="32726"/>
    <cellStyle name="Normal 4 3 2 2 2 2 4 7" xfId="32727"/>
    <cellStyle name="Normal 4 3 2 2 2 2 5" xfId="832"/>
    <cellStyle name="Normal 4 3 2 2 2 2 5 2" xfId="2192"/>
    <cellStyle name="Normal 4 3 2 2 2 2 5 2 2" xfId="4912"/>
    <cellStyle name="Normal 4 3 2 2 2 2 5 2 2 2" xfId="32728"/>
    <cellStyle name="Normal 4 3 2 2 2 2 5 2 2 2 2" xfId="32729"/>
    <cellStyle name="Normal 4 3 2 2 2 2 5 2 2 2 2 2" xfId="32730"/>
    <cellStyle name="Normal 4 3 2 2 2 2 5 2 2 2 3" xfId="32731"/>
    <cellStyle name="Normal 4 3 2 2 2 2 5 2 2 3" xfId="32732"/>
    <cellStyle name="Normal 4 3 2 2 2 2 5 2 2 3 2" xfId="32733"/>
    <cellStyle name="Normal 4 3 2 2 2 2 5 2 2 4" xfId="32734"/>
    <cellStyle name="Normal 4 3 2 2 2 2 5 2 3" xfId="32735"/>
    <cellStyle name="Normal 4 3 2 2 2 2 5 2 3 2" xfId="32736"/>
    <cellStyle name="Normal 4 3 2 2 2 2 5 2 3 2 2" xfId="32737"/>
    <cellStyle name="Normal 4 3 2 2 2 2 5 2 3 3" xfId="32738"/>
    <cellStyle name="Normal 4 3 2 2 2 2 5 2 4" xfId="32739"/>
    <cellStyle name="Normal 4 3 2 2 2 2 5 2 4 2" xfId="32740"/>
    <cellStyle name="Normal 4 3 2 2 2 2 5 2 5" xfId="32741"/>
    <cellStyle name="Normal 4 3 2 2 2 2 5 3" xfId="3552"/>
    <cellStyle name="Normal 4 3 2 2 2 2 5 3 2" xfId="32742"/>
    <cellStyle name="Normal 4 3 2 2 2 2 5 3 2 2" xfId="32743"/>
    <cellStyle name="Normal 4 3 2 2 2 2 5 3 2 2 2" xfId="32744"/>
    <cellStyle name="Normal 4 3 2 2 2 2 5 3 2 3" xfId="32745"/>
    <cellStyle name="Normal 4 3 2 2 2 2 5 3 3" xfId="32746"/>
    <cellStyle name="Normal 4 3 2 2 2 2 5 3 3 2" xfId="32747"/>
    <cellStyle name="Normal 4 3 2 2 2 2 5 3 4" xfId="32748"/>
    <cellStyle name="Normal 4 3 2 2 2 2 5 4" xfId="32749"/>
    <cellStyle name="Normal 4 3 2 2 2 2 5 4 2" xfId="32750"/>
    <cellStyle name="Normal 4 3 2 2 2 2 5 4 2 2" xfId="32751"/>
    <cellStyle name="Normal 4 3 2 2 2 2 5 4 3" xfId="32752"/>
    <cellStyle name="Normal 4 3 2 2 2 2 5 5" xfId="32753"/>
    <cellStyle name="Normal 4 3 2 2 2 2 5 5 2" xfId="32754"/>
    <cellStyle name="Normal 4 3 2 2 2 2 5 6" xfId="32755"/>
    <cellStyle name="Normal 4 3 2 2 2 2 6" xfId="1512"/>
    <cellStyle name="Normal 4 3 2 2 2 2 6 2" xfId="4232"/>
    <cellStyle name="Normal 4 3 2 2 2 2 6 2 2" xfId="32756"/>
    <cellStyle name="Normal 4 3 2 2 2 2 6 2 2 2" xfId="32757"/>
    <cellStyle name="Normal 4 3 2 2 2 2 6 2 2 2 2" xfId="32758"/>
    <cellStyle name="Normal 4 3 2 2 2 2 6 2 2 3" xfId="32759"/>
    <cellStyle name="Normal 4 3 2 2 2 2 6 2 3" xfId="32760"/>
    <cellStyle name="Normal 4 3 2 2 2 2 6 2 3 2" xfId="32761"/>
    <cellStyle name="Normal 4 3 2 2 2 2 6 2 4" xfId="32762"/>
    <cellStyle name="Normal 4 3 2 2 2 2 6 3" xfId="32763"/>
    <cellStyle name="Normal 4 3 2 2 2 2 6 3 2" xfId="32764"/>
    <cellStyle name="Normal 4 3 2 2 2 2 6 3 2 2" xfId="32765"/>
    <cellStyle name="Normal 4 3 2 2 2 2 6 3 3" xfId="32766"/>
    <cellStyle name="Normal 4 3 2 2 2 2 6 4" xfId="32767"/>
    <cellStyle name="Normal 4 3 2 2 2 2 6 4 2" xfId="32768"/>
    <cellStyle name="Normal 4 3 2 2 2 2 6 5" xfId="32769"/>
    <cellStyle name="Normal 4 3 2 2 2 2 7" xfId="2872"/>
    <cellStyle name="Normal 4 3 2 2 2 2 7 2" xfId="32770"/>
    <cellStyle name="Normal 4 3 2 2 2 2 7 2 2" xfId="32771"/>
    <cellStyle name="Normal 4 3 2 2 2 2 7 2 2 2" xfId="32772"/>
    <cellStyle name="Normal 4 3 2 2 2 2 7 2 3" xfId="32773"/>
    <cellStyle name="Normal 4 3 2 2 2 2 7 3" xfId="32774"/>
    <cellStyle name="Normal 4 3 2 2 2 2 7 3 2" xfId="32775"/>
    <cellStyle name="Normal 4 3 2 2 2 2 7 4" xfId="32776"/>
    <cellStyle name="Normal 4 3 2 2 2 2 8" xfId="32777"/>
    <cellStyle name="Normal 4 3 2 2 2 2 8 2" xfId="32778"/>
    <cellStyle name="Normal 4 3 2 2 2 2 8 2 2" xfId="32779"/>
    <cellStyle name="Normal 4 3 2 2 2 2 8 3" xfId="32780"/>
    <cellStyle name="Normal 4 3 2 2 2 2 9" xfId="32781"/>
    <cellStyle name="Normal 4 3 2 2 2 2 9 2" xfId="32782"/>
    <cellStyle name="Normal 4 3 2 2 2 3" xfId="220"/>
    <cellStyle name="Normal 4 3 2 2 2 3 2" xfId="492"/>
    <cellStyle name="Normal 4 3 2 2 2 3 2 2" xfId="1172"/>
    <cellStyle name="Normal 4 3 2 2 2 3 2 2 2" xfId="2532"/>
    <cellStyle name="Normal 4 3 2 2 2 3 2 2 2 2" xfId="5252"/>
    <cellStyle name="Normal 4 3 2 2 2 3 2 2 2 2 2" xfId="32783"/>
    <cellStyle name="Normal 4 3 2 2 2 3 2 2 2 2 2 2" xfId="32784"/>
    <cellStyle name="Normal 4 3 2 2 2 3 2 2 2 2 2 2 2" xfId="32785"/>
    <cellStyle name="Normal 4 3 2 2 2 3 2 2 2 2 2 3" xfId="32786"/>
    <cellStyle name="Normal 4 3 2 2 2 3 2 2 2 2 3" xfId="32787"/>
    <cellStyle name="Normal 4 3 2 2 2 3 2 2 2 2 3 2" xfId="32788"/>
    <cellStyle name="Normal 4 3 2 2 2 3 2 2 2 2 4" xfId="32789"/>
    <cellStyle name="Normal 4 3 2 2 2 3 2 2 2 3" xfId="32790"/>
    <cellStyle name="Normal 4 3 2 2 2 3 2 2 2 3 2" xfId="32791"/>
    <cellStyle name="Normal 4 3 2 2 2 3 2 2 2 3 2 2" xfId="32792"/>
    <cellStyle name="Normal 4 3 2 2 2 3 2 2 2 3 3" xfId="32793"/>
    <cellStyle name="Normal 4 3 2 2 2 3 2 2 2 4" xfId="32794"/>
    <cellStyle name="Normal 4 3 2 2 2 3 2 2 2 4 2" xfId="32795"/>
    <cellStyle name="Normal 4 3 2 2 2 3 2 2 2 5" xfId="32796"/>
    <cellStyle name="Normal 4 3 2 2 2 3 2 2 3" xfId="3892"/>
    <cellStyle name="Normal 4 3 2 2 2 3 2 2 3 2" xfId="32797"/>
    <cellStyle name="Normal 4 3 2 2 2 3 2 2 3 2 2" xfId="32798"/>
    <cellStyle name="Normal 4 3 2 2 2 3 2 2 3 2 2 2" xfId="32799"/>
    <cellStyle name="Normal 4 3 2 2 2 3 2 2 3 2 3" xfId="32800"/>
    <cellStyle name="Normal 4 3 2 2 2 3 2 2 3 3" xfId="32801"/>
    <cellStyle name="Normal 4 3 2 2 2 3 2 2 3 3 2" xfId="32802"/>
    <cellStyle name="Normal 4 3 2 2 2 3 2 2 3 4" xfId="32803"/>
    <cellStyle name="Normal 4 3 2 2 2 3 2 2 4" xfId="32804"/>
    <cellStyle name="Normal 4 3 2 2 2 3 2 2 4 2" xfId="32805"/>
    <cellStyle name="Normal 4 3 2 2 2 3 2 2 4 2 2" xfId="32806"/>
    <cellStyle name="Normal 4 3 2 2 2 3 2 2 4 3" xfId="32807"/>
    <cellStyle name="Normal 4 3 2 2 2 3 2 2 5" xfId="32808"/>
    <cellStyle name="Normal 4 3 2 2 2 3 2 2 5 2" xfId="32809"/>
    <cellStyle name="Normal 4 3 2 2 2 3 2 2 6" xfId="32810"/>
    <cellStyle name="Normal 4 3 2 2 2 3 2 3" xfId="1852"/>
    <cellStyle name="Normal 4 3 2 2 2 3 2 3 2" xfId="4572"/>
    <cellStyle name="Normal 4 3 2 2 2 3 2 3 2 2" xfId="32811"/>
    <cellStyle name="Normal 4 3 2 2 2 3 2 3 2 2 2" xfId="32812"/>
    <cellStyle name="Normal 4 3 2 2 2 3 2 3 2 2 2 2" xfId="32813"/>
    <cellStyle name="Normal 4 3 2 2 2 3 2 3 2 2 3" xfId="32814"/>
    <cellStyle name="Normal 4 3 2 2 2 3 2 3 2 3" xfId="32815"/>
    <cellStyle name="Normal 4 3 2 2 2 3 2 3 2 3 2" xfId="32816"/>
    <cellStyle name="Normal 4 3 2 2 2 3 2 3 2 4" xfId="32817"/>
    <cellStyle name="Normal 4 3 2 2 2 3 2 3 3" xfId="32818"/>
    <cellStyle name="Normal 4 3 2 2 2 3 2 3 3 2" xfId="32819"/>
    <cellStyle name="Normal 4 3 2 2 2 3 2 3 3 2 2" xfId="32820"/>
    <cellStyle name="Normal 4 3 2 2 2 3 2 3 3 3" xfId="32821"/>
    <cellStyle name="Normal 4 3 2 2 2 3 2 3 4" xfId="32822"/>
    <cellStyle name="Normal 4 3 2 2 2 3 2 3 4 2" xfId="32823"/>
    <cellStyle name="Normal 4 3 2 2 2 3 2 3 5" xfId="32824"/>
    <cellStyle name="Normal 4 3 2 2 2 3 2 4" xfId="3212"/>
    <cellStyle name="Normal 4 3 2 2 2 3 2 4 2" xfId="32825"/>
    <cellStyle name="Normal 4 3 2 2 2 3 2 4 2 2" xfId="32826"/>
    <cellStyle name="Normal 4 3 2 2 2 3 2 4 2 2 2" xfId="32827"/>
    <cellStyle name="Normal 4 3 2 2 2 3 2 4 2 3" xfId="32828"/>
    <cellStyle name="Normal 4 3 2 2 2 3 2 4 3" xfId="32829"/>
    <cellStyle name="Normal 4 3 2 2 2 3 2 4 3 2" xfId="32830"/>
    <cellStyle name="Normal 4 3 2 2 2 3 2 4 4" xfId="32831"/>
    <cellStyle name="Normal 4 3 2 2 2 3 2 5" xfId="32832"/>
    <cellStyle name="Normal 4 3 2 2 2 3 2 5 2" xfId="32833"/>
    <cellStyle name="Normal 4 3 2 2 2 3 2 5 2 2" xfId="32834"/>
    <cellStyle name="Normal 4 3 2 2 2 3 2 5 3" xfId="32835"/>
    <cellStyle name="Normal 4 3 2 2 2 3 2 6" xfId="32836"/>
    <cellStyle name="Normal 4 3 2 2 2 3 2 6 2" xfId="32837"/>
    <cellStyle name="Normal 4 3 2 2 2 3 2 7" xfId="32838"/>
    <cellStyle name="Normal 4 3 2 2 2 3 3" xfId="900"/>
    <cellStyle name="Normal 4 3 2 2 2 3 3 2" xfId="2260"/>
    <cellStyle name="Normal 4 3 2 2 2 3 3 2 2" xfId="4980"/>
    <cellStyle name="Normal 4 3 2 2 2 3 3 2 2 2" xfId="32839"/>
    <cellStyle name="Normal 4 3 2 2 2 3 3 2 2 2 2" xfId="32840"/>
    <cellStyle name="Normal 4 3 2 2 2 3 3 2 2 2 2 2" xfId="32841"/>
    <cellStyle name="Normal 4 3 2 2 2 3 3 2 2 2 3" xfId="32842"/>
    <cellStyle name="Normal 4 3 2 2 2 3 3 2 2 3" xfId="32843"/>
    <cellStyle name="Normal 4 3 2 2 2 3 3 2 2 3 2" xfId="32844"/>
    <cellStyle name="Normal 4 3 2 2 2 3 3 2 2 4" xfId="32845"/>
    <cellStyle name="Normal 4 3 2 2 2 3 3 2 3" xfId="32846"/>
    <cellStyle name="Normal 4 3 2 2 2 3 3 2 3 2" xfId="32847"/>
    <cellStyle name="Normal 4 3 2 2 2 3 3 2 3 2 2" xfId="32848"/>
    <cellStyle name="Normal 4 3 2 2 2 3 3 2 3 3" xfId="32849"/>
    <cellStyle name="Normal 4 3 2 2 2 3 3 2 4" xfId="32850"/>
    <cellStyle name="Normal 4 3 2 2 2 3 3 2 4 2" xfId="32851"/>
    <cellStyle name="Normal 4 3 2 2 2 3 3 2 5" xfId="32852"/>
    <cellStyle name="Normal 4 3 2 2 2 3 3 3" xfId="3620"/>
    <cellStyle name="Normal 4 3 2 2 2 3 3 3 2" xfId="32853"/>
    <cellStyle name="Normal 4 3 2 2 2 3 3 3 2 2" xfId="32854"/>
    <cellStyle name="Normal 4 3 2 2 2 3 3 3 2 2 2" xfId="32855"/>
    <cellStyle name="Normal 4 3 2 2 2 3 3 3 2 3" xfId="32856"/>
    <cellStyle name="Normal 4 3 2 2 2 3 3 3 3" xfId="32857"/>
    <cellStyle name="Normal 4 3 2 2 2 3 3 3 3 2" xfId="32858"/>
    <cellStyle name="Normal 4 3 2 2 2 3 3 3 4" xfId="32859"/>
    <cellStyle name="Normal 4 3 2 2 2 3 3 4" xfId="32860"/>
    <cellStyle name="Normal 4 3 2 2 2 3 3 4 2" xfId="32861"/>
    <cellStyle name="Normal 4 3 2 2 2 3 3 4 2 2" xfId="32862"/>
    <cellStyle name="Normal 4 3 2 2 2 3 3 4 3" xfId="32863"/>
    <cellStyle name="Normal 4 3 2 2 2 3 3 5" xfId="32864"/>
    <cellStyle name="Normal 4 3 2 2 2 3 3 5 2" xfId="32865"/>
    <cellStyle name="Normal 4 3 2 2 2 3 3 6" xfId="32866"/>
    <cellStyle name="Normal 4 3 2 2 2 3 4" xfId="1580"/>
    <cellStyle name="Normal 4 3 2 2 2 3 4 2" xfId="4300"/>
    <cellStyle name="Normal 4 3 2 2 2 3 4 2 2" xfId="32867"/>
    <cellStyle name="Normal 4 3 2 2 2 3 4 2 2 2" xfId="32868"/>
    <cellStyle name="Normal 4 3 2 2 2 3 4 2 2 2 2" xfId="32869"/>
    <cellStyle name="Normal 4 3 2 2 2 3 4 2 2 3" xfId="32870"/>
    <cellStyle name="Normal 4 3 2 2 2 3 4 2 3" xfId="32871"/>
    <cellStyle name="Normal 4 3 2 2 2 3 4 2 3 2" xfId="32872"/>
    <cellStyle name="Normal 4 3 2 2 2 3 4 2 4" xfId="32873"/>
    <cellStyle name="Normal 4 3 2 2 2 3 4 3" xfId="32874"/>
    <cellStyle name="Normal 4 3 2 2 2 3 4 3 2" xfId="32875"/>
    <cellStyle name="Normal 4 3 2 2 2 3 4 3 2 2" xfId="32876"/>
    <cellStyle name="Normal 4 3 2 2 2 3 4 3 3" xfId="32877"/>
    <cellStyle name="Normal 4 3 2 2 2 3 4 4" xfId="32878"/>
    <cellStyle name="Normal 4 3 2 2 2 3 4 4 2" xfId="32879"/>
    <cellStyle name="Normal 4 3 2 2 2 3 4 5" xfId="32880"/>
    <cellStyle name="Normal 4 3 2 2 2 3 5" xfId="2940"/>
    <cellStyle name="Normal 4 3 2 2 2 3 5 2" xfId="32881"/>
    <cellStyle name="Normal 4 3 2 2 2 3 5 2 2" xfId="32882"/>
    <cellStyle name="Normal 4 3 2 2 2 3 5 2 2 2" xfId="32883"/>
    <cellStyle name="Normal 4 3 2 2 2 3 5 2 3" xfId="32884"/>
    <cellStyle name="Normal 4 3 2 2 2 3 5 3" xfId="32885"/>
    <cellStyle name="Normal 4 3 2 2 2 3 5 3 2" xfId="32886"/>
    <cellStyle name="Normal 4 3 2 2 2 3 5 4" xfId="32887"/>
    <cellStyle name="Normal 4 3 2 2 2 3 6" xfId="32888"/>
    <cellStyle name="Normal 4 3 2 2 2 3 6 2" xfId="32889"/>
    <cellStyle name="Normal 4 3 2 2 2 3 6 2 2" xfId="32890"/>
    <cellStyle name="Normal 4 3 2 2 2 3 6 3" xfId="32891"/>
    <cellStyle name="Normal 4 3 2 2 2 3 7" xfId="32892"/>
    <cellStyle name="Normal 4 3 2 2 2 3 7 2" xfId="32893"/>
    <cellStyle name="Normal 4 3 2 2 2 3 8" xfId="32894"/>
    <cellStyle name="Normal 4 3 2 2 2 4" xfId="356"/>
    <cellStyle name="Normal 4 3 2 2 2 4 2" xfId="1036"/>
    <cellStyle name="Normal 4 3 2 2 2 4 2 2" xfId="2396"/>
    <cellStyle name="Normal 4 3 2 2 2 4 2 2 2" xfId="5116"/>
    <cellStyle name="Normal 4 3 2 2 2 4 2 2 2 2" xfId="32895"/>
    <cellStyle name="Normal 4 3 2 2 2 4 2 2 2 2 2" xfId="32896"/>
    <cellStyle name="Normal 4 3 2 2 2 4 2 2 2 2 2 2" xfId="32897"/>
    <cellStyle name="Normal 4 3 2 2 2 4 2 2 2 2 3" xfId="32898"/>
    <cellStyle name="Normal 4 3 2 2 2 4 2 2 2 3" xfId="32899"/>
    <cellStyle name="Normal 4 3 2 2 2 4 2 2 2 3 2" xfId="32900"/>
    <cellStyle name="Normal 4 3 2 2 2 4 2 2 2 4" xfId="32901"/>
    <cellStyle name="Normal 4 3 2 2 2 4 2 2 3" xfId="32902"/>
    <cellStyle name="Normal 4 3 2 2 2 4 2 2 3 2" xfId="32903"/>
    <cellStyle name="Normal 4 3 2 2 2 4 2 2 3 2 2" xfId="32904"/>
    <cellStyle name="Normal 4 3 2 2 2 4 2 2 3 3" xfId="32905"/>
    <cellStyle name="Normal 4 3 2 2 2 4 2 2 4" xfId="32906"/>
    <cellStyle name="Normal 4 3 2 2 2 4 2 2 4 2" xfId="32907"/>
    <cellStyle name="Normal 4 3 2 2 2 4 2 2 5" xfId="32908"/>
    <cellStyle name="Normal 4 3 2 2 2 4 2 3" xfId="3756"/>
    <cellStyle name="Normal 4 3 2 2 2 4 2 3 2" xfId="32909"/>
    <cellStyle name="Normal 4 3 2 2 2 4 2 3 2 2" xfId="32910"/>
    <cellStyle name="Normal 4 3 2 2 2 4 2 3 2 2 2" xfId="32911"/>
    <cellStyle name="Normal 4 3 2 2 2 4 2 3 2 3" xfId="32912"/>
    <cellStyle name="Normal 4 3 2 2 2 4 2 3 3" xfId="32913"/>
    <cellStyle name="Normal 4 3 2 2 2 4 2 3 3 2" xfId="32914"/>
    <cellStyle name="Normal 4 3 2 2 2 4 2 3 4" xfId="32915"/>
    <cellStyle name="Normal 4 3 2 2 2 4 2 4" xfId="32916"/>
    <cellStyle name="Normal 4 3 2 2 2 4 2 4 2" xfId="32917"/>
    <cellStyle name="Normal 4 3 2 2 2 4 2 4 2 2" xfId="32918"/>
    <cellStyle name="Normal 4 3 2 2 2 4 2 4 3" xfId="32919"/>
    <cellStyle name="Normal 4 3 2 2 2 4 2 5" xfId="32920"/>
    <cellStyle name="Normal 4 3 2 2 2 4 2 5 2" xfId="32921"/>
    <cellStyle name="Normal 4 3 2 2 2 4 2 6" xfId="32922"/>
    <cellStyle name="Normal 4 3 2 2 2 4 3" xfId="1716"/>
    <cellStyle name="Normal 4 3 2 2 2 4 3 2" xfId="4436"/>
    <cellStyle name="Normal 4 3 2 2 2 4 3 2 2" xfId="32923"/>
    <cellStyle name="Normal 4 3 2 2 2 4 3 2 2 2" xfId="32924"/>
    <cellStyle name="Normal 4 3 2 2 2 4 3 2 2 2 2" xfId="32925"/>
    <cellStyle name="Normal 4 3 2 2 2 4 3 2 2 3" xfId="32926"/>
    <cellStyle name="Normal 4 3 2 2 2 4 3 2 3" xfId="32927"/>
    <cellStyle name="Normal 4 3 2 2 2 4 3 2 3 2" xfId="32928"/>
    <cellStyle name="Normal 4 3 2 2 2 4 3 2 4" xfId="32929"/>
    <cellStyle name="Normal 4 3 2 2 2 4 3 3" xfId="32930"/>
    <cellStyle name="Normal 4 3 2 2 2 4 3 3 2" xfId="32931"/>
    <cellStyle name="Normal 4 3 2 2 2 4 3 3 2 2" xfId="32932"/>
    <cellStyle name="Normal 4 3 2 2 2 4 3 3 3" xfId="32933"/>
    <cellStyle name="Normal 4 3 2 2 2 4 3 4" xfId="32934"/>
    <cellStyle name="Normal 4 3 2 2 2 4 3 4 2" xfId="32935"/>
    <cellStyle name="Normal 4 3 2 2 2 4 3 5" xfId="32936"/>
    <cellStyle name="Normal 4 3 2 2 2 4 4" xfId="3076"/>
    <cellStyle name="Normal 4 3 2 2 2 4 4 2" xfId="32937"/>
    <cellStyle name="Normal 4 3 2 2 2 4 4 2 2" xfId="32938"/>
    <cellStyle name="Normal 4 3 2 2 2 4 4 2 2 2" xfId="32939"/>
    <cellStyle name="Normal 4 3 2 2 2 4 4 2 3" xfId="32940"/>
    <cellStyle name="Normal 4 3 2 2 2 4 4 3" xfId="32941"/>
    <cellStyle name="Normal 4 3 2 2 2 4 4 3 2" xfId="32942"/>
    <cellStyle name="Normal 4 3 2 2 2 4 4 4" xfId="32943"/>
    <cellStyle name="Normal 4 3 2 2 2 4 5" xfId="32944"/>
    <cellStyle name="Normal 4 3 2 2 2 4 5 2" xfId="32945"/>
    <cellStyle name="Normal 4 3 2 2 2 4 5 2 2" xfId="32946"/>
    <cellStyle name="Normal 4 3 2 2 2 4 5 3" xfId="32947"/>
    <cellStyle name="Normal 4 3 2 2 2 4 6" xfId="32948"/>
    <cellStyle name="Normal 4 3 2 2 2 4 6 2" xfId="32949"/>
    <cellStyle name="Normal 4 3 2 2 2 4 7" xfId="32950"/>
    <cellStyle name="Normal 4 3 2 2 2 5" xfId="628"/>
    <cellStyle name="Normal 4 3 2 2 2 5 2" xfId="1308"/>
    <cellStyle name="Normal 4 3 2 2 2 5 2 2" xfId="2668"/>
    <cellStyle name="Normal 4 3 2 2 2 5 2 2 2" xfId="5388"/>
    <cellStyle name="Normal 4 3 2 2 2 5 2 2 2 2" xfId="32951"/>
    <cellStyle name="Normal 4 3 2 2 2 5 2 2 2 2 2" xfId="32952"/>
    <cellStyle name="Normal 4 3 2 2 2 5 2 2 2 2 2 2" xfId="32953"/>
    <cellStyle name="Normal 4 3 2 2 2 5 2 2 2 2 3" xfId="32954"/>
    <cellStyle name="Normal 4 3 2 2 2 5 2 2 2 3" xfId="32955"/>
    <cellStyle name="Normal 4 3 2 2 2 5 2 2 2 3 2" xfId="32956"/>
    <cellStyle name="Normal 4 3 2 2 2 5 2 2 2 4" xfId="32957"/>
    <cellStyle name="Normal 4 3 2 2 2 5 2 2 3" xfId="32958"/>
    <cellStyle name="Normal 4 3 2 2 2 5 2 2 3 2" xfId="32959"/>
    <cellStyle name="Normal 4 3 2 2 2 5 2 2 3 2 2" xfId="32960"/>
    <cellStyle name="Normal 4 3 2 2 2 5 2 2 3 3" xfId="32961"/>
    <cellStyle name="Normal 4 3 2 2 2 5 2 2 4" xfId="32962"/>
    <cellStyle name="Normal 4 3 2 2 2 5 2 2 4 2" xfId="32963"/>
    <cellStyle name="Normal 4 3 2 2 2 5 2 2 5" xfId="32964"/>
    <cellStyle name="Normal 4 3 2 2 2 5 2 3" xfId="4028"/>
    <cellStyle name="Normal 4 3 2 2 2 5 2 3 2" xfId="32965"/>
    <cellStyle name="Normal 4 3 2 2 2 5 2 3 2 2" xfId="32966"/>
    <cellStyle name="Normal 4 3 2 2 2 5 2 3 2 2 2" xfId="32967"/>
    <cellStyle name="Normal 4 3 2 2 2 5 2 3 2 3" xfId="32968"/>
    <cellStyle name="Normal 4 3 2 2 2 5 2 3 3" xfId="32969"/>
    <cellStyle name="Normal 4 3 2 2 2 5 2 3 3 2" xfId="32970"/>
    <cellStyle name="Normal 4 3 2 2 2 5 2 3 4" xfId="32971"/>
    <cellStyle name="Normal 4 3 2 2 2 5 2 4" xfId="32972"/>
    <cellStyle name="Normal 4 3 2 2 2 5 2 4 2" xfId="32973"/>
    <cellStyle name="Normal 4 3 2 2 2 5 2 4 2 2" xfId="32974"/>
    <cellStyle name="Normal 4 3 2 2 2 5 2 4 3" xfId="32975"/>
    <cellStyle name="Normal 4 3 2 2 2 5 2 5" xfId="32976"/>
    <cellStyle name="Normal 4 3 2 2 2 5 2 5 2" xfId="32977"/>
    <cellStyle name="Normal 4 3 2 2 2 5 2 6" xfId="32978"/>
    <cellStyle name="Normal 4 3 2 2 2 5 3" xfId="1988"/>
    <cellStyle name="Normal 4 3 2 2 2 5 3 2" xfId="4708"/>
    <cellStyle name="Normal 4 3 2 2 2 5 3 2 2" xfId="32979"/>
    <cellStyle name="Normal 4 3 2 2 2 5 3 2 2 2" xfId="32980"/>
    <cellStyle name="Normal 4 3 2 2 2 5 3 2 2 2 2" xfId="32981"/>
    <cellStyle name="Normal 4 3 2 2 2 5 3 2 2 3" xfId="32982"/>
    <cellStyle name="Normal 4 3 2 2 2 5 3 2 3" xfId="32983"/>
    <cellStyle name="Normal 4 3 2 2 2 5 3 2 3 2" xfId="32984"/>
    <cellStyle name="Normal 4 3 2 2 2 5 3 2 4" xfId="32985"/>
    <cellStyle name="Normal 4 3 2 2 2 5 3 3" xfId="32986"/>
    <cellStyle name="Normal 4 3 2 2 2 5 3 3 2" xfId="32987"/>
    <cellStyle name="Normal 4 3 2 2 2 5 3 3 2 2" xfId="32988"/>
    <cellStyle name="Normal 4 3 2 2 2 5 3 3 3" xfId="32989"/>
    <cellStyle name="Normal 4 3 2 2 2 5 3 4" xfId="32990"/>
    <cellStyle name="Normal 4 3 2 2 2 5 3 4 2" xfId="32991"/>
    <cellStyle name="Normal 4 3 2 2 2 5 3 5" xfId="32992"/>
    <cellStyle name="Normal 4 3 2 2 2 5 4" xfId="3348"/>
    <cellStyle name="Normal 4 3 2 2 2 5 4 2" xfId="32993"/>
    <cellStyle name="Normal 4 3 2 2 2 5 4 2 2" xfId="32994"/>
    <cellStyle name="Normal 4 3 2 2 2 5 4 2 2 2" xfId="32995"/>
    <cellStyle name="Normal 4 3 2 2 2 5 4 2 3" xfId="32996"/>
    <cellStyle name="Normal 4 3 2 2 2 5 4 3" xfId="32997"/>
    <cellStyle name="Normal 4 3 2 2 2 5 4 3 2" xfId="32998"/>
    <cellStyle name="Normal 4 3 2 2 2 5 4 4" xfId="32999"/>
    <cellStyle name="Normal 4 3 2 2 2 5 5" xfId="33000"/>
    <cellStyle name="Normal 4 3 2 2 2 5 5 2" xfId="33001"/>
    <cellStyle name="Normal 4 3 2 2 2 5 5 2 2" xfId="33002"/>
    <cellStyle name="Normal 4 3 2 2 2 5 5 3" xfId="33003"/>
    <cellStyle name="Normal 4 3 2 2 2 5 6" xfId="33004"/>
    <cellStyle name="Normal 4 3 2 2 2 5 6 2" xfId="33005"/>
    <cellStyle name="Normal 4 3 2 2 2 5 7" xfId="33006"/>
    <cellStyle name="Normal 4 3 2 2 2 6" xfId="764"/>
    <cellStyle name="Normal 4 3 2 2 2 6 2" xfId="2124"/>
    <cellStyle name="Normal 4 3 2 2 2 6 2 2" xfId="4844"/>
    <cellStyle name="Normal 4 3 2 2 2 6 2 2 2" xfId="33007"/>
    <cellStyle name="Normal 4 3 2 2 2 6 2 2 2 2" xfId="33008"/>
    <cellStyle name="Normal 4 3 2 2 2 6 2 2 2 2 2" xfId="33009"/>
    <cellStyle name="Normal 4 3 2 2 2 6 2 2 2 3" xfId="33010"/>
    <cellStyle name="Normal 4 3 2 2 2 6 2 2 3" xfId="33011"/>
    <cellStyle name="Normal 4 3 2 2 2 6 2 2 3 2" xfId="33012"/>
    <cellStyle name="Normal 4 3 2 2 2 6 2 2 4" xfId="33013"/>
    <cellStyle name="Normal 4 3 2 2 2 6 2 3" xfId="33014"/>
    <cellStyle name="Normal 4 3 2 2 2 6 2 3 2" xfId="33015"/>
    <cellStyle name="Normal 4 3 2 2 2 6 2 3 2 2" xfId="33016"/>
    <cellStyle name="Normal 4 3 2 2 2 6 2 3 3" xfId="33017"/>
    <cellStyle name="Normal 4 3 2 2 2 6 2 4" xfId="33018"/>
    <cellStyle name="Normal 4 3 2 2 2 6 2 4 2" xfId="33019"/>
    <cellStyle name="Normal 4 3 2 2 2 6 2 5" xfId="33020"/>
    <cellStyle name="Normal 4 3 2 2 2 6 3" xfId="3484"/>
    <cellStyle name="Normal 4 3 2 2 2 6 3 2" xfId="33021"/>
    <cellStyle name="Normal 4 3 2 2 2 6 3 2 2" xfId="33022"/>
    <cellStyle name="Normal 4 3 2 2 2 6 3 2 2 2" xfId="33023"/>
    <cellStyle name="Normal 4 3 2 2 2 6 3 2 3" xfId="33024"/>
    <cellStyle name="Normal 4 3 2 2 2 6 3 3" xfId="33025"/>
    <cellStyle name="Normal 4 3 2 2 2 6 3 3 2" xfId="33026"/>
    <cellStyle name="Normal 4 3 2 2 2 6 3 4" xfId="33027"/>
    <cellStyle name="Normal 4 3 2 2 2 6 4" xfId="33028"/>
    <cellStyle name="Normal 4 3 2 2 2 6 4 2" xfId="33029"/>
    <cellStyle name="Normal 4 3 2 2 2 6 4 2 2" xfId="33030"/>
    <cellStyle name="Normal 4 3 2 2 2 6 4 3" xfId="33031"/>
    <cellStyle name="Normal 4 3 2 2 2 6 5" xfId="33032"/>
    <cellStyle name="Normal 4 3 2 2 2 6 5 2" xfId="33033"/>
    <cellStyle name="Normal 4 3 2 2 2 6 6" xfId="33034"/>
    <cellStyle name="Normal 4 3 2 2 2 7" xfId="1444"/>
    <cellStyle name="Normal 4 3 2 2 2 7 2" xfId="4164"/>
    <cellStyle name="Normal 4 3 2 2 2 7 2 2" xfId="33035"/>
    <cellStyle name="Normal 4 3 2 2 2 7 2 2 2" xfId="33036"/>
    <cellStyle name="Normal 4 3 2 2 2 7 2 2 2 2" xfId="33037"/>
    <cellStyle name="Normal 4 3 2 2 2 7 2 2 3" xfId="33038"/>
    <cellStyle name="Normal 4 3 2 2 2 7 2 3" xfId="33039"/>
    <cellStyle name="Normal 4 3 2 2 2 7 2 3 2" xfId="33040"/>
    <cellStyle name="Normal 4 3 2 2 2 7 2 4" xfId="33041"/>
    <cellStyle name="Normal 4 3 2 2 2 7 3" xfId="33042"/>
    <cellStyle name="Normal 4 3 2 2 2 7 3 2" xfId="33043"/>
    <cellStyle name="Normal 4 3 2 2 2 7 3 2 2" xfId="33044"/>
    <cellStyle name="Normal 4 3 2 2 2 7 3 3" xfId="33045"/>
    <cellStyle name="Normal 4 3 2 2 2 7 4" xfId="33046"/>
    <cellStyle name="Normal 4 3 2 2 2 7 4 2" xfId="33047"/>
    <cellStyle name="Normal 4 3 2 2 2 7 5" xfId="33048"/>
    <cellStyle name="Normal 4 3 2 2 2 8" xfId="2804"/>
    <cellStyle name="Normal 4 3 2 2 2 8 2" xfId="33049"/>
    <cellStyle name="Normal 4 3 2 2 2 8 2 2" xfId="33050"/>
    <cellStyle name="Normal 4 3 2 2 2 8 2 2 2" xfId="33051"/>
    <cellStyle name="Normal 4 3 2 2 2 8 2 3" xfId="33052"/>
    <cellStyle name="Normal 4 3 2 2 2 8 3" xfId="33053"/>
    <cellStyle name="Normal 4 3 2 2 2 8 3 2" xfId="33054"/>
    <cellStyle name="Normal 4 3 2 2 2 8 4" xfId="33055"/>
    <cellStyle name="Normal 4 3 2 2 2 9" xfId="33056"/>
    <cellStyle name="Normal 4 3 2 2 2 9 2" xfId="33057"/>
    <cellStyle name="Normal 4 3 2 2 2 9 2 2" xfId="33058"/>
    <cellStyle name="Normal 4 3 2 2 2 9 3" xfId="33059"/>
    <cellStyle name="Normal 4 3 2 2 3" xfId="117"/>
    <cellStyle name="Normal 4 3 2 2 3 10" xfId="33060"/>
    <cellStyle name="Normal 4 3 2 2 3 2" xfId="254"/>
    <cellStyle name="Normal 4 3 2 2 3 2 2" xfId="526"/>
    <cellStyle name="Normal 4 3 2 2 3 2 2 2" xfId="1206"/>
    <cellStyle name="Normal 4 3 2 2 3 2 2 2 2" xfId="2566"/>
    <cellStyle name="Normal 4 3 2 2 3 2 2 2 2 2" xfId="5286"/>
    <cellStyle name="Normal 4 3 2 2 3 2 2 2 2 2 2" xfId="33061"/>
    <cellStyle name="Normal 4 3 2 2 3 2 2 2 2 2 2 2" xfId="33062"/>
    <cellStyle name="Normal 4 3 2 2 3 2 2 2 2 2 2 2 2" xfId="33063"/>
    <cellStyle name="Normal 4 3 2 2 3 2 2 2 2 2 2 3" xfId="33064"/>
    <cellStyle name="Normal 4 3 2 2 3 2 2 2 2 2 3" xfId="33065"/>
    <cellStyle name="Normal 4 3 2 2 3 2 2 2 2 2 3 2" xfId="33066"/>
    <cellStyle name="Normal 4 3 2 2 3 2 2 2 2 2 4" xfId="33067"/>
    <cellStyle name="Normal 4 3 2 2 3 2 2 2 2 3" xfId="33068"/>
    <cellStyle name="Normal 4 3 2 2 3 2 2 2 2 3 2" xfId="33069"/>
    <cellStyle name="Normal 4 3 2 2 3 2 2 2 2 3 2 2" xfId="33070"/>
    <cellStyle name="Normal 4 3 2 2 3 2 2 2 2 3 3" xfId="33071"/>
    <cellStyle name="Normal 4 3 2 2 3 2 2 2 2 4" xfId="33072"/>
    <cellStyle name="Normal 4 3 2 2 3 2 2 2 2 4 2" xfId="33073"/>
    <cellStyle name="Normal 4 3 2 2 3 2 2 2 2 5" xfId="33074"/>
    <cellStyle name="Normal 4 3 2 2 3 2 2 2 3" xfId="3926"/>
    <cellStyle name="Normal 4 3 2 2 3 2 2 2 3 2" xfId="33075"/>
    <cellStyle name="Normal 4 3 2 2 3 2 2 2 3 2 2" xfId="33076"/>
    <cellStyle name="Normal 4 3 2 2 3 2 2 2 3 2 2 2" xfId="33077"/>
    <cellStyle name="Normal 4 3 2 2 3 2 2 2 3 2 3" xfId="33078"/>
    <cellStyle name="Normal 4 3 2 2 3 2 2 2 3 3" xfId="33079"/>
    <cellStyle name="Normal 4 3 2 2 3 2 2 2 3 3 2" xfId="33080"/>
    <cellStyle name="Normal 4 3 2 2 3 2 2 2 3 4" xfId="33081"/>
    <cellStyle name="Normal 4 3 2 2 3 2 2 2 4" xfId="33082"/>
    <cellStyle name="Normal 4 3 2 2 3 2 2 2 4 2" xfId="33083"/>
    <cellStyle name="Normal 4 3 2 2 3 2 2 2 4 2 2" xfId="33084"/>
    <cellStyle name="Normal 4 3 2 2 3 2 2 2 4 3" xfId="33085"/>
    <cellStyle name="Normal 4 3 2 2 3 2 2 2 5" xfId="33086"/>
    <cellStyle name="Normal 4 3 2 2 3 2 2 2 5 2" xfId="33087"/>
    <cellStyle name="Normal 4 3 2 2 3 2 2 2 6" xfId="33088"/>
    <cellStyle name="Normal 4 3 2 2 3 2 2 3" xfId="1886"/>
    <cellStyle name="Normal 4 3 2 2 3 2 2 3 2" xfId="4606"/>
    <cellStyle name="Normal 4 3 2 2 3 2 2 3 2 2" xfId="33089"/>
    <cellStyle name="Normal 4 3 2 2 3 2 2 3 2 2 2" xfId="33090"/>
    <cellStyle name="Normal 4 3 2 2 3 2 2 3 2 2 2 2" xfId="33091"/>
    <cellStyle name="Normal 4 3 2 2 3 2 2 3 2 2 3" xfId="33092"/>
    <cellStyle name="Normal 4 3 2 2 3 2 2 3 2 3" xfId="33093"/>
    <cellStyle name="Normal 4 3 2 2 3 2 2 3 2 3 2" xfId="33094"/>
    <cellStyle name="Normal 4 3 2 2 3 2 2 3 2 4" xfId="33095"/>
    <cellStyle name="Normal 4 3 2 2 3 2 2 3 3" xfId="33096"/>
    <cellStyle name="Normal 4 3 2 2 3 2 2 3 3 2" xfId="33097"/>
    <cellStyle name="Normal 4 3 2 2 3 2 2 3 3 2 2" xfId="33098"/>
    <cellStyle name="Normal 4 3 2 2 3 2 2 3 3 3" xfId="33099"/>
    <cellStyle name="Normal 4 3 2 2 3 2 2 3 4" xfId="33100"/>
    <cellStyle name="Normal 4 3 2 2 3 2 2 3 4 2" xfId="33101"/>
    <cellStyle name="Normal 4 3 2 2 3 2 2 3 5" xfId="33102"/>
    <cellStyle name="Normal 4 3 2 2 3 2 2 4" xfId="3246"/>
    <cellStyle name="Normal 4 3 2 2 3 2 2 4 2" xfId="33103"/>
    <cellStyle name="Normal 4 3 2 2 3 2 2 4 2 2" xfId="33104"/>
    <cellStyle name="Normal 4 3 2 2 3 2 2 4 2 2 2" xfId="33105"/>
    <cellStyle name="Normal 4 3 2 2 3 2 2 4 2 3" xfId="33106"/>
    <cellStyle name="Normal 4 3 2 2 3 2 2 4 3" xfId="33107"/>
    <cellStyle name="Normal 4 3 2 2 3 2 2 4 3 2" xfId="33108"/>
    <cellStyle name="Normal 4 3 2 2 3 2 2 4 4" xfId="33109"/>
    <cellStyle name="Normal 4 3 2 2 3 2 2 5" xfId="33110"/>
    <cellStyle name="Normal 4 3 2 2 3 2 2 5 2" xfId="33111"/>
    <cellStyle name="Normal 4 3 2 2 3 2 2 5 2 2" xfId="33112"/>
    <cellStyle name="Normal 4 3 2 2 3 2 2 5 3" xfId="33113"/>
    <cellStyle name="Normal 4 3 2 2 3 2 2 6" xfId="33114"/>
    <cellStyle name="Normal 4 3 2 2 3 2 2 6 2" xfId="33115"/>
    <cellStyle name="Normal 4 3 2 2 3 2 2 7" xfId="33116"/>
    <cellStyle name="Normal 4 3 2 2 3 2 3" xfId="934"/>
    <cellStyle name="Normal 4 3 2 2 3 2 3 2" xfId="2294"/>
    <cellStyle name="Normal 4 3 2 2 3 2 3 2 2" xfId="5014"/>
    <cellStyle name="Normal 4 3 2 2 3 2 3 2 2 2" xfId="33117"/>
    <cellStyle name="Normal 4 3 2 2 3 2 3 2 2 2 2" xfId="33118"/>
    <cellStyle name="Normal 4 3 2 2 3 2 3 2 2 2 2 2" xfId="33119"/>
    <cellStyle name="Normal 4 3 2 2 3 2 3 2 2 2 3" xfId="33120"/>
    <cellStyle name="Normal 4 3 2 2 3 2 3 2 2 3" xfId="33121"/>
    <cellStyle name="Normal 4 3 2 2 3 2 3 2 2 3 2" xfId="33122"/>
    <cellStyle name="Normal 4 3 2 2 3 2 3 2 2 4" xfId="33123"/>
    <cellStyle name="Normal 4 3 2 2 3 2 3 2 3" xfId="33124"/>
    <cellStyle name="Normal 4 3 2 2 3 2 3 2 3 2" xfId="33125"/>
    <cellStyle name="Normal 4 3 2 2 3 2 3 2 3 2 2" xfId="33126"/>
    <cellStyle name="Normal 4 3 2 2 3 2 3 2 3 3" xfId="33127"/>
    <cellStyle name="Normal 4 3 2 2 3 2 3 2 4" xfId="33128"/>
    <cellStyle name="Normal 4 3 2 2 3 2 3 2 4 2" xfId="33129"/>
    <cellStyle name="Normal 4 3 2 2 3 2 3 2 5" xfId="33130"/>
    <cellStyle name="Normal 4 3 2 2 3 2 3 3" xfId="3654"/>
    <cellStyle name="Normal 4 3 2 2 3 2 3 3 2" xfId="33131"/>
    <cellStyle name="Normal 4 3 2 2 3 2 3 3 2 2" xfId="33132"/>
    <cellStyle name="Normal 4 3 2 2 3 2 3 3 2 2 2" xfId="33133"/>
    <cellStyle name="Normal 4 3 2 2 3 2 3 3 2 3" xfId="33134"/>
    <cellStyle name="Normal 4 3 2 2 3 2 3 3 3" xfId="33135"/>
    <cellStyle name="Normal 4 3 2 2 3 2 3 3 3 2" xfId="33136"/>
    <cellStyle name="Normal 4 3 2 2 3 2 3 3 4" xfId="33137"/>
    <cellStyle name="Normal 4 3 2 2 3 2 3 4" xfId="33138"/>
    <cellStyle name="Normal 4 3 2 2 3 2 3 4 2" xfId="33139"/>
    <cellStyle name="Normal 4 3 2 2 3 2 3 4 2 2" xfId="33140"/>
    <cellStyle name="Normal 4 3 2 2 3 2 3 4 3" xfId="33141"/>
    <cellStyle name="Normal 4 3 2 2 3 2 3 5" xfId="33142"/>
    <cellStyle name="Normal 4 3 2 2 3 2 3 5 2" xfId="33143"/>
    <cellStyle name="Normal 4 3 2 2 3 2 3 6" xfId="33144"/>
    <cellStyle name="Normal 4 3 2 2 3 2 4" xfId="1614"/>
    <cellStyle name="Normal 4 3 2 2 3 2 4 2" xfId="4334"/>
    <cellStyle name="Normal 4 3 2 2 3 2 4 2 2" xfId="33145"/>
    <cellStyle name="Normal 4 3 2 2 3 2 4 2 2 2" xfId="33146"/>
    <cellStyle name="Normal 4 3 2 2 3 2 4 2 2 2 2" xfId="33147"/>
    <cellStyle name="Normal 4 3 2 2 3 2 4 2 2 3" xfId="33148"/>
    <cellStyle name="Normal 4 3 2 2 3 2 4 2 3" xfId="33149"/>
    <cellStyle name="Normal 4 3 2 2 3 2 4 2 3 2" xfId="33150"/>
    <cellStyle name="Normal 4 3 2 2 3 2 4 2 4" xfId="33151"/>
    <cellStyle name="Normal 4 3 2 2 3 2 4 3" xfId="33152"/>
    <cellStyle name="Normal 4 3 2 2 3 2 4 3 2" xfId="33153"/>
    <cellStyle name="Normal 4 3 2 2 3 2 4 3 2 2" xfId="33154"/>
    <cellStyle name="Normal 4 3 2 2 3 2 4 3 3" xfId="33155"/>
    <cellStyle name="Normal 4 3 2 2 3 2 4 4" xfId="33156"/>
    <cellStyle name="Normal 4 3 2 2 3 2 4 4 2" xfId="33157"/>
    <cellStyle name="Normal 4 3 2 2 3 2 4 5" xfId="33158"/>
    <cellStyle name="Normal 4 3 2 2 3 2 5" xfId="2974"/>
    <cellStyle name="Normal 4 3 2 2 3 2 5 2" xfId="33159"/>
    <cellStyle name="Normal 4 3 2 2 3 2 5 2 2" xfId="33160"/>
    <cellStyle name="Normal 4 3 2 2 3 2 5 2 2 2" xfId="33161"/>
    <cellStyle name="Normal 4 3 2 2 3 2 5 2 3" xfId="33162"/>
    <cellStyle name="Normal 4 3 2 2 3 2 5 3" xfId="33163"/>
    <cellStyle name="Normal 4 3 2 2 3 2 5 3 2" xfId="33164"/>
    <cellStyle name="Normal 4 3 2 2 3 2 5 4" xfId="33165"/>
    <cellStyle name="Normal 4 3 2 2 3 2 6" xfId="33166"/>
    <cellStyle name="Normal 4 3 2 2 3 2 6 2" xfId="33167"/>
    <cellStyle name="Normal 4 3 2 2 3 2 6 2 2" xfId="33168"/>
    <cellStyle name="Normal 4 3 2 2 3 2 6 3" xfId="33169"/>
    <cellStyle name="Normal 4 3 2 2 3 2 7" xfId="33170"/>
    <cellStyle name="Normal 4 3 2 2 3 2 7 2" xfId="33171"/>
    <cellStyle name="Normal 4 3 2 2 3 2 8" xfId="33172"/>
    <cellStyle name="Normal 4 3 2 2 3 3" xfId="390"/>
    <cellStyle name="Normal 4 3 2 2 3 3 2" xfId="1070"/>
    <cellStyle name="Normal 4 3 2 2 3 3 2 2" xfId="2430"/>
    <cellStyle name="Normal 4 3 2 2 3 3 2 2 2" xfId="5150"/>
    <cellStyle name="Normal 4 3 2 2 3 3 2 2 2 2" xfId="33173"/>
    <cellStyle name="Normal 4 3 2 2 3 3 2 2 2 2 2" xfId="33174"/>
    <cellStyle name="Normal 4 3 2 2 3 3 2 2 2 2 2 2" xfId="33175"/>
    <cellStyle name="Normal 4 3 2 2 3 3 2 2 2 2 3" xfId="33176"/>
    <cellStyle name="Normal 4 3 2 2 3 3 2 2 2 3" xfId="33177"/>
    <cellStyle name="Normal 4 3 2 2 3 3 2 2 2 3 2" xfId="33178"/>
    <cellStyle name="Normal 4 3 2 2 3 3 2 2 2 4" xfId="33179"/>
    <cellStyle name="Normal 4 3 2 2 3 3 2 2 3" xfId="33180"/>
    <cellStyle name="Normal 4 3 2 2 3 3 2 2 3 2" xfId="33181"/>
    <cellStyle name="Normal 4 3 2 2 3 3 2 2 3 2 2" xfId="33182"/>
    <cellStyle name="Normal 4 3 2 2 3 3 2 2 3 3" xfId="33183"/>
    <cellStyle name="Normal 4 3 2 2 3 3 2 2 4" xfId="33184"/>
    <cellStyle name="Normal 4 3 2 2 3 3 2 2 4 2" xfId="33185"/>
    <cellStyle name="Normal 4 3 2 2 3 3 2 2 5" xfId="33186"/>
    <cellStyle name="Normal 4 3 2 2 3 3 2 3" xfId="3790"/>
    <cellStyle name="Normal 4 3 2 2 3 3 2 3 2" xfId="33187"/>
    <cellStyle name="Normal 4 3 2 2 3 3 2 3 2 2" xfId="33188"/>
    <cellStyle name="Normal 4 3 2 2 3 3 2 3 2 2 2" xfId="33189"/>
    <cellStyle name="Normal 4 3 2 2 3 3 2 3 2 3" xfId="33190"/>
    <cellStyle name="Normal 4 3 2 2 3 3 2 3 3" xfId="33191"/>
    <cellStyle name="Normal 4 3 2 2 3 3 2 3 3 2" xfId="33192"/>
    <cellStyle name="Normal 4 3 2 2 3 3 2 3 4" xfId="33193"/>
    <cellStyle name="Normal 4 3 2 2 3 3 2 4" xfId="33194"/>
    <cellStyle name="Normal 4 3 2 2 3 3 2 4 2" xfId="33195"/>
    <cellStyle name="Normal 4 3 2 2 3 3 2 4 2 2" xfId="33196"/>
    <cellStyle name="Normal 4 3 2 2 3 3 2 4 3" xfId="33197"/>
    <cellStyle name="Normal 4 3 2 2 3 3 2 5" xfId="33198"/>
    <cellStyle name="Normal 4 3 2 2 3 3 2 5 2" xfId="33199"/>
    <cellStyle name="Normal 4 3 2 2 3 3 2 6" xfId="33200"/>
    <cellStyle name="Normal 4 3 2 2 3 3 3" xfId="1750"/>
    <cellStyle name="Normal 4 3 2 2 3 3 3 2" xfId="4470"/>
    <cellStyle name="Normal 4 3 2 2 3 3 3 2 2" xfId="33201"/>
    <cellStyle name="Normal 4 3 2 2 3 3 3 2 2 2" xfId="33202"/>
    <cellStyle name="Normal 4 3 2 2 3 3 3 2 2 2 2" xfId="33203"/>
    <cellStyle name="Normal 4 3 2 2 3 3 3 2 2 3" xfId="33204"/>
    <cellStyle name="Normal 4 3 2 2 3 3 3 2 3" xfId="33205"/>
    <cellStyle name="Normal 4 3 2 2 3 3 3 2 3 2" xfId="33206"/>
    <cellStyle name="Normal 4 3 2 2 3 3 3 2 4" xfId="33207"/>
    <cellStyle name="Normal 4 3 2 2 3 3 3 3" xfId="33208"/>
    <cellStyle name="Normal 4 3 2 2 3 3 3 3 2" xfId="33209"/>
    <cellStyle name="Normal 4 3 2 2 3 3 3 3 2 2" xfId="33210"/>
    <cellStyle name="Normal 4 3 2 2 3 3 3 3 3" xfId="33211"/>
    <cellStyle name="Normal 4 3 2 2 3 3 3 4" xfId="33212"/>
    <cellStyle name="Normal 4 3 2 2 3 3 3 4 2" xfId="33213"/>
    <cellStyle name="Normal 4 3 2 2 3 3 3 5" xfId="33214"/>
    <cellStyle name="Normal 4 3 2 2 3 3 4" xfId="3110"/>
    <cellStyle name="Normal 4 3 2 2 3 3 4 2" xfId="33215"/>
    <cellStyle name="Normal 4 3 2 2 3 3 4 2 2" xfId="33216"/>
    <cellStyle name="Normal 4 3 2 2 3 3 4 2 2 2" xfId="33217"/>
    <cellStyle name="Normal 4 3 2 2 3 3 4 2 3" xfId="33218"/>
    <cellStyle name="Normal 4 3 2 2 3 3 4 3" xfId="33219"/>
    <cellStyle name="Normal 4 3 2 2 3 3 4 3 2" xfId="33220"/>
    <cellStyle name="Normal 4 3 2 2 3 3 4 4" xfId="33221"/>
    <cellStyle name="Normal 4 3 2 2 3 3 5" xfId="33222"/>
    <cellStyle name="Normal 4 3 2 2 3 3 5 2" xfId="33223"/>
    <cellStyle name="Normal 4 3 2 2 3 3 5 2 2" xfId="33224"/>
    <cellStyle name="Normal 4 3 2 2 3 3 5 3" xfId="33225"/>
    <cellStyle name="Normal 4 3 2 2 3 3 6" xfId="33226"/>
    <cellStyle name="Normal 4 3 2 2 3 3 6 2" xfId="33227"/>
    <cellStyle name="Normal 4 3 2 2 3 3 7" xfId="33228"/>
    <cellStyle name="Normal 4 3 2 2 3 4" xfId="662"/>
    <cellStyle name="Normal 4 3 2 2 3 4 2" xfId="1342"/>
    <cellStyle name="Normal 4 3 2 2 3 4 2 2" xfId="2702"/>
    <cellStyle name="Normal 4 3 2 2 3 4 2 2 2" xfId="5422"/>
    <cellStyle name="Normal 4 3 2 2 3 4 2 2 2 2" xfId="33229"/>
    <cellStyle name="Normal 4 3 2 2 3 4 2 2 2 2 2" xfId="33230"/>
    <cellStyle name="Normal 4 3 2 2 3 4 2 2 2 2 2 2" xfId="33231"/>
    <cellStyle name="Normal 4 3 2 2 3 4 2 2 2 2 3" xfId="33232"/>
    <cellStyle name="Normal 4 3 2 2 3 4 2 2 2 3" xfId="33233"/>
    <cellStyle name="Normal 4 3 2 2 3 4 2 2 2 3 2" xfId="33234"/>
    <cellStyle name="Normal 4 3 2 2 3 4 2 2 2 4" xfId="33235"/>
    <cellStyle name="Normal 4 3 2 2 3 4 2 2 3" xfId="33236"/>
    <cellStyle name="Normal 4 3 2 2 3 4 2 2 3 2" xfId="33237"/>
    <cellStyle name="Normal 4 3 2 2 3 4 2 2 3 2 2" xfId="33238"/>
    <cellStyle name="Normal 4 3 2 2 3 4 2 2 3 3" xfId="33239"/>
    <cellStyle name="Normal 4 3 2 2 3 4 2 2 4" xfId="33240"/>
    <cellStyle name="Normal 4 3 2 2 3 4 2 2 4 2" xfId="33241"/>
    <cellStyle name="Normal 4 3 2 2 3 4 2 2 5" xfId="33242"/>
    <cellStyle name="Normal 4 3 2 2 3 4 2 3" xfId="4062"/>
    <cellStyle name="Normal 4 3 2 2 3 4 2 3 2" xfId="33243"/>
    <cellStyle name="Normal 4 3 2 2 3 4 2 3 2 2" xfId="33244"/>
    <cellStyle name="Normal 4 3 2 2 3 4 2 3 2 2 2" xfId="33245"/>
    <cellStyle name="Normal 4 3 2 2 3 4 2 3 2 3" xfId="33246"/>
    <cellStyle name="Normal 4 3 2 2 3 4 2 3 3" xfId="33247"/>
    <cellStyle name="Normal 4 3 2 2 3 4 2 3 3 2" xfId="33248"/>
    <cellStyle name="Normal 4 3 2 2 3 4 2 3 4" xfId="33249"/>
    <cellStyle name="Normal 4 3 2 2 3 4 2 4" xfId="33250"/>
    <cellStyle name="Normal 4 3 2 2 3 4 2 4 2" xfId="33251"/>
    <cellStyle name="Normal 4 3 2 2 3 4 2 4 2 2" xfId="33252"/>
    <cellStyle name="Normal 4 3 2 2 3 4 2 4 3" xfId="33253"/>
    <cellStyle name="Normal 4 3 2 2 3 4 2 5" xfId="33254"/>
    <cellStyle name="Normal 4 3 2 2 3 4 2 5 2" xfId="33255"/>
    <cellStyle name="Normal 4 3 2 2 3 4 2 6" xfId="33256"/>
    <cellStyle name="Normal 4 3 2 2 3 4 3" xfId="2022"/>
    <cellStyle name="Normal 4 3 2 2 3 4 3 2" xfId="4742"/>
    <cellStyle name="Normal 4 3 2 2 3 4 3 2 2" xfId="33257"/>
    <cellStyle name="Normal 4 3 2 2 3 4 3 2 2 2" xfId="33258"/>
    <cellStyle name="Normal 4 3 2 2 3 4 3 2 2 2 2" xfId="33259"/>
    <cellStyle name="Normal 4 3 2 2 3 4 3 2 2 3" xfId="33260"/>
    <cellStyle name="Normal 4 3 2 2 3 4 3 2 3" xfId="33261"/>
    <cellStyle name="Normal 4 3 2 2 3 4 3 2 3 2" xfId="33262"/>
    <cellStyle name="Normal 4 3 2 2 3 4 3 2 4" xfId="33263"/>
    <cellStyle name="Normal 4 3 2 2 3 4 3 3" xfId="33264"/>
    <cellStyle name="Normal 4 3 2 2 3 4 3 3 2" xfId="33265"/>
    <cellStyle name="Normal 4 3 2 2 3 4 3 3 2 2" xfId="33266"/>
    <cellStyle name="Normal 4 3 2 2 3 4 3 3 3" xfId="33267"/>
    <cellStyle name="Normal 4 3 2 2 3 4 3 4" xfId="33268"/>
    <cellStyle name="Normal 4 3 2 2 3 4 3 4 2" xfId="33269"/>
    <cellStyle name="Normal 4 3 2 2 3 4 3 5" xfId="33270"/>
    <cellStyle name="Normal 4 3 2 2 3 4 4" xfId="3382"/>
    <cellStyle name="Normal 4 3 2 2 3 4 4 2" xfId="33271"/>
    <cellStyle name="Normal 4 3 2 2 3 4 4 2 2" xfId="33272"/>
    <cellStyle name="Normal 4 3 2 2 3 4 4 2 2 2" xfId="33273"/>
    <cellStyle name="Normal 4 3 2 2 3 4 4 2 3" xfId="33274"/>
    <cellStyle name="Normal 4 3 2 2 3 4 4 3" xfId="33275"/>
    <cellStyle name="Normal 4 3 2 2 3 4 4 3 2" xfId="33276"/>
    <cellStyle name="Normal 4 3 2 2 3 4 4 4" xfId="33277"/>
    <cellStyle name="Normal 4 3 2 2 3 4 5" xfId="33278"/>
    <cellStyle name="Normal 4 3 2 2 3 4 5 2" xfId="33279"/>
    <cellStyle name="Normal 4 3 2 2 3 4 5 2 2" xfId="33280"/>
    <cellStyle name="Normal 4 3 2 2 3 4 5 3" xfId="33281"/>
    <cellStyle name="Normal 4 3 2 2 3 4 6" xfId="33282"/>
    <cellStyle name="Normal 4 3 2 2 3 4 6 2" xfId="33283"/>
    <cellStyle name="Normal 4 3 2 2 3 4 7" xfId="33284"/>
    <cellStyle name="Normal 4 3 2 2 3 5" xfId="798"/>
    <cellStyle name="Normal 4 3 2 2 3 5 2" xfId="2158"/>
    <cellStyle name="Normal 4 3 2 2 3 5 2 2" xfId="4878"/>
    <cellStyle name="Normal 4 3 2 2 3 5 2 2 2" xfId="33285"/>
    <cellStyle name="Normal 4 3 2 2 3 5 2 2 2 2" xfId="33286"/>
    <cellStyle name="Normal 4 3 2 2 3 5 2 2 2 2 2" xfId="33287"/>
    <cellStyle name="Normal 4 3 2 2 3 5 2 2 2 3" xfId="33288"/>
    <cellStyle name="Normal 4 3 2 2 3 5 2 2 3" xfId="33289"/>
    <cellStyle name="Normal 4 3 2 2 3 5 2 2 3 2" xfId="33290"/>
    <cellStyle name="Normal 4 3 2 2 3 5 2 2 4" xfId="33291"/>
    <cellStyle name="Normal 4 3 2 2 3 5 2 3" xfId="33292"/>
    <cellStyle name="Normal 4 3 2 2 3 5 2 3 2" xfId="33293"/>
    <cellStyle name="Normal 4 3 2 2 3 5 2 3 2 2" xfId="33294"/>
    <cellStyle name="Normal 4 3 2 2 3 5 2 3 3" xfId="33295"/>
    <cellStyle name="Normal 4 3 2 2 3 5 2 4" xfId="33296"/>
    <cellStyle name="Normal 4 3 2 2 3 5 2 4 2" xfId="33297"/>
    <cellStyle name="Normal 4 3 2 2 3 5 2 5" xfId="33298"/>
    <cellStyle name="Normal 4 3 2 2 3 5 3" xfId="3518"/>
    <cellStyle name="Normal 4 3 2 2 3 5 3 2" xfId="33299"/>
    <cellStyle name="Normal 4 3 2 2 3 5 3 2 2" xfId="33300"/>
    <cellStyle name="Normal 4 3 2 2 3 5 3 2 2 2" xfId="33301"/>
    <cellStyle name="Normal 4 3 2 2 3 5 3 2 3" xfId="33302"/>
    <cellStyle name="Normal 4 3 2 2 3 5 3 3" xfId="33303"/>
    <cellStyle name="Normal 4 3 2 2 3 5 3 3 2" xfId="33304"/>
    <cellStyle name="Normal 4 3 2 2 3 5 3 4" xfId="33305"/>
    <cellStyle name="Normal 4 3 2 2 3 5 4" xfId="33306"/>
    <cellStyle name="Normal 4 3 2 2 3 5 4 2" xfId="33307"/>
    <cellStyle name="Normal 4 3 2 2 3 5 4 2 2" xfId="33308"/>
    <cellStyle name="Normal 4 3 2 2 3 5 4 3" xfId="33309"/>
    <cellStyle name="Normal 4 3 2 2 3 5 5" xfId="33310"/>
    <cellStyle name="Normal 4 3 2 2 3 5 5 2" xfId="33311"/>
    <cellStyle name="Normal 4 3 2 2 3 5 6" xfId="33312"/>
    <cellStyle name="Normal 4 3 2 2 3 6" xfId="1478"/>
    <cellStyle name="Normal 4 3 2 2 3 6 2" xfId="4198"/>
    <cellStyle name="Normal 4 3 2 2 3 6 2 2" xfId="33313"/>
    <cellStyle name="Normal 4 3 2 2 3 6 2 2 2" xfId="33314"/>
    <cellStyle name="Normal 4 3 2 2 3 6 2 2 2 2" xfId="33315"/>
    <cellStyle name="Normal 4 3 2 2 3 6 2 2 3" xfId="33316"/>
    <cellStyle name="Normal 4 3 2 2 3 6 2 3" xfId="33317"/>
    <cellStyle name="Normal 4 3 2 2 3 6 2 3 2" xfId="33318"/>
    <cellStyle name="Normal 4 3 2 2 3 6 2 4" xfId="33319"/>
    <cellStyle name="Normal 4 3 2 2 3 6 3" xfId="33320"/>
    <cellStyle name="Normal 4 3 2 2 3 6 3 2" xfId="33321"/>
    <cellStyle name="Normal 4 3 2 2 3 6 3 2 2" xfId="33322"/>
    <cellStyle name="Normal 4 3 2 2 3 6 3 3" xfId="33323"/>
    <cellStyle name="Normal 4 3 2 2 3 6 4" xfId="33324"/>
    <cellStyle name="Normal 4 3 2 2 3 6 4 2" xfId="33325"/>
    <cellStyle name="Normal 4 3 2 2 3 6 5" xfId="33326"/>
    <cellStyle name="Normal 4 3 2 2 3 7" xfId="2838"/>
    <cellStyle name="Normal 4 3 2 2 3 7 2" xfId="33327"/>
    <cellStyle name="Normal 4 3 2 2 3 7 2 2" xfId="33328"/>
    <cellStyle name="Normal 4 3 2 2 3 7 2 2 2" xfId="33329"/>
    <cellStyle name="Normal 4 3 2 2 3 7 2 3" xfId="33330"/>
    <cellStyle name="Normal 4 3 2 2 3 7 3" xfId="33331"/>
    <cellStyle name="Normal 4 3 2 2 3 7 3 2" xfId="33332"/>
    <cellStyle name="Normal 4 3 2 2 3 7 4" xfId="33333"/>
    <cellStyle name="Normal 4 3 2 2 3 8" xfId="33334"/>
    <cellStyle name="Normal 4 3 2 2 3 8 2" xfId="33335"/>
    <cellStyle name="Normal 4 3 2 2 3 8 2 2" xfId="33336"/>
    <cellStyle name="Normal 4 3 2 2 3 8 3" xfId="33337"/>
    <cellStyle name="Normal 4 3 2 2 3 9" xfId="33338"/>
    <cellStyle name="Normal 4 3 2 2 3 9 2" xfId="33339"/>
    <cellStyle name="Normal 4 3 2 2 4" xfId="186"/>
    <cellStyle name="Normal 4 3 2 2 4 2" xfId="458"/>
    <cellStyle name="Normal 4 3 2 2 4 2 2" xfId="1138"/>
    <cellStyle name="Normal 4 3 2 2 4 2 2 2" xfId="2498"/>
    <cellStyle name="Normal 4 3 2 2 4 2 2 2 2" xfId="5218"/>
    <cellStyle name="Normal 4 3 2 2 4 2 2 2 2 2" xfId="33340"/>
    <cellStyle name="Normal 4 3 2 2 4 2 2 2 2 2 2" xfId="33341"/>
    <cellStyle name="Normal 4 3 2 2 4 2 2 2 2 2 2 2" xfId="33342"/>
    <cellStyle name="Normal 4 3 2 2 4 2 2 2 2 2 3" xfId="33343"/>
    <cellStyle name="Normal 4 3 2 2 4 2 2 2 2 3" xfId="33344"/>
    <cellStyle name="Normal 4 3 2 2 4 2 2 2 2 3 2" xfId="33345"/>
    <cellStyle name="Normal 4 3 2 2 4 2 2 2 2 4" xfId="33346"/>
    <cellStyle name="Normal 4 3 2 2 4 2 2 2 3" xfId="33347"/>
    <cellStyle name="Normal 4 3 2 2 4 2 2 2 3 2" xfId="33348"/>
    <cellStyle name="Normal 4 3 2 2 4 2 2 2 3 2 2" xfId="33349"/>
    <cellStyle name="Normal 4 3 2 2 4 2 2 2 3 3" xfId="33350"/>
    <cellStyle name="Normal 4 3 2 2 4 2 2 2 4" xfId="33351"/>
    <cellStyle name="Normal 4 3 2 2 4 2 2 2 4 2" xfId="33352"/>
    <cellStyle name="Normal 4 3 2 2 4 2 2 2 5" xfId="33353"/>
    <cellStyle name="Normal 4 3 2 2 4 2 2 3" xfId="3858"/>
    <cellStyle name="Normal 4 3 2 2 4 2 2 3 2" xfId="33354"/>
    <cellStyle name="Normal 4 3 2 2 4 2 2 3 2 2" xfId="33355"/>
    <cellStyle name="Normal 4 3 2 2 4 2 2 3 2 2 2" xfId="33356"/>
    <cellStyle name="Normal 4 3 2 2 4 2 2 3 2 3" xfId="33357"/>
    <cellStyle name="Normal 4 3 2 2 4 2 2 3 3" xfId="33358"/>
    <cellStyle name="Normal 4 3 2 2 4 2 2 3 3 2" xfId="33359"/>
    <cellStyle name="Normal 4 3 2 2 4 2 2 3 4" xfId="33360"/>
    <cellStyle name="Normal 4 3 2 2 4 2 2 4" xfId="33361"/>
    <cellStyle name="Normal 4 3 2 2 4 2 2 4 2" xfId="33362"/>
    <cellStyle name="Normal 4 3 2 2 4 2 2 4 2 2" xfId="33363"/>
    <cellStyle name="Normal 4 3 2 2 4 2 2 4 3" xfId="33364"/>
    <cellStyle name="Normal 4 3 2 2 4 2 2 5" xfId="33365"/>
    <cellStyle name="Normal 4 3 2 2 4 2 2 5 2" xfId="33366"/>
    <cellStyle name="Normal 4 3 2 2 4 2 2 6" xfId="33367"/>
    <cellStyle name="Normal 4 3 2 2 4 2 3" xfId="1818"/>
    <cellStyle name="Normal 4 3 2 2 4 2 3 2" xfId="4538"/>
    <cellStyle name="Normal 4 3 2 2 4 2 3 2 2" xfId="33368"/>
    <cellStyle name="Normal 4 3 2 2 4 2 3 2 2 2" xfId="33369"/>
    <cellStyle name="Normal 4 3 2 2 4 2 3 2 2 2 2" xfId="33370"/>
    <cellStyle name="Normal 4 3 2 2 4 2 3 2 2 3" xfId="33371"/>
    <cellStyle name="Normal 4 3 2 2 4 2 3 2 3" xfId="33372"/>
    <cellStyle name="Normal 4 3 2 2 4 2 3 2 3 2" xfId="33373"/>
    <cellStyle name="Normal 4 3 2 2 4 2 3 2 4" xfId="33374"/>
    <cellStyle name="Normal 4 3 2 2 4 2 3 3" xfId="33375"/>
    <cellStyle name="Normal 4 3 2 2 4 2 3 3 2" xfId="33376"/>
    <cellStyle name="Normal 4 3 2 2 4 2 3 3 2 2" xfId="33377"/>
    <cellStyle name="Normal 4 3 2 2 4 2 3 3 3" xfId="33378"/>
    <cellStyle name="Normal 4 3 2 2 4 2 3 4" xfId="33379"/>
    <cellStyle name="Normal 4 3 2 2 4 2 3 4 2" xfId="33380"/>
    <cellStyle name="Normal 4 3 2 2 4 2 3 5" xfId="33381"/>
    <cellStyle name="Normal 4 3 2 2 4 2 4" xfId="3178"/>
    <cellStyle name="Normal 4 3 2 2 4 2 4 2" xfId="33382"/>
    <cellStyle name="Normal 4 3 2 2 4 2 4 2 2" xfId="33383"/>
    <cellStyle name="Normal 4 3 2 2 4 2 4 2 2 2" xfId="33384"/>
    <cellStyle name="Normal 4 3 2 2 4 2 4 2 3" xfId="33385"/>
    <cellStyle name="Normal 4 3 2 2 4 2 4 3" xfId="33386"/>
    <cellStyle name="Normal 4 3 2 2 4 2 4 3 2" xfId="33387"/>
    <cellStyle name="Normal 4 3 2 2 4 2 4 4" xfId="33388"/>
    <cellStyle name="Normal 4 3 2 2 4 2 5" xfId="33389"/>
    <cellStyle name="Normal 4 3 2 2 4 2 5 2" xfId="33390"/>
    <cellStyle name="Normal 4 3 2 2 4 2 5 2 2" xfId="33391"/>
    <cellStyle name="Normal 4 3 2 2 4 2 5 3" xfId="33392"/>
    <cellStyle name="Normal 4 3 2 2 4 2 6" xfId="33393"/>
    <cellStyle name="Normal 4 3 2 2 4 2 6 2" xfId="33394"/>
    <cellStyle name="Normal 4 3 2 2 4 2 7" xfId="33395"/>
    <cellStyle name="Normal 4 3 2 2 4 3" xfId="866"/>
    <cellStyle name="Normal 4 3 2 2 4 3 2" xfId="2226"/>
    <cellStyle name="Normal 4 3 2 2 4 3 2 2" xfId="4946"/>
    <cellStyle name="Normal 4 3 2 2 4 3 2 2 2" xfId="33396"/>
    <cellStyle name="Normal 4 3 2 2 4 3 2 2 2 2" xfId="33397"/>
    <cellStyle name="Normal 4 3 2 2 4 3 2 2 2 2 2" xfId="33398"/>
    <cellStyle name="Normal 4 3 2 2 4 3 2 2 2 3" xfId="33399"/>
    <cellStyle name="Normal 4 3 2 2 4 3 2 2 3" xfId="33400"/>
    <cellStyle name="Normal 4 3 2 2 4 3 2 2 3 2" xfId="33401"/>
    <cellStyle name="Normal 4 3 2 2 4 3 2 2 4" xfId="33402"/>
    <cellStyle name="Normal 4 3 2 2 4 3 2 3" xfId="33403"/>
    <cellStyle name="Normal 4 3 2 2 4 3 2 3 2" xfId="33404"/>
    <cellStyle name="Normal 4 3 2 2 4 3 2 3 2 2" xfId="33405"/>
    <cellStyle name="Normal 4 3 2 2 4 3 2 3 3" xfId="33406"/>
    <cellStyle name="Normal 4 3 2 2 4 3 2 4" xfId="33407"/>
    <cellStyle name="Normal 4 3 2 2 4 3 2 4 2" xfId="33408"/>
    <cellStyle name="Normal 4 3 2 2 4 3 2 5" xfId="33409"/>
    <cellStyle name="Normal 4 3 2 2 4 3 3" xfId="3586"/>
    <cellStyle name="Normal 4 3 2 2 4 3 3 2" xfId="33410"/>
    <cellStyle name="Normal 4 3 2 2 4 3 3 2 2" xfId="33411"/>
    <cellStyle name="Normal 4 3 2 2 4 3 3 2 2 2" xfId="33412"/>
    <cellStyle name="Normal 4 3 2 2 4 3 3 2 3" xfId="33413"/>
    <cellStyle name="Normal 4 3 2 2 4 3 3 3" xfId="33414"/>
    <cellStyle name="Normal 4 3 2 2 4 3 3 3 2" xfId="33415"/>
    <cellStyle name="Normal 4 3 2 2 4 3 3 4" xfId="33416"/>
    <cellStyle name="Normal 4 3 2 2 4 3 4" xfId="33417"/>
    <cellStyle name="Normal 4 3 2 2 4 3 4 2" xfId="33418"/>
    <cellStyle name="Normal 4 3 2 2 4 3 4 2 2" xfId="33419"/>
    <cellStyle name="Normal 4 3 2 2 4 3 4 3" xfId="33420"/>
    <cellStyle name="Normal 4 3 2 2 4 3 5" xfId="33421"/>
    <cellStyle name="Normal 4 3 2 2 4 3 5 2" xfId="33422"/>
    <cellStyle name="Normal 4 3 2 2 4 3 6" xfId="33423"/>
    <cellStyle name="Normal 4 3 2 2 4 4" xfId="1546"/>
    <cellStyle name="Normal 4 3 2 2 4 4 2" xfId="4266"/>
    <cellStyle name="Normal 4 3 2 2 4 4 2 2" xfId="33424"/>
    <cellStyle name="Normal 4 3 2 2 4 4 2 2 2" xfId="33425"/>
    <cellStyle name="Normal 4 3 2 2 4 4 2 2 2 2" xfId="33426"/>
    <cellStyle name="Normal 4 3 2 2 4 4 2 2 3" xfId="33427"/>
    <cellStyle name="Normal 4 3 2 2 4 4 2 3" xfId="33428"/>
    <cellStyle name="Normal 4 3 2 2 4 4 2 3 2" xfId="33429"/>
    <cellStyle name="Normal 4 3 2 2 4 4 2 4" xfId="33430"/>
    <cellStyle name="Normal 4 3 2 2 4 4 3" xfId="33431"/>
    <cellStyle name="Normal 4 3 2 2 4 4 3 2" xfId="33432"/>
    <cellStyle name="Normal 4 3 2 2 4 4 3 2 2" xfId="33433"/>
    <cellStyle name="Normal 4 3 2 2 4 4 3 3" xfId="33434"/>
    <cellStyle name="Normal 4 3 2 2 4 4 4" xfId="33435"/>
    <cellStyle name="Normal 4 3 2 2 4 4 4 2" xfId="33436"/>
    <cellStyle name="Normal 4 3 2 2 4 4 5" xfId="33437"/>
    <cellStyle name="Normal 4 3 2 2 4 5" xfId="2906"/>
    <cellStyle name="Normal 4 3 2 2 4 5 2" xfId="33438"/>
    <cellStyle name="Normal 4 3 2 2 4 5 2 2" xfId="33439"/>
    <cellStyle name="Normal 4 3 2 2 4 5 2 2 2" xfId="33440"/>
    <cellStyle name="Normal 4 3 2 2 4 5 2 3" xfId="33441"/>
    <cellStyle name="Normal 4 3 2 2 4 5 3" xfId="33442"/>
    <cellStyle name="Normal 4 3 2 2 4 5 3 2" xfId="33443"/>
    <cellStyle name="Normal 4 3 2 2 4 5 4" xfId="33444"/>
    <cellStyle name="Normal 4 3 2 2 4 6" xfId="33445"/>
    <cellStyle name="Normal 4 3 2 2 4 6 2" xfId="33446"/>
    <cellStyle name="Normal 4 3 2 2 4 6 2 2" xfId="33447"/>
    <cellStyle name="Normal 4 3 2 2 4 6 3" xfId="33448"/>
    <cellStyle name="Normal 4 3 2 2 4 7" xfId="33449"/>
    <cellStyle name="Normal 4 3 2 2 4 7 2" xfId="33450"/>
    <cellStyle name="Normal 4 3 2 2 4 8" xfId="33451"/>
    <cellStyle name="Normal 4 3 2 2 5" xfId="322"/>
    <cellStyle name="Normal 4 3 2 2 5 2" xfId="1002"/>
    <cellStyle name="Normal 4 3 2 2 5 2 2" xfId="2362"/>
    <cellStyle name="Normal 4 3 2 2 5 2 2 2" xfId="5082"/>
    <cellStyle name="Normal 4 3 2 2 5 2 2 2 2" xfId="33452"/>
    <cellStyle name="Normal 4 3 2 2 5 2 2 2 2 2" xfId="33453"/>
    <cellStyle name="Normal 4 3 2 2 5 2 2 2 2 2 2" xfId="33454"/>
    <cellStyle name="Normal 4 3 2 2 5 2 2 2 2 3" xfId="33455"/>
    <cellStyle name="Normal 4 3 2 2 5 2 2 2 3" xfId="33456"/>
    <cellStyle name="Normal 4 3 2 2 5 2 2 2 3 2" xfId="33457"/>
    <cellStyle name="Normal 4 3 2 2 5 2 2 2 4" xfId="33458"/>
    <cellStyle name="Normal 4 3 2 2 5 2 2 3" xfId="33459"/>
    <cellStyle name="Normal 4 3 2 2 5 2 2 3 2" xfId="33460"/>
    <cellStyle name="Normal 4 3 2 2 5 2 2 3 2 2" xfId="33461"/>
    <cellStyle name="Normal 4 3 2 2 5 2 2 3 3" xfId="33462"/>
    <cellStyle name="Normal 4 3 2 2 5 2 2 4" xfId="33463"/>
    <cellStyle name="Normal 4 3 2 2 5 2 2 4 2" xfId="33464"/>
    <cellStyle name="Normal 4 3 2 2 5 2 2 5" xfId="33465"/>
    <cellStyle name="Normal 4 3 2 2 5 2 3" xfId="3722"/>
    <cellStyle name="Normal 4 3 2 2 5 2 3 2" xfId="33466"/>
    <cellStyle name="Normal 4 3 2 2 5 2 3 2 2" xfId="33467"/>
    <cellStyle name="Normal 4 3 2 2 5 2 3 2 2 2" xfId="33468"/>
    <cellStyle name="Normal 4 3 2 2 5 2 3 2 3" xfId="33469"/>
    <cellStyle name="Normal 4 3 2 2 5 2 3 3" xfId="33470"/>
    <cellStyle name="Normal 4 3 2 2 5 2 3 3 2" xfId="33471"/>
    <cellStyle name="Normal 4 3 2 2 5 2 3 4" xfId="33472"/>
    <cellStyle name="Normal 4 3 2 2 5 2 4" xfId="33473"/>
    <cellStyle name="Normal 4 3 2 2 5 2 4 2" xfId="33474"/>
    <cellStyle name="Normal 4 3 2 2 5 2 4 2 2" xfId="33475"/>
    <cellStyle name="Normal 4 3 2 2 5 2 4 3" xfId="33476"/>
    <cellStyle name="Normal 4 3 2 2 5 2 5" xfId="33477"/>
    <cellStyle name="Normal 4 3 2 2 5 2 5 2" xfId="33478"/>
    <cellStyle name="Normal 4 3 2 2 5 2 6" xfId="33479"/>
    <cellStyle name="Normal 4 3 2 2 5 3" xfId="1682"/>
    <cellStyle name="Normal 4 3 2 2 5 3 2" xfId="4402"/>
    <cellStyle name="Normal 4 3 2 2 5 3 2 2" xfId="33480"/>
    <cellStyle name="Normal 4 3 2 2 5 3 2 2 2" xfId="33481"/>
    <cellStyle name="Normal 4 3 2 2 5 3 2 2 2 2" xfId="33482"/>
    <cellStyle name="Normal 4 3 2 2 5 3 2 2 3" xfId="33483"/>
    <cellStyle name="Normal 4 3 2 2 5 3 2 3" xfId="33484"/>
    <cellStyle name="Normal 4 3 2 2 5 3 2 3 2" xfId="33485"/>
    <cellStyle name="Normal 4 3 2 2 5 3 2 4" xfId="33486"/>
    <cellStyle name="Normal 4 3 2 2 5 3 3" xfId="33487"/>
    <cellStyle name="Normal 4 3 2 2 5 3 3 2" xfId="33488"/>
    <cellStyle name="Normal 4 3 2 2 5 3 3 2 2" xfId="33489"/>
    <cellStyle name="Normal 4 3 2 2 5 3 3 3" xfId="33490"/>
    <cellStyle name="Normal 4 3 2 2 5 3 4" xfId="33491"/>
    <cellStyle name="Normal 4 3 2 2 5 3 4 2" xfId="33492"/>
    <cellStyle name="Normal 4 3 2 2 5 3 5" xfId="33493"/>
    <cellStyle name="Normal 4 3 2 2 5 4" xfId="3042"/>
    <cellStyle name="Normal 4 3 2 2 5 4 2" xfId="33494"/>
    <cellStyle name="Normal 4 3 2 2 5 4 2 2" xfId="33495"/>
    <cellStyle name="Normal 4 3 2 2 5 4 2 2 2" xfId="33496"/>
    <cellStyle name="Normal 4 3 2 2 5 4 2 3" xfId="33497"/>
    <cellStyle name="Normal 4 3 2 2 5 4 3" xfId="33498"/>
    <cellStyle name="Normal 4 3 2 2 5 4 3 2" xfId="33499"/>
    <cellStyle name="Normal 4 3 2 2 5 4 4" xfId="33500"/>
    <cellStyle name="Normal 4 3 2 2 5 5" xfId="33501"/>
    <cellStyle name="Normal 4 3 2 2 5 5 2" xfId="33502"/>
    <cellStyle name="Normal 4 3 2 2 5 5 2 2" xfId="33503"/>
    <cellStyle name="Normal 4 3 2 2 5 5 3" xfId="33504"/>
    <cellStyle name="Normal 4 3 2 2 5 6" xfId="33505"/>
    <cellStyle name="Normal 4 3 2 2 5 6 2" xfId="33506"/>
    <cellStyle name="Normal 4 3 2 2 5 7" xfId="33507"/>
    <cellStyle name="Normal 4 3 2 2 6" xfId="594"/>
    <cellStyle name="Normal 4 3 2 2 6 2" xfId="1274"/>
    <cellStyle name="Normal 4 3 2 2 6 2 2" xfId="2634"/>
    <cellStyle name="Normal 4 3 2 2 6 2 2 2" xfId="5354"/>
    <cellStyle name="Normal 4 3 2 2 6 2 2 2 2" xfId="33508"/>
    <cellStyle name="Normal 4 3 2 2 6 2 2 2 2 2" xfId="33509"/>
    <cellStyle name="Normal 4 3 2 2 6 2 2 2 2 2 2" xfId="33510"/>
    <cellStyle name="Normal 4 3 2 2 6 2 2 2 2 3" xfId="33511"/>
    <cellStyle name="Normal 4 3 2 2 6 2 2 2 3" xfId="33512"/>
    <cellStyle name="Normal 4 3 2 2 6 2 2 2 3 2" xfId="33513"/>
    <cellStyle name="Normal 4 3 2 2 6 2 2 2 4" xfId="33514"/>
    <cellStyle name="Normal 4 3 2 2 6 2 2 3" xfId="33515"/>
    <cellStyle name="Normal 4 3 2 2 6 2 2 3 2" xfId="33516"/>
    <cellStyle name="Normal 4 3 2 2 6 2 2 3 2 2" xfId="33517"/>
    <cellStyle name="Normal 4 3 2 2 6 2 2 3 3" xfId="33518"/>
    <cellStyle name="Normal 4 3 2 2 6 2 2 4" xfId="33519"/>
    <cellStyle name="Normal 4 3 2 2 6 2 2 4 2" xfId="33520"/>
    <cellStyle name="Normal 4 3 2 2 6 2 2 5" xfId="33521"/>
    <cellStyle name="Normal 4 3 2 2 6 2 3" xfId="3994"/>
    <cellStyle name="Normal 4 3 2 2 6 2 3 2" xfId="33522"/>
    <cellStyle name="Normal 4 3 2 2 6 2 3 2 2" xfId="33523"/>
    <cellStyle name="Normal 4 3 2 2 6 2 3 2 2 2" xfId="33524"/>
    <cellStyle name="Normal 4 3 2 2 6 2 3 2 3" xfId="33525"/>
    <cellStyle name="Normal 4 3 2 2 6 2 3 3" xfId="33526"/>
    <cellStyle name="Normal 4 3 2 2 6 2 3 3 2" xfId="33527"/>
    <cellStyle name="Normal 4 3 2 2 6 2 3 4" xfId="33528"/>
    <cellStyle name="Normal 4 3 2 2 6 2 4" xfId="33529"/>
    <cellStyle name="Normal 4 3 2 2 6 2 4 2" xfId="33530"/>
    <cellStyle name="Normal 4 3 2 2 6 2 4 2 2" xfId="33531"/>
    <cellStyle name="Normal 4 3 2 2 6 2 4 3" xfId="33532"/>
    <cellStyle name="Normal 4 3 2 2 6 2 5" xfId="33533"/>
    <cellStyle name="Normal 4 3 2 2 6 2 5 2" xfId="33534"/>
    <cellStyle name="Normal 4 3 2 2 6 2 6" xfId="33535"/>
    <cellStyle name="Normal 4 3 2 2 6 3" xfId="1954"/>
    <cellStyle name="Normal 4 3 2 2 6 3 2" xfId="4674"/>
    <cellStyle name="Normal 4 3 2 2 6 3 2 2" xfId="33536"/>
    <cellStyle name="Normal 4 3 2 2 6 3 2 2 2" xfId="33537"/>
    <cellStyle name="Normal 4 3 2 2 6 3 2 2 2 2" xfId="33538"/>
    <cellStyle name="Normal 4 3 2 2 6 3 2 2 3" xfId="33539"/>
    <cellStyle name="Normal 4 3 2 2 6 3 2 3" xfId="33540"/>
    <cellStyle name="Normal 4 3 2 2 6 3 2 3 2" xfId="33541"/>
    <cellStyle name="Normal 4 3 2 2 6 3 2 4" xfId="33542"/>
    <cellStyle name="Normal 4 3 2 2 6 3 3" xfId="33543"/>
    <cellStyle name="Normal 4 3 2 2 6 3 3 2" xfId="33544"/>
    <cellStyle name="Normal 4 3 2 2 6 3 3 2 2" xfId="33545"/>
    <cellStyle name="Normal 4 3 2 2 6 3 3 3" xfId="33546"/>
    <cellStyle name="Normal 4 3 2 2 6 3 4" xfId="33547"/>
    <cellStyle name="Normal 4 3 2 2 6 3 4 2" xfId="33548"/>
    <cellStyle name="Normal 4 3 2 2 6 3 5" xfId="33549"/>
    <cellStyle name="Normal 4 3 2 2 6 4" xfId="3314"/>
    <cellStyle name="Normal 4 3 2 2 6 4 2" xfId="33550"/>
    <cellStyle name="Normal 4 3 2 2 6 4 2 2" xfId="33551"/>
    <cellStyle name="Normal 4 3 2 2 6 4 2 2 2" xfId="33552"/>
    <cellStyle name="Normal 4 3 2 2 6 4 2 3" xfId="33553"/>
    <cellStyle name="Normal 4 3 2 2 6 4 3" xfId="33554"/>
    <cellStyle name="Normal 4 3 2 2 6 4 3 2" xfId="33555"/>
    <cellStyle name="Normal 4 3 2 2 6 4 4" xfId="33556"/>
    <cellStyle name="Normal 4 3 2 2 6 5" xfId="33557"/>
    <cellStyle name="Normal 4 3 2 2 6 5 2" xfId="33558"/>
    <cellStyle name="Normal 4 3 2 2 6 5 2 2" xfId="33559"/>
    <cellStyle name="Normal 4 3 2 2 6 5 3" xfId="33560"/>
    <cellStyle name="Normal 4 3 2 2 6 6" xfId="33561"/>
    <cellStyle name="Normal 4 3 2 2 6 6 2" xfId="33562"/>
    <cellStyle name="Normal 4 3 2 2 6 7" xfId="33563"/>
    <cellStyle name="Normal 4 3 2 2 7" xfId="730"/>
    <cellStyle name="Normal 4 3 2 2 7 2" xfId="2090"/>
    <cellStyle name="Normal 4 3 2 2 7 2 2" xfId="4810"/>
    <cellStyle name="Normal 4 3 2 2 7 2 2 2" xfId="33564"/>
    <cellStyle name="Normal 4 3 2 2 7 2 2 2 2" xfId="33565"/>
    <cellStyle name="Normal 4 3 2 2 7 2 2 2 2 2" xfId="33566"/>
    <cellStyle name="Normal 4 3 2 2 7 2 2 2 3" xfId="33567"/>
    <cellStyle name="Normal 4 3 2 2 7 2 2 3" xfId="33568"/>
    <cellStyle name="Normal 4 3 2 2 7 2 2 3 2" xfId="33569"/>
    <cellStyle name="Normal 4 3 2 2 7 2 2 4" xfId="33570"/>
    <cellStyle name="Normal 4 3 2 2 7 2 3" xfId="33571"/>
    <cellStyle name="Normal 4 3 2 2 7 2 3 2" xfId="33572"/>
    <cellStyle name="Normal 4 3 2 2 7 2 3 2 2" xfId="33573"/>
    <cellStyle name="Normal 4 3 2 2 7 2 3 3" xfId="33574"/>
    <cellStyle name="Normal 4 3 2 2 7 2 4" xfId="33575"/>
    <cellStyle name="Normal 4 3 2 2 7 2 4 2" xfId="33576"/>
    <cellStyle name="Normal 4 3 2 2 7 2 5" xfId="33577"/>
    <cellStyle name="Normal 4 3 2 2 7 3" xfId="3450"/>
    <cellStyle name="Normal 4 3 2 2 7 3 2" xfId="33578"/>
    <cellStyle name="Normal 4 3 2 2 7 3 2 2" xfId="33579"/>
    <cellStyle name="Normal 4 3 2 2 7 3 2 2 2" xfId="33580"/>
    <cellStyle name="Normal 4 3 2 2 7 3 2 3" xfId="33581"/>
    <cellStyle name="Normal 4 3 2 2 7 3 3" xfId="33582"/>
    <cellStyle name="Normal 4 3 2 2 7 3 3 2" xfId="33583"/>
    <cellStyle name="Normal 4 3 2 2 7 3 4" xfId="33584"/>
    <cellStyle name="Normal 4 3 2 2 7 4" xfId="33585"/>
    <cellStyle name="Normal 4 3 2 2 7 4 2" xfId="33586"/>
    <cellStyle name="Normal 4 3 2 2 7 4 2 2" xfId="33587"/>
    <cellStyle name="Normal 4 3 2 2 7 4 3" xfId="33588"/>
    <cellStyle name="Normal 4 3 2 2 7 5" xfId="33589"/>
    <cellStyle name="Normal 4 3 2 2 7 5 2" xfId="33590"/>
    <cellStyle name="Normal 4 3 2 2 7 6" xfId="33591"/>
    <cellStyle name="Normal 4 3 2 2 8" xfId="1410"/>
    <cellStyle name="Normal 4 3 2 2 8 2" xfId="4130"/>
    <cellStyle name="Normal 4 3 2 2 8 2 2" xfId="33592"/>
    <cellStyle name="Normal 4 3 2 2 8 2 2 2" xfId="33593"/>
    <cellStyle name="Normal 4 3 2 2 8 2 2 2 2" xfId="33594"/>
    <cellStyle name="Normal 4 3 2 2 8 2 2 3" xfId="33595"/>
    <cellStyle name="Normal 4 3 2 2 8 2 3" xfId="33596"/>
    <cellStyle name="Normal 4 3 2 2 8 2 3 2" xfId="33597"/>
    <cellStyle name="Normal 4 3 2 2 8 2 4" xfId="33598"/>
    <cellStyle name="Normal 4 3 2 2 8 3" xfId="33599"/>
    <cellStyle name="Normal 4 3 2 2 8 3 2" xfId="33600"/>
    <cellStyle name="Normal 4 3 2 2 8 3 2 2" xfId="33601"/>
    <cellStyle name="Normal 4 3 2 2 8 3 3" xfId="33602"/>
    <cellStyle name="Normal 4 3 2 2 8 4" xfId="33603"/>
    <cellStyle name="Normal 4 3 2 2 8 4 2" xfId="33604"/>
    <cellStyle name="Normal 4 3 2 2 8 5" xfId="33605"/>
    <cellStyle name="Normal 4 3 2 2 9" xfId="2770"/>
    <cellStyle name="Normal 4 3 2 2 9 2" xfId="33606"/>
    <cellStyle name="Normal 4 3 2 2 9 2 2" xfId="33607"/>
    <cellStyle name="Normal 4 3 2 2 9 2 2 2" xfId="33608"/>
    <cellStyle name="Normal 4 3 2 2 9 2 3" xfId="33609"/>
    <cellStyle name="Normal 4 3 2 2 9 3" xfId="33610"/>
    <cellStyle name="Normal 4 3 2 2 9 3 2" xfId="33611"/>
    <cellStyle name="Normal 4 3 2 2 9 4" xfId="33612"/>
    <cellStyle name="Normal 4 3 2 3" xfId="66"/>
    <cellStyle name="Normal 4 3 2 3 10" xfId="33613"/>
    <cellStyle name="Normal 4 3 2 3 10 2" xfId="33614"/>
    <cellStyle name="Normal 4 3 2 3 11" xfId="33615"/>
    <cellStyle name="Normal 4 3 2 3 2" xfId="134"/>
    <cellStyle name="Normal 4 3 2 3 2 10" xfId="33616"/>
    <cellStyle name="Normal 4 3 2 3 2 2" xfId="271"/>
    <cellStyle name="Normal 4 3 2 3 2 2 2" xfId="543"/>
    <cellStyle name="Normal 4 3 2 3 2 2 2 2" xfId="1223"/>
    <cellStyle name="Normal 4 3 2 3 2 2 2 2 2" xfId="2583"/>
    <cellStyle name="Normal 4 3 2 3 2 2 2 2 2 2" xfId="5303"/>
    <cellStyle name="Normal 4 3 2 3 2 2 2 2 2 2 2" xfId="33617"/>
    <cellStyle name="Normal 4 3 2 3 2 2 2 2 2 2 2 2" xfId="33618"/>
    <cellStyle name="Normal 4 3 2 3 2 2 2 2 2 2 2 2 2" xfId="33619"/>
    <cellStyle name="Normal 4 3 2 3 2 2 2 2 2 2 2 3" xfId="33620"/>
    <cellStyle name="Normal 4 3 2 3 2 2 2 2 2 2 3" xfId="33621"/>
    <cellStyle name="Normal 4 3 2 3 2 2 2 2 2 2 3 2" xfId="33622"/>
    <cellStyle name="Normal 4 3 2 3 2 2 2 2 2 2 4" xfId="33623"/>
    <cellStyle name="Normal 4 3 2 3 2 2 2 2 2 3" xfId="33624"/>
    <cellStyle name="Normal 4 3 2 3 2 2 2 2 2 3 2" xfId="33625"/>
    <cellStyle name="Normal 4 3 2 3 2 2 2 2 2 3 2 2" xfId="33626"/>
    <cellStyle name="Normal 4 3 2 3 2 2 2 2 2 3 3" xfId="33627"/>
    <cellStyle name="Normal 4 3 2 3 2 2 2 2 2 4" xfId="33628"/>
    <cellStyle name="Normal 4 3 2 3 2 2 2 2 2 4 2" xfId="33629"/>
    <cellStyle name="Normal 4 3 2 3 2 2 2 2 2 5" xfId="33630"/>
    <cellStyle name="Normal 4 3 2 3 2 2 2 2 3" xfId="3943"/>
    <cellStyle name="Normal 4 3 2 3 2 2 2 2 3 2" xfId="33631"/>
    <cellStyle name="Normal 4 3 2 3 2 2 2 2 3 2 2" xfId="33632"/>
    <cellStyle name="Normal 4 3 2 3 2 2 2 2 3 2 2 2" xfId="33633"/>
    <cellStyle name="Normal 4 3 2 3 2 2 2 2 3 2 3" xfId="33634"/>
    <cellStyle name="Normal 4 3 2 3 2 2 2 2 3 3" xfId="33635"/>
    <cellStyle name="Normal 4 3 2 3 2 2 2 2 3 3 2" xfId="33636"/>
    <cellStyle name="Normal 4 3 2 3 2 2 2 2 3 4" xfId="33637"/>
    <cellStyle name="Normal 4 3 2 3 2 2 2 2 4" xfId="33638"/>
    <cellStyle name="Normal 4 3 2 3 2 2 2 2 4 2" xfId="33639"/>
    <cellStyle name="Normal 4 3 2 3 2 2 2 2 4 2 2" xfId="33640"/>
    <cellStyle name="Normal 4 3 2 3 2 2 2 2 4 3" xfId="33641"/>
    <cellStyle name="Normal 4 3 2 3 2 2 2 2 5" xfId="33642"/>
    <cellStyle name="Normal 4 3 2 3 2 2 2 2 5 2" xfId="33643"/>
    <cellStyle name="Normal 4 3 2 3 2 2 2 2 6" xfId="33644"/>
    <cellStyle name="Normal 4 3 2 3 2 2 2 3" xfId="1903"/>
    <cellStyle name="Normal 4 3 2 3 2 2 2 3 2" xfId="4623"/>
    <cellStyle name="Normal 4 3 2 3 2 2 2 3 2 2" xfId="33645"/>
    <cellStyle name="Normal 4 3 2 3 2 2 2 3 2 2 2" xfId="33646"/>
    <cellStyle name="Normal 4 3 2 3 2 2 2 3 2 2 2 2" xfId="33647"/>
    <cellStyle name="Normal 4 3 2 3 2 2 2 3 2 2 3" xfId="33648"/>
    <cellStyle name="Normal 4 3 2 3 2 2 2 3 2 3" xfId="33649"/>
    <cellStyle name="Normal 4 3 2 3 2 2 2 3 2 3 2" xfId="33650"/>
    <cellStyle name="Normal 4 3 2 3 2 2 2 3 2 4" xfId="33651"/>
    <cellStyle name="Normal 4 3 2 3 2 2 2 3 3" xfId="33652"/>
    <cellStyle name="Normal 4 3 2 3 2 2 2 3 3 2" xfId="33653"/>
    <cellStyle name="Normal 4 3 2 3 2 2 2 3 3 2 2" xfId="33654"/>
    <cellStyle name="Normal 4 3 2 3 2 2 2 3 3 3" xfId="33655"/>
    <cellStyle name="Normal 4 3 2 3 2 2 2 3 4" xfId="33656"/>
    <cellStyle name="Normal 4 3 2 3 2 2 2 3 4 2" xfId="33657"/>
    <cellStyle name="Normal 4 3 2 3 2 2 2 3 5" xfId="33658"/>
    <cellStyle name="Normal 4 3 2 3 2 2 2 4" xfId="3263"/>
    <cellStyle name="Normal 4 3 2 3 2 2 2 4 2" xfId="33659"/>
    <cellStyle name="Normal 4 3 2 3 2 2 2 4 2 2" xfId="33660"/>
    <cellStyle name="Normal 4 3 2 3 2 2 2 4 2 2 2" xfId="33661"/>
    <cellStyle name="Normal 4 3 2 3 2 2 2 4 2 3" xfId="33662"/>
    <cellStyle name="Normal 4 3 2 3 2 2 2 4 3" xfId="33663"/>
    <cellStyle name="Normal 4 3 2 3 2 2 2 4 3 2" xfId="33664"/>
    <cellStyle name="Normal 4 3 2 3 2 2 2 4 4" xfId="33665"/>
    <cellStyle name="Normal 4 3 2 3 2 2 2 5" xfId="33666"/>
    <cellStyle name="Normal 4 3 2 3 2 2 2 5 2" xfId="33667"/>
    <cellStyle name="Normal 4 3 2 3 2 2 2 5 2 2" xfId="33668"/>
    <cellStyle name="Normal 4 3 2 3 2 2 2 5 3" xfId="33669"/>
    <cellStyle name="Normal 4 3 2 3 2 2 2 6" xfId="33670"/>
    <cellStyle name="Normal 4 3 2 3 2 2 2 6 2" xfId="33671"/>
    <cellStyle name="Normal 4 3 2 3 2 2 2 7" xfId="33672"/>
    <cellStyle name="Normal 4 3 2 3 2 2 3" xfId="951"/>
    <cellStyle name="Normal 4 3 2 3 2 2 3 2" xfId="2311"/>
    <cellStyle name="Normal 4 3 2 3 2 2 3 2 2" xfId="5031"/>
    <cellStyle name="Normal 4 3 2 3 2 2 3 2 2 2" xfId="33673"/>
    <cellStyle name="Normal 4 3 2 3 2 2 3 2 2 2 2" xfId="33674"/>
    <cellStyle name="Normal 4 3 2 3 2 2 3 2 2 2 2 2" xfId="33675"/>
    <cellStyle name="Normal 4 3 2 3 2 2 3 2 2 2 3" xfId="33676"/>
    <cellStyle name="Normal 4 3 2 3 2 2 3 2 2 3" xfId="33677"/>
    <cellStyle name="Normal 4 3 2 3 2 2 3 2 2 3 2" xfId="33678"/>
    <cellStyle name="Normal 4 3 2 3 2 2 3 2 2 4" xfId="33679"/>
    <cellStyle name="Normal 4 3 2 3 2 2 3 2 3" xfId="33680"/>
    <cellStyle name="Normal 4 3 2 3 2 2 3 2 3 2" xfId="33681"/>
    <cellStyle name="Normal 4 3 2 3 2 2 3 2 3 2 2" xfId="33682"/>
    <cellStyle name="Normal 4 3 2 3 2 2 3 2 3 3" xfId="33683"/>
    <cellStyle name="Normal 4 3 2 3 2 2 3 2 4" xfId="33684"/>
    <cellStyle name="Normal 4 3 2 3 2 2 3 2 4 2" xfId="33685"/>
    <cellStyle name="Normal 4 3 2 3 2 2 3 2 5" xfId="33686"/>
    <cellStyle name="Normal 4 3 2 3 2 2 3 3" xfId="3671"/>
    <cellStyle name="Normal 4 3 2 3 2 2 3 3 2" xfId="33687"/>
    <cellStyle name="Normal 4 3 2 3 2 2 3 3 2 2" xfId="33688"/>
    <cellStyle name="Normal 4 3 2 3 2 2 3 3 2 2 2" xfId="33689"/>
    <cellStyle name="Normal 4 3 2 3 2 2 3 3 2 3" xfId="33690"/>
    <cellStyle name="Normal 4 3 2 3 2 2 3 3 3" xfId="33691"/>
    <cellStyle name="Normal 4 3 2 3 2 2 3 3 3 2" xfId="33692"/>
    <cellStyle name="Normal 4 3 2 3 2 2 3 3 4" xfId="33693"/>
    <cellStyle name="Normal 4 3 2 3 2 2 3 4" xfId="33694"/>
    <cellStyle name="Normal 4 3 2 3 2 2 3 4 2" xfId="33695"/>
    <cellStyle name="Normal 4 3 2 3 2 2 3 4 2 2" xfId="33696"/>
    <cellStyle name="Normal 4 3 2 3 2 2 3 4 3" xfId="33697"/>
    <cellStyle name="Normal 4 3 2 3 2 2 3 5" xfId="33698"/>
    <cellStyle name="Normal 4 3 2 3 2 2 3 5 2" xfId="33699"/>
    <cellStyle name="Normal 4 3 2 3 2 2 3 6" xfId="33700"/>
    <cellStyle name="Normal 4 3 2 3 2 2 4" xfId="1631"/>
    <cellStyle name="Normal 4 3 2 3 2 2 4 2" xfId="4351"/>
    <cellStyle name="Normal 4 3 2 3 2 2 4 2 2" xfId="33701"/>
    <cellStyle name="Normal 4 3 2 3 2 2 4 2 2 2" xfId="33702"/>
    <cellStyle name="Normal 4 3 2 3 2 2 4 2 2 2 2" xfId="33703"/>
    <cellStyle name="Normal 4 3 2 3 2 2 4 2 2 3" xfId="33704"/>
    <cellStyle name="Normal 4 3 2 3 2 2 4 2 3" xfId="33705"/>
    <cellStyle name="Normal 4 3 2 3 2 2 4 2 3 2" xfId="33706"/>
    <cellStyle name="Normal 4 3 2 3 2 2 4 2 4" xfId="33707"/>
    <cellStyle name="Normal 4 3 2 3 2 2 4 3" xfId="33708"/>
    <cellStyle name="Normal 4 3 2 3 2 2 4 3 2" xfId="33709"/>
    <cellStyle name="Normal 4 3 2 3 2 2 4 3 2 2" xfId="33710"/>
    <cellStyle name="Normal 4 3 2 3 2 2 4 3 3" xfId="33711"/>
    <cellStyle name="Normal 4 3 2 3 2 2 4 4" xfId="33712"/>
    <cellStyle name="Normal 4 3 2 3 2 2 4 4 2" xfId="33713"/>
    <cellStyle name="Normal 4 3 2 3 2 2 4 5" xfId="33714"/>
    <cellStyle name="Normal 4 3 2 3 2 2 5" xfId="2991"/>
    <cellStyle name="Normal 4 3 2 3 2 2 5 2" xfId="33715"/>
    <cellStyle name="Normal 4 3 2 3 2 2 5 2 2" xfId="33716"/>
    <cellStyle name="Normal 4 3 2 3 2 2 5 2 2 2" xfId="33717"/>
    <cellStyle name="Normal 4 3 2 3 2 2 5 2 3" xfId="33718"/>
    <cellStyle name="Normal 4 3 2 3 2 2 5 3" xfId="33719"/>
    <cellStyle name="Normal 4 3 2 3 2 2 5 3 2" xfId="33720"/>
    <cellStyle name="Normal 4 3 2 3 2 2 5 4" xfId="33721"/>
    <cellStyle name="Normal 4 3 2 3 2 2 6" xfId="33722"/>
    <cellStyle name="Normal 4 3 2 3 2 2 6 2" xfId="33723"/>
    <cellStyle name="Normal 4 3 2 3 2 2 6 2 2" xfId="33724"/>
    <cellStyle name="Normal 4 3 2 3 2 2 6 3" xfId="33725"/>
    <cellStyle name="Normal 4 3 2 3 2 2 7" xfId="33726"/>
    <cellStyle name="Normal 4 3 2 3 2 2 7 2" xfId="33727"/>
    <cellStyle name="Normal 4 3 2 3 2 2 8" xfId="33728"/>
    <cellStyle name="Normal 4 3 2 3 2 3" xfId="407"/>
    <cellStyle name="Normal 4 3 2 3 2 3 2" xfId="1087"/>
    <cellStyle name="Normal 4 3 2 3 2 3 2 2" xfId="2447"/>
    <cellStyle name="Normal 4 3 2 3 2 3 2 2 2" xfId="5167"/>
    <cellStyle name="Normal 4 3 2 3 2 3 2 2 2 2" xfId="33729"/>
    <cellStyle name="Normal 4 3 2 3 2 3 2 2 2 2 2" xfId="33730"/>
    <cellStyle name="Normal 4 3 2 3 2 3 2 2 2 2 2 2" xfId="33731"/>
    <cellStyle name="Normal 4 3 2 3 2 3 2 2 2 2 3" xfId="33732"/>
    <cellStyle name="Normal 4 3 2 3 2 3 2 2 2 3" xfId="33733"/>
    <cellStyle name="Normal 4 3 2 3 2 3 2 2 2 3 2" xfId="33734"/>
    <cellStyle name="Normal 4 3 2 3 2 3 2 2 2 4" xfId="33735"/>
    <cellStyle name="Normal 4 3 2 3 2 3 2 2 3" xfId="33736"/>
    <cellStyle name="Normal 4 3 2 3 2 3 2 2 3 2" xfId="33737"/>
    <cellStyle name="Normal 4 3 2 3 2 3 2 2 3 2 2" xfId="33738"/>
    <cellStyle name="Normal 4 3 2 3 2 3 2 2 3 3" xfId="33739"/>
    <cellStyle name="Normal 4 3 2 3 2 3 2 2 4" xfId="33740"/>
    <cellStyle name="Normal 4 3 2 3 2 3 2 2 4 2" xfId="33741"/>
    <cellStyle name="Normal 4 3 2 3 2 3 2 2 5" xfId="33742"/>
    <cellStyle name="Normal 4 3 2 3 2 3 2 3" xfId="3807"/>
    <cellStyle name="Normal 4 3 2 3 2 3 2 3 2" xfId="33743"/>
    <cellStyle name="Normal 4 3 2 3 2 3 2 3 2 2" xfId="33744"/>
    <cellStyle name="Normal 4 3 2 3 2 3 2 3 2 2 2" xfId="33745"/>
    <cellStyle name="Normal 4 3 2 3 2 3 2 3 2 3" xfId="33746"/>
    <cellStyle name="Normal 4 3 2 3 2 3 2 3 3" xfId="33747"/>
    <cellStyle name="Normal 4 3 2 3 2 3 2 3 3 2" xfId="33748"/>
    <cellStyle name="Normal 4 3 2 3 2 3 2 3 4" xfId="33749"/>
    <cellStyle name="Normal 4 3 2 3 2 3 2 4" xfId="33750"/>
    <cellStyle name="Normal 4 3 2 3 2 3 2 4 2" xfId="33751"/>
    <cellStyle name="Normal 4 3 2 3 2 3 2 4 2 2" xfId="33752"/>
    <cellStyle name="Normal 4 3 2 3 2 3 2 4 3" xfId="33753"/>
    <cellStyle name="Normal 4 3 2 3 2 3 2 5" xfId="33754"/>
    <cellStyle name="Normal 4 3 2 3 2 3 2 5 2" xfId="33755"/>
    <cellStyle name="Normal 4 3 2 3 2 3 2 6" xfId="33756"/>
    <cellStyle name="Normal 4 3 2 3 2 3 3" xfId="1767"/>
    <cellStyle name="Normal 4 3 2 3 2 3 3 2" xfId="4487"/>
    <cellStyle name="Normal 4 3 2 3 2 3 3 2 2" xfId="33757"/>
    <cellStyle name="Normal 4 3 2 3 2 3 3 2 2 2" xfId="33758"/>
    <cellStyle name="Normal 4 3 2 3 2 3 3 2 2 2 2" xfId="33759"/>
    <cellStyle name="Normal 4 3 2 3 2 3 3 2 2 3" xfId="33760"/>
    <cellStyle name="Normal 4 3 2 3 2 3 3 2 3" xfId="33761"/>
    <cellStyle name="Normal 4 3 2 3 2 3 3 2 3 2" xfId="33762"/>
    <cellStyle name="Normal 4 3 2 3 2 3 3 2 4" xfId="33763"/>
    <cellStyle name="Normal 4 3 2 3 2 3 3 3" xfId="33764"/>
    <cellStyle name="Normal 4 3 2 3 2 3 3 3 2" xfId="33765"/>
    <cellStyle name="Normal 4 3 2 3 2 3 3 3 2 2" xfId="33766"/>
    <cellStyle name="Normal 4 3 2 3 2 3 3 3 3" xfId="33767"/>
    <cellStyle name="Normal 4 3 2 3 2 3 3 4" xfId="33768"/>
    <cellStyle name="Normal 4 3 2 3 2 3 3 4 2" xfId="33769"/>
    <cellStyle name="Normal 4 3 2 3 2 3 3 5" xfId="33770"/>
    <cellStyle name="Normal 4 3 2 3 2 3 4" xfId="3127"/>
    <cellStyle name="Normal 4 3 2 3 2 3 4 2" xfId="33771"/>
    <cellStyle name="Normal 4 3 2 3 2 3 4 2 2" xfId="33772"/>
    <cellStyle name="Normal 4 3 2 3 2 3 4 2 2 2" xfId="33773"/>
    <cellStyle name="Normal 4 3 2 3 2 3 4 2 3" xfId="33774"/>
    <cellStyle name="Normal 4 3 2 3 2 3 4 3" xfId="33775"/>
    <cellStyle name="Normal 4 3 2 3 2 3 4 3 2" xfId="33776"/>
    <cellStyle name="Normal 4 3 2 3 2 3 4 4" xfId="33777"/>
    <cellStyle name="Normal 4 3 2 3 2 3 5" xfId="33778"/>
    <cellStyle name="Normal 4 3 2 3 2 3 5 2" xfId="33779"/>
    <cellStyle name="Normal 4 3 2 3 2 3 5 2 2" xfId="33780"/>
    <cellStyle name="Normal 4 3 2 3 2 3 5 3" xfId="33781"/>
    <cellStyle name="Normal 4 3 2 3 2 3 6" xfId="33782"/>
    <cellStyle name="Normal 4 3 2 3 2 3 6 2" xfId="33783"/>
    <cellStyle name="Normal 4 3 2 3 2 3 7" xfId="33784"/>
    <cellStyle name="Normal 4 3 2 3 2 4" xfId="679"/>
    <cellStyle name="Normal 4 3 2 3 2 4 2" xfId="1359"/>
    <cellStyle name="Normal 4 3 2 3 2 4 2 2" xfId="2719"/>
    <cellStyle name="Normal 4 3 2 3 2 4 2 2 2" xfId="5439"/>
    <cellStyle name="Normal 4 3 2 3 2 4 2 2 2 2" xfId="33785"/>
    <cellStyle name="Normal 4 3 2 3 2 4 2 2 2 2 2" xfId="33786"/>
    <cellStyle name="Normal 4 3 2 3 2 4 2 2 2 2 2 2" xfId="33787"/>
    <cellStyle name="Normal 4 3 2 3 2 4 2 2 2 2 3" xfId="33788"/>
    <cellStyle name="Normal 4 3 2 3 2 4 2 2 2 3" xfId="33789"/>
    <cellStyle name="Normal 4 3 2 3 2 4 2 2 2 3 2" xfId="33790"/>
    <cellStyle name="Normal 4 3 2 3 2 4 2 2 2 4" xfId="33791"/>
    <cellStyle name="Normal 4 3 2 3 2 4 2 2 3" xfId="33792"/>
    <cellStyle name="Normal 4 3 2 3 2 4 2 2 3 2" xfId="33793"/>
    <cellStyle name="Normal 4 3 2 3 2 4 2 2 3 2 2" xfId="33794"/>
    <cellStyle name="Normal 4 3 2 3 2 4 2 2 3 3" xfId="33795"/>
    <cellStyle name="Normal 4 3 2 3 2 4 2 2 4" xfId="33796"/>
    <cellStyle name="Normal 4 3 2 3 2 4 2 2 4 2" xfId="33797"/>
    <cellStyle name="Normal 4 3 2 3 2 4 2 2 5" xfId="33798"/>
    <cellStyle name="Normal 4 3 2 3 2 4 2 3" xfId="4079"/>
    <cellStyle name="Normal 4 3 2 3 2 4 2 3 2" xfId="33799"/>
    <cellStyle name="Normal 4 3 2 3 2 4 2 3 2 2" xfId="33800"/>
    <cellStyle name="Normal 4 3 2 3 2 4 2 3 2 2 2" xfId="33801"/>
    <cellStyle name="Normal 4 3 2 3 2 4 2 3 2 3" xfId="33802"/>
    <cellStyle name="Normal 4 3 2 3 2 4 2 3 3" xfId="33803"/>
    <cellStyle name="Normal 4 3 2 3 2 4 2 3 3 2" xfId="33804"/>
    <cellStyle name="Normal 4 3 2 3 2 4 2 3 4" xfId="33805"/>
    <cellStyle name="Normal 4 3 2 3 2 4 2 4" xfId="33806"/>
    <cellStyle name="Normal 4 3 2 3 2 4 2 4 2" xfId="33807"/>
    <cellStyle name="Normal 4 3 2 3 2 4 2 4 2 2" xfId="33808"/>
    <cellStyle name="Normal 4 3 2 3 2 4 2 4 3" xfId="33809"/>
    <cellStyle name="Normal 4 3 2 3 2 4 2 5" xfId="33810"/>
    <cellStyle name="Normal 4 3 2 3 2 4 2 5 2" xfId="33811"/>
    <cellStyle name="Normal 4 3 2 3 2 4 2 6" xfId="33812"/>
    <cellStyle name="Normal 4 3 2 3 2 4 3" xfId="2039"/>
    <cellStyle name="Normal 4 3 2 3 2 4 3 2" xfId="4759"/>
    <cellStyle name="Normal 4 3 2 3 2 4 3 2 2" xfId="33813"/>
    <cellStyle name="Normal 4 3 2 3 2 4 3 2 2 2" xfId="33814"/>
    <cellStyle name="Normal 4 3 2 3 2 4 3 2 2 2 2" xfId="33815"/>
    <cellStyle name="Normal 4 3 2 3 2 4 3 2 2 3" xfId="33816"/>
    <cellStyle name="Normal 4 3 2 3 2 4 3 2 3" xfId="33817"/>
    <cellStyle name="Normal 4 3 2 3 2 4 3 2 3 2" xfId="33818"/>
    <cellStyle name="Normal 4 3 2 3 2 4 3 2 4" xfId="33819"/>
    <cellStyle name="Normal 4 3 2 3 2 4 3 3" xfId="33820"/>
    <cellStyle name="Normal 4 3 2 3 2 4 3 3 2" xfId="33821"/>
    <cellStyle name="Normal 4 3 2 3 2 4 3 3 2 2" xfId="33822"/>
    <cellStyle name="Normal 4 3 2 3 2 4 3 3 3" xfId="33823"/>
    <cellStyle name="Normal 4 3 2 3 2 4 3 4" xfId="33824"/>
    <cellStyle name="Normal 4 3 2 3 2 4 3 4 2" xfId="33825"/>
    <cellStyle name="Normal 4 3 2 3 2 4 3 5" xfId="33826"/>
    <cellStyle name="Normal 4 3 2 3 2 4 4" xfId="3399"/>
    <cellStyle name="Normal 4 3 2 3 2 4 4 2" xfId="33827"/>
    <cellStyle name="Normal 4 3 2 3 2 4 4 2 2" xfId="33828"/>
    <cellStyle name="Normal 4 3 2 3 2 4 4 2 2 2" xfId="33829"/>
    <cellStyle name="Normal 4 3 2 3 2 4 4 2 3" xfId="33830"/>
    <cellStyle name="Normal 4 3 2 3 2 4 4 3" xfId="33831"/>
    <cellStyle name="Normal 4 3 2 3 2 4 4 3 2" xfId="33832"/>
    <cellStyle name="Normal 4 3 2 3 2 4 4 4" xfId="33833"/>
    <cellStyle name="Normal 4 3 2 3 2 4 5" xfId="33834"/>
    <cellStyle name="Normal 4 3 2 3 2 4 5 2" xfId="33835"/>
    <cellStyle name="Normal 4 3 2 3 2 4 5 2 2" xfId="33836"/>
    <cellStyle name="Normal 4 3 2 3 2 4 5 3" xfId="33837"/>
    <cellStyle name="Normal 4 3 2 3 2 4 6" xfId="33838"/>
    <cellStyle name="Normal 4 3 2 3 2 4 6 2" xfId="33839"/>
    <cellStyle name="Normal 4 3 2 3 2 4 7" xfId="33840"/>
    <cellStyle name="Normal 4 3 2 3 2 5" xfId="815"/>
    <cellStyle name="Normal 4 3 2 3 2 5 2" xfId="2175"/>
    <cellStyle name="Normal 4 3 2 3 2 5 2 2" xfId="4895"/>
    <cellStyle name="Normal 4 3 2 3 2 5 2 2 2" xfId="33841"/>
    <cellStyle name="Normal 4 3 2 3 2 5 2 2 2 2" xfId="33842"/>
    <cellStyle name="Normal 4 3 2 3 2 5 2 2 2 2 2" xfId="33843"/>
    <cellStyle name="Normal 4 3 2 3 2 5 2 2 2 3" xfId="33844"/>
    <cellStyle name="Normal 4 3 2 3 2 5 2 2 3" xfId="33845"/>
    <cellStyle name="Normal 4 3 2 3 2 5 2 2 3 2" xfId="33846"/>
    <cellStyle name="Normal 4 3 2 3 2 5 2 2 4" xfId="33847"/>
    <cellStyle name="Normal 4 3 2 3 2 5 2 3" xfId="33848"/>
    <cellStyle name="Normal 4 3 2 3 2 5 2 3 2" xfId="33849"/>
    <cellStyle name="Normal 4 3 2 3 2 5 2 3 2 2" xfId="33850"/>
    <cellStyle name="Normal 4 3 2 3 2 5 2 3 3" xfId="33851"/>
    <cellStyle name="Normal 4 3 2 3 2 5 2 4" xfId="33852"/>
    <cellStyle name="Normal 4 3 2 3 2 5 2 4 2" xfId="33853"/>
    <cellStyle name="Normal 4 3 2 3 2 5 2 5" xfId="33854"/>
    <cellStyle name="Normal 4 3 2 3 2 5 3" xfId="3535"/>
    <cellStyle name="Normal 4 3 2 3 2 5 3 2" xfId="33855"/>
    <cellStyle name="Normal 4 3 2 3 2 5 3 2 2" xfId="33856"/>
    <cellStyle name="Normal 4 3 2 3 2 5 3 2 2 2" xfId="33857"/>
    <cellStyle name="Normal 4 3 2 3 2 5 3 2 3" xfId="33858"/>
    <cellStyle name="Normal 4 3 2 3 2 5 3 3" xfId="33859"/>
    <cellStyle name="Normal 4 3 2 3 2 5 3 3 2" xfId="33860"/>
    <cellStyle name="Normal 4 3 2 3 2 5 3 4" xfId="33861"/>
    <cellStyle name="Normal 4 3 2 3 2 5 4" xfId="33862"/>
    <cellStyle name="Normal 4 3 2 3 2 5 4 2" xfId="33863"/>
    <cellStyle name="Normal 4 3 2 3 2 5 4 2 2" xfId="33864"/>
    <cellStyle name="Normal 4 3 2 3 2 5 4 3" xfId="33865"/>
    <cellStyle name="Normal 4 3 2 3 2 5 5" xfId="33866"/>
    <cellStyle name="Normal 4 3 2 3 2 5 5 2" xfId="33867"/>
    <cellStyle name="Normal 4 3 2 3 2 5 6" xfId="33868"/>
    <cellStyle name="Normal 4 3 2 3 2 6" xfId="1495"/>
    <cellStyle name="Normal 4 3 2 3 2 6 2" xfId="4215"/>
    <cellStyle name="Normal 4 3 2 3 2 6 2 2" xfId="33869"/>
    <cellStyle name="Normal 4 3 2 3 2 6 2 2 2" xfId="33870"/>
    <cellStyle name="Normal 4 3 2 3 2 6 2 2 2 2" xfId="33871"/>
    <cellStyle name="Normal 4 3 2 3 2 6 2 2 3" xfId="33872"/>
    <cellStyle name="Normal 4 3 2 3 2 6 2 3" xfId="33873"/>
    <cellStyle name="Normal 4 3 2 3 2 6 2 3 2" xfId="33874"/>
    <cellStyle name="Normal 4 3 2 3 2 6 2 4" xfId="33875"/>
    <cellStyle name="Normal 4 3 2 3 2 6 3" xfId="33876"/>
    <cellStyle name="Normal 4 3 2 3 2 6 3 2" xfId="33877"/>
    <cellStyle name="Normal 4 3 2 3 2 6 3 2 2" xfId="33878"/>
    <cellStyle name="Normal 4 3 2 3 2 6 3 3" xfId="33879"/>
    <cellStyle name="Normal 4 3 2 3 2 6 4" xfId="33880"/>
    <cellStyle name="Normal 4 3 2 3 2 6 4 2" xfId="33881"/>
    <cellStyle name="Normal 4 3 2 3 2 6 5" xfId="33882"/>
    <cellStyle name="Normal 4 3 2 3 2 7" xfId="2855"/>
    <cellStyle name="Normal 4 3 2 3 2 7 2" xfId="33883"/>
    <cellStyle name="Normal 4 3 2 3 2 7 2 2" xfId="33884"/>
    <cellStyle name="Normal 4 3 2 3 2 7 2 2 2" xfId="33885"/>
    <cellStyle name="Normal 4 3 2 3 2 7 2 3" xfId="33886"/>
    <cellStyle name="Normal 4 3 2 3 2 7 3" xfId="33887"/>
    <cellStyle name="Normal 4 3 2 3 2 7 3 2" xfId="33888"/>
    <cellStyle name="Normal 4 3 2 3 2 7 4" xfId="33889"/>
    <cellStyle name="Normal 4 3 2 3 2 8" xfId="33890"/>
    <cellStyle name="Normal 4 3 2 3 2 8 2" xfId="33891"/>
    <cellStyle name="Normal 4 3 2 3 2 8 2 2" xfId="33892"/>
    <cellStyle name="Normal 4 3 2 3 2 8 3" xfId="33893"/>
    <cellStyle name="Normal 4 3 2 3 2 9" xfId="33894"/>
    <cellStyle name="Normal 4 3 2 3 2 9 2" xfId="33895"/>
    <cellStyle name="Normal 4 3 2 3 3" xfId="203"/>
    <cellStyle name="Normal 4 3 2 3 3 2" xfId="475"/>
    <cellStyle name="Normal 4 3 2 3 3 2 2" xfId="1155"/>
    <cellStyle name="Normal 4 3 2 3 3 2 2 2" xfId="2515"/>
    <cellStyle name="Normal 4 3 2 3 3 2 2 2 2" xfId="5235"/>
    <cellStyle name="Normal 4 3 2 3 3 2 2 2 2 2" xfId="33896"/>
    <cellStyle name="Normal 4 3 2 3 3 2 2 2 2 2 2" xfId="33897"/>
    <cellStyle name="Normal 4 3 2 3 3 2 2 2 2 2 2 2" xfId="33898"/>
    <cellStyle name="Normal 4 3 2 3 3 2 2 2 2 2 3" xfId="33899"/>
    <cellStyle name="Normal 4 3 2 3 3 2 2 2 2 3" xfId="33900"/>
    <cellStyle name="Normal 4 3 2 3 3 2 2 2 2 3 2" xfId="33901"/>
    <cellStyle name="Normal 4 3 2 3 3 2 2 2 2 4" xfId="33902"/>
    <cellStyle name="Normal 4 3 2 3 3 2 2 2 3" xfId="33903"/>
    <cellStyle name="Normal 4 3 2 3 3 2 2 2 3 2" xfId="33904"/>
    <cellStyle name="Normal 4 3 2 3 3 2 2 2 3 2 2" xfId="33905"/>
    <cellStyle name="Normal 4 3 2 3 3 2 2 2 3 3" xfId="33906"/>
    <cellStyle name="Normal 4 3 2 3 3 2 2 2 4" xfId="33907"/>
    <cellStyle name="Normal 4 3 2 3 3 2 2 2 4 2" xfId="33908"/>
    <cellStyle name="Normal 4 3 2 3 3 2 2 2 5" xfId="33909"/>
    <cellStyle name="Normal 4 3 2 3 3 2 2 3" xfId="3875"/>
    <cellStyle name="Normal 4 3 2 3 3 2 2 3 2" xfId="33910"/>
    <cellStyle name="Normal 4 3 2 3 3 2 2 3 2 2" xfId="33911"/>
    <cellStyle name="Normal 4 3 2 3 3 2 2 3 2 2 2" xfId="33912"/>
    <cellStyle name="Normal 4 3 2 3 3 2 2 3 2 3" xfId="33913"/>
    <cellStyle name="Normal 4 3 2 3 3 2 2 3 3" xfId="33914"/>
    <cellStyle name="Normal 4 3 2 3 3 2 2 3 3 2" xfId="33915"/>
    <cellStyle name="Normal 4 3 2 3 3 2 2 3 4" xfId="33916"/>
    <cellStyle name="Normal 4 3 2 3 3 2 2 4" xfId="33917"/>
    <cellStyle name="Normal 4 3 2 3 3 2 2 4 2" xfId="33918"/>
    <cellStyle name="Normal 4 3 2 3 3 2 2 4 2 2" xfId="33919"/>
    <cellStyle name="Normal 4 3 2 3 3 2 2 4 3" xfId="33920"/>
    <cellStyle name="Normal 4 3 2 3 3 2 2 5" xfId="33921"/>
    <cellStyle name="Normal 4 3 2 3 3 2 2 5 2" xfId="33922"/>
    <cellStyle name="Normal 4 3 2 3 3 2 2 6" xfId="33923"/>
    <cellStyle name="Normal 4 3 2 3 3 2 3" xfId="1835"/>
    <cellStyle name="Normal 4 3 2 3 3 2 3 2" xfId="4555"/>
    <cellStyle name="Normal 4 3 2 3 3 2 3 2 2" xfId="33924"/>
    <cellStyle name="Normal 4 3 2 3 3 2 3 2 2 2" xfId="33925"/>
    <cellStyle name="Normal 4 3 2 3 3 2 3 2 2 2 2" xfId="33926"/>
    <cellStyle name="Normal 4 3 2 3 3 2 3 2 2 3" xfId="33927"/>
    <cellStyle name="Normal 4 3 2 3 3 2 3 2 3" xfId="33928"/>
    <cellStyle name="Normal 4 3 2 3 3 2 3 2 3 2" xfId="33929"/>
    <cellStyle name="Normal 4 3 2 3 3 2 3 2 4" xfId="33930"/>
    <cellStyle name="Normal 4 3 2 3 3 2 3 3" xfId="33931"/>
    <cellStyle name="Normal 4 3 2 3 3 2 3 3 2" xfId="33932"/>
    <cellStyle name="Normal 4 3 2 3 3 2 3 3 2 2" xfId="33933"/>
    <cellStyle name="Normal 4 3 2 3 3 2 3 3 3" xfId="33934"/>
    <cellStyle name="Normal 4 3 2 3 3 2 3 4" xfId="33935"/>
    <cellStyle name="Normal 4 3 2 3 3 2 3 4 2" xfId="33936"/>
    <cellStyle name="Normal 4 3 2 3 3 2 3 5" xfId="33937"/>
    <cellStyle name="Normal 4 3 2 3 3 2 4" xfId="3195"/>
    <cellStyle name="Normal 4 3 2 3 3 2 4 2" xfId="33938"/>
    <cellStyle name="Normal 4 3 2 3 3 2 4 2 2" xfId="33939"/>
    <cellStyle name="Normal 4 3 2 3 3 2 4 2 2 2" xfId="33940"/>
    <cellStyle name="Normal 4 3 2 3 3 2 4 2 3" xfId="33941"/>
    <cellStyle name="Normal 4 3 2 3 3 2 4 3" xfId="33942"/>
    <cellStyle name="Normal 4 3 2 3 3 2 4 3 2" xfId="33943"/>
    <cellStyle name="Normal 4 3 2 3 3 2 4 4" xfId="33944"/>
    <cellStyle name="Normal 4 3 2 3 3 2 5" xfId="33945"/>
    <cellStyle name="Normal 4 3 2 3 3 2 5 2" xfId="33946"/>
    <cellStyle name="Normal 4 3 2 3 3 2 5 2 2" xfId="33947"/>
    <cellStyle name="Normal 4 3 2 3 3 2 5 3" xfId="33948"/>
    <cellStyle name="Normal 4 3 2 3 3 2 6" xfId="33949"/>
    <cellStyle name="Normal 4 3 2 3 3 2 6 2" xfId="33950"/>
    <cellStyle name="Normal 4 3 2 3 3 2 7" xfId="33951"/>
    <cellStyle name="Normal 4 3 2 3 3 3" xfId="883"/>
    <cellStyle name="Normal 4 3 2 3 3 3 2" xfId="2243"/>
    <cellStyle name="Normal 4 3 2 3 3 3 2 2" xfId="4963"/>
    <cellStyle name="Normal 4 3 2 3 3 3 2 2 2" xfId="33952"/>
    <cellStyle name="Normal 4 3 2 3 3 3 2 2 2 2" xfId="33953"/>
    <cellStyle name="Normal 4 3 2 3 3 3 2 2 2 2 2" xfId="33954"/>
    <cellStyle name="Normal 4 3 2 3 3 3 2 2 2 3" xfId="33955"/>
    <cellStyle name="Normal 4 3 2 3 3 3 2 2 3" xfId="33956"/>
    <cellStyle name="Normal 4 3 2 3 3 3 2 2 3 2" xfId="33957"/>
    <cellStyle name="Normal 4 3 2 3 3 3 2 2 4" xfId="33958"/>
    <cellStyle name="Normal 4 3 2 3 3 3 2 3" xfId="33959"/>
    <cellStyle name="Normal 4 3 2 3 3 3 2 3 2" xfId="33960"/>
    <cellStyle name="Normal 4 3 2 3 3 3 2 3 2 2" xfId="33961"/>
    <cellStyle name="Normal 4 3 2 3 3 3 2 3 3" xfId="33962"/>
    <cellStyle name="Normal 4 3 2 3 3 3 2 4" xfId="33963"/>
    <cellStyle name="Normal 4 3 2 3 3 3 2 4 2" xfId="33964"/>
    <cellStyle name="Normal 4 3 2 3 3 3 2 5" xfId="33965"/>
    <cellStyle name="Normal 4 3 2 3 3 3 3" xfId="3603"/>
    <cellStyle name="Normal 4 3 2 3 3 3 3 2" xfId="33966"/>
    <cellStyle name="Normal 4 3 2 3 3 3 3 2 2" xfId="33967"/>
    <cellStyle name="Normal 4 3 2 3 3 3 3 2 2 2" xfId="33968"/>
    <cellStyle name="Normal 4 3 2 3 3 3 3 2 3" xfId="33969"/>
    <cellStyle name="Normal 4 3 2 3 3 3 3 3" xfId="33970"/>
    <cellStyle name="Normal 4 3 2 3 3 3 3 3 2" xfId="33971"/>
    <cellStyle name="Normal 4 3 2 3 3 3 3 4" xfId="33972"/>
    <cellStyle name="Normal 4 3 2 3 3 3 4" xfId="33973"/>
    <cellStyle name="Normal 4 3 2 3 3 3 4 2" xfId="33974"/>
    <cellStyle name="Normal 4 3 2 3 3 3 4 2 2" xfId="33975"/>
    <cellStyle name="Normal 4 3 2 3 3 3 4 3" xfId="33976"/>
    <cellStyle name="Normal 4 3 2 3 3 3 5" xfId="33977"/>
    <cellStyle name="Normal 4 3 2 3 3 3 5 2" xfId="33978"/>
    <cellStyle name="Normal 4 3 2 3 3 3 6" xfId="33979"/>
    <cellStyle name="Normal 4 3 2 3 3 4" xfId="1563"/>
    <cellStyle name="Normal 4 3 2 3 3 4 2" xfId="4283"/>
    <cellStyle name="Normal 4 3 2 3 3 4 2 2" xfId="33980"/>
    <cellStyle name="Normal 4 3 2 3 3 4 2 2 2" xfId="33981"/>
    <cellStyle name="Normal 4 3 2 3 3 4 2 2 2 2" xfId="33982"/>
    <cellStyle name="Normal 4 3 2 3 3 4 2 2 3" xfId="33983"/>
    <cellStyle name="Normal 4 3 2 3 3 4 2 3" xfId="33984"/>
    <cellStyle name="Normal 4 3 2 3 3 4 2 3 2" xfId="33985"/>
    <cellStyle name="Normal 4 3 2 3 3 4 2 4" xfId="33986"/>
    <cellStyle name="Normal 4 3 2 3 3 4 3" xfId="33987"/>
    <cellStyle name="Normal 4 3 2 3 3 4 3 2" xfId="33988"/>
    <cellStyle name="Normal 4 3 2 3 3 4 3 2 2" xfId="33989"/>
    <cellStyle name="Normal 4 3 2 3 3 4 3 3" xfId="33990"/>
    <cellStyle name="Normal 4 3 2 3 3 4 4" xfId="33991"/>
    <cellStyle name="Normal 4 3 2 3 3 4 4 2" xfId="33992"/>
    <cellStyle name="Normal 4 3 2 3 3 4 5" xfId="33993"/>
    <cellStyle name="Normal 4 3 2 3 3 5" xfId="2923"/>
    <cellStyle name="Normal 4 3 2 3 3 5 2" xfId="33994"/>
    <cellStyle name="Normal 4 3 2 3 3 5 2 2" xfId="33995"/>
    <cellStyle name="Normal 4 3 2 3 3 5 2 2 2" xfId="33996"/>
    <cellStyle name="Normal 4 3 2 3 3 5 2 3" xfId="33997"/>
    <cellStyle name="Normal 4 3 2 3 3 5 3" xfId="33998"/>
    <cellStyle name="Normal 4 3 2 3 3 5 3 2" xfId="33999"/>
    <cellStyle name="Normal 4 3 2 3 3 5 4" xfId="34000"/>
    <cellStyle name="Normal 4 3 2 3 3 6" xfId="34001"/>
    <cellStyle name="Normal 4 3 2 3 3 6 2" xfId="34002"/>
    <cellStyle name="Normal 4 3 2 3 3 6 2 2" xfId="34003"/>
    <cellStyle name="Normal 4 3 2 3 3 6 3" xfId="34004"/>
    <cellStyle name="Normal 4 3 2 3 3 7" xfId="34005"/>
    <cellStyle name="Normal 4 3 2 3 3 7 2" xfId="34006"/>
    <cellStyle name="Normal 4 3 2 3 3 8" xfId="34007"/>
    <cellStyle name="Normal 4 3 2 3 4" xfId="339"/>
    <cellStyle name="Normal 4 3 2 3 4 2" xfId="1019"/>
    <cellStyle name="Normal 4 3 2 3 4 2 2" xfId="2379"/>
    <cellStyle name="Normal 4 3 2 3 4 2 2 2" xfId="5099"/>
    <cellStyle name="Normal 4 3 2 3 4 2 2 2 2" xfId="34008"/>
    <cellStyle name="Normal 4 3 2 3 4 2 2 2 2 2" xfId="34009"/>
    <cellStyle name="Normal 4 3 2 3 4 2 2 2 2 2 2" xfId="34010"/>
    <cellStyle name="Normal 4 3 2 3 4 2 2 2 2 3" xfId="34011"/>
    <cellStyle name="Normal 4 3 2 3 4 2 2 2 3" xfId="34012"/>
    <cellStyle name="Normal 4 3 2 3 4 2 2 2 3 2" xfId="34013"/>
    <cellStyle name="Normal 4 3 2 3 4 2 2 2 4" xfId="34014"/>
    <cellStyle name="Normal 4 3 2 3 4 2 2 3" xfId="34015"/>
    <cellStyle name="Normal 4 3 2 3 4 2 2 3 2" xfId="34016"/>
    <cellStyle name="Normal 4 3 2 3 4 2 2 3 2 2" xfId="34017"/>
    <cellStyle name="Normal 4 3 2 3 4 2 2 3 3" xfId="34018"/>
    <cellStyle name="Normal 4 3 2 3 4 2 2 4" xfId="34019"/>
    <cellStyle name="Normal 4 3 2 3 4 2 2 4 2" xfId="34020"/>
    <cellStyle name="Normal 4 3 2 3 4 2 2 5" xfId="34021"/>
    <cellStyle name="Normal 4 3 2 3 4 2 3" xfId="3739"/>
    <cellStyle name="Normal 4 3 2 3 4 2 3 2" xfId="34022"/>
    <cellStyle name="Normal 4 3 2 3 4 2 3 2 2" xfId="34023"/>
    <cellStyle name="Normal 4 3 2 3 4 2 3 2 2 2" xfId="34024"/>
    <cellStyle name="Normal 4 3 2 3 4 2 3 2 3" xfId="34025"/>
    <cellStyle name="Normal 4 3 2 3 4 2 3 3" xfId="34026"/>
    <cellStyle name="Normal 4 3 2 3 4 2 3 3 2" xfId="34027"/>
    <cellStyle name="Normal 4 3 2 3 4 2 3 4" xfId="34028"/>
    <cellStyle name="Normal 4 3 2 3 4 2 4" xfId="34029"/>
    <cellStyle name="Normal 4 3 2 3 4 2 4 2" xfId="34030"/>
    <cellStyle name="Normal 4 3 2 3 4 2 4 2 2" xfId="34031"/>
    <cellStyle name="Normal 4 3 2 3 4 2 4 3" xfId="34032"/>
    <cellStyle name="Normal 4 3 2 3 4 2 5" xfId="34033"/>
    <cellStyle name="Normal 4 3 2 3 4 2 5 2" xfId="34034"/>
    <cellStyle name="Normal 4 3 2 3 4 2 6" xfId="34035"/>
    <cellStyle name="Normal 4 3 2 3 4 3" xfId="1699"/>
    <cellStyle name="Normal 4 3 2 3 4 3 2" xfId="4419"/>
    <cellStyle name="Normal 4 3 2 3 4 3 2 2" xfId="34036"/>
    <cellStyle name="Normal 4 3 2 3 4 3 2 2 2" xfId="34037"/>
    <cellStyle name="Normal 4 3 2 3 4 3 2 2 2 2" xfId="34038"/>
    <cellStyle name="Normal 4 3 2 3 4 3 2 2 3" xfId="34039"/>
    <cellStyle name="Normal 4 3 2 3 4 3 2 3" xfId="34040"/>
    <cellStyle name="Normal 4 3 2 3 4 3 2 3 2" xfId="34041"/>
    <cellStyle name="Normal 4 3 2 3 4 3 2 4" xfId="34042"/>
    <cellStyle name="Normal 4 3 2 3 4 3 3" xfId="34043"/>
    <cellStyle name="Normal 4 3 2 3 4 3 3 2" xfId="34044"/>
    <cellStyle name="Normal 4 3 2 3 4 3 3 2 2" xfId="34045"/>
    <cellStyle name="Normal 4 3 2 3 4 3 3 3" xfId="34046"/>
    <cellStyle name="Normal 4 3 2 3 4 3 4" xfId="34047"/>
    <cellStyle name="Normal 4 3 2 3 4 3 4 2" xfId="34048"/>
    <cellStyle name="Normal 4 3 2 3 4 3 5" xfId="34049"/>
    <cellStyle name="Normal 4 3 2 3 4 4" xfId="3059"/>
    <cellStyle name="Normal 4 3 2 3 4 4 2" xfId="34050"/>
    <cellStyle name="Normal 4 3 2 3 4 4 2 2" xfId="34051"/>
    <cellStyle name="Normal 4 3 2 3 4 4 2 2 2" xfId="34052"/>
    <cellStyle name="Normal 4 3 2 3 4 4 2 3" xfId="34053"/>
    <cellStyle name="Normal 4 3 2 3 4 4 3" xfId="34054"/>
    <cellStyle name="Normal 4 3 2 3 4 4 3 2" xfId="34055"/>
    <cellStyle name="Normal 4 3 2 3 4 4 4" xfId="34056"/>
    <cellStyle name="Normal 4 3 2 3 4 5" xfId="34057"/>
    <cellStyle name="Normal 4 3 2 3 4 5 2" xfId="34058"/>
    <cellStyle name="Normal 4 3 2 3 4 5 2 2" xfId="34059"/>
    <cellStyle name="Normal 4 3 2 3 4 5 3" xfId="34060"/>
    <cellStyle name="Normal 4 3 2 3 4 6" xfId="34061"/>
    <cellStyle name="Normal 4 3 2 3 4 6 2" xfId="34062"/>
    <cellStyle name="Normal 4 3 2 3 4 7" xfId="34063"/>
    <cellStyle name="Normal 4 3 2 3 5" xfId="611"/>
    <cellStyle name="Normal 4 3 2 3 5 2" xfId="1291"/>
    <cellStyle name="Normal 4 3 2 3 5 2 2" xfId="2651"/>
    <cellStyle name="Normal 4 3 2 3 5 2 2 2" xfId="5371"/>
    <cellStyle name="Normal 4 3 2 3 5 2 2 2 2" xfId="34064"/>
    <cellStyle name="Normal 4 3 2 3 5 2 2 2 2 2" xfId="34065"/>
    <cellStyle name="Normal 4 3 2 3 5 2 2 2 2 2 2" xfId="34066"/>
    <cellStyle name="Normal 4 3 2 3 5 2 2 2 2 3" xfId="34067"/>
    <cellStyle name="Normal 4 3 2 3 5 2 2 2 3" xfId="34068"/>
    <cellStyle name="Normal 4 3 2 3 5 2 2 2 3 2" xfId="34069"/>
    <cellStyle name="Normal 4 3 2 3 5 2 2 2 4" xfId="34070"/>
    <cellStyle name="Normal 4 3 2 3 5 2 2 3" xfId="34071"/>
    <cellStyle name="Normal 4 3 2 3 5 2 2 3 2" xfId="34072"/>
    <cellStyle name="Normal 4 3 2 3 5 2 2 3 2 2" xfId="34073"/>
    <cellStyle name="Normal 4 3 2 3 5 2 2 3 3" xfId="34074"/>
    <cellStyle name="Normal 4 3 2 3 5 2 2 4" xfId="34075"/>
    <cellStyle name="Normal 4 3 2 3 5 2 2 4 2" xfId="34076"/>
    <cellStyle name="Normal 4 3 2 3 5 2 2 5" xfId="34077"/>
    <cellStyle name="Normal 4 3 2 3 5 2 3" xfId="4011"/>
    <cellStyle name="Normal 4 3 2 3 5 2 3 2" xfId="34078"/>
    <cellStyle name="Normal 4 3 2 3 5 2 3 2 2" xfId="34079"/>
    <cellStyle name="Normal 4 3 2 3 5 2 3 2 2 2" xfId="34080"/>
    <cellStyle name="Normal 4 3 2 3 5 2 3 2 3" xfId="34081"/>
    <cellStyle name="Normal 4 3 2 3 5 2 3 3" xfId="34082"/>
    <cellStyle name="Normal 4 3 2 3 5 2 3 3 2" xfId="34083"/>
    <cellStyle name="Normal 4 3 2 3 5 2 3 4" xfId="34084"/>
    <cellStyle name="Normal 4 3 2 3 5 2 4" xfId="34085"/>
    <cellStyle name="Normal 4 3 2 3 5 2 4 2" xfId="34086"/>
    <cellStyle name="Normal 4 3 2 3 5 2 4 2 2" xfId="34087"/>
    <cellStyle name="Normal 4 3 2 3 5 2 4 3" xfId="34088"/>
    <cellStyle name="Normal 4 3 2 3 5 2 5" xfId="34089"/>
    <cellStyle name="Normal 4 3 2 3 5 2 5 2" xfId="34090"/>
    <cellStyle name="Normal 4 3 2 3 5 2 6" xfId="34091"/>
    <cellStyle name="Normal 4 3 2 3 5 3" xfId="1971"/>
    <cellStyle name="Normal 4 3 2 3 5 3 2" xfId="4691"/>
    <cellStyle name="Normal 4 3 2 3 5 3 2 2" xfId="34092"/>
    <cellStyle name="Normal 4 3 2 3 5 3 2 2 2" xfId="34093"/>
    <cellStyle name="Normal 4 3 2 3 5 3 2 2 2 2" xfId="34094"/>
    <cellStyle name="Normal 4 3 2 3 5 3 2 2 3" xfId="34095"/>
    <cellStyle name="Normal 4 3 2 3 5 3 2 3" xfId="34096"/>
    <cellStyle name="Normal 4 3 2 3 5 3 2 3 2" xfId="34097"/>
    <cellStyle name="Normal 4 3 2 3 5 3 2 4" xfId="34098"/>
    <cellStyle name="Normal 4 3 2 3 5 3 3" xfId="34099"/>
    <cellStyle name="Normal 4 3 2 3 5 3 3 2" xfId="34100"/>
    <cellStyle name="Normal 4 3 2 3 5 3 3 2 2" xfId="34101"/>
    <cellStyle name="Normal 4 3 2 3 5 3 3 3" xfId="34102"/>
    <cellStyle name="Normal 4 3 2 3 5 3 4" xfId="34103"/>
    <cellStyle name="Normal 4 3 2 3 5 3 4 2" xfId="34104"/>
    <cellStyle name="Normal 4 3 2 3 5 3 5" xfId="34105"/>
    <cellStyle name="Normal 4 3 2 3 5 4" xfId="3331"/>
    <cellStyle name="Normal 4 3 2 3 5 4 2" xfId="34106"/>
    <cellStyle name="Normal 4 3 2 3 5 4 2 2" xfId="34107"/>
    <cellStyle name="Normal 4 3 2 3 5 4 2 2 2" xfId="34108"/>
    <cellStyle name="Normal 4 3 2 3 5 4 2 3" xfId="34109"/>
    <cellStyle name="Normal 4 3 2 3 5 4 3" xfId="34110"/>
    <cellStyle name="Normal 4 3 2 3 5 4 3 2" xfId="34111"/>
    <cellStyle name="Normal 4 3 2 3 5 4 4" xfId="34112"/>
    <cellStyle name="Normal 4 3 2 3 5 5" xfId="34113"/>
    <cellStyle name="Normal 4 3 2 3 5 5 2" xfId="34114"/>
    <cellStyle name="Normal 4 3 2 3 5 5 2 2" xfId="34115"/>
    <cellStyle name="Normal 4 3 2 3 5 5 3" xfId="34116"/>
    <cellStyle name="Normal 4 3 2 3 5 6" xfId="34117"/>
    <cellStyle name="Normal 4 3 2 3 5 6 2" xfId="34118"/>
    <cellStyle name="Normal 4 3 2 3 5 7" xfId="34119"/>
    <cellStyle name="Normal 4 3 2 3 6" xfId="747"/>
    <cellStyle name="Normal 4 3 2 3 6 2" xfId="2107"/>
    <cellStyle name="Normal 4 3 2 3 6 2 2" xfId="4827"/>
    <cellStyle name="Normal 4 3 2 3 6 2 2 2" xfId="34120"/>
    <cellStyle name="Normal 4 3 2 3 6 2 2 2 2" xfId="34121"/>
    <cellStyle name="Normal 4 3 2 3 6 2 2 2 2 2" xfId="34122"/>
    <cellStyle name="Normal 4 3 2 3 6 2 2 2 3" xfId="34123"/>
    <cellStyle name="Normal 4 3 2 3 6 2 2 3" xfId="34124"/>
    <cellStyle name="Normal 4 3 2 3 6 2 2 3 2" xfId="34125"/>
    <cellStyle name="Normal 4 3 2 3 6 2 2 4" xfId="34126"/>
    <cellStyle name="Normal 4 3 2 3 6 2 3" xfId="34127"/>
    <cellStyle name="Normal 4 3 2 3 6 2 3 2" xfId="34128"/>
    <cellStyle name="Normal 4 3 2 3 6 2 3 2 2" xfId="34129"/>
    <cellStyle name="Normal 4 3 2 3 6 2 3 3" xfId="34130"/>
    <cellStyle name="Normal 4 3 2 3 6 2 4" xfId="34131"/>
    <cellStyle name="Normal 4 3 2 3 6 2 4 2" xfId="34132"/>
    <cellStyle name="Normal 4 3 2 3 6 2 5" xfId="34133"/>
    <cellStyle name="Normal 4 3 2 3 6 3" xfId="3467"/>
    <cellStyle name="Normal 4 3 2 3 6 3 2" xfId="34134"/>
    <cellStyle name="Normal 4 3 2 3 6 3 2 2" xfId="34135"/>
    <cellStyle name="Normal 4 3 2 3 6 3 2 2 2" xfId="34136"/>
    <cellStyle name="Normal 4 3 2 3 6 3 2 3" xfId="34137"/>
    <cellStyle name="Normal 4 3 2 3 6 3 3" xfId="34138"/>
    <cellStyle name="Normal 4 3 2 3 6 3 3 2" xfId="34139"/>
    <cellStyle name="Normal 4 3 2 3 6 3 4" xfId="34140"/>
    <cellStyle name="Normal 4 3 2 3 6 4" xfId="34141"/>
    <cellStyle name="Normal 4 3 2 3 6 4 2" xfId="34142"/>
    <cellStyle name="Normal 4 3 2 3 6 4 2 2" xfId="34143"/>
    <cellStyle name="Normal 4 3 2 3 6 4 3" xfId="34144"/>
    <cellStyle name="Normal 4 3 2 3 6 5" xfId="34145"/>
    <cellStyle name="Normal 4 3 2 3 6 5 2" xfId="34146"/>
    <cellStyle name="Normal 4 3 2 3 6 6" xfId="34147"/>
    <cellStyle name="Normal 4 3 2 3 7" xfId="1427"/>
    <cellStyle name="Normal 4 3 2 3 7 2" xfId="4147"/>
    <cellStyle name="Normal 4 3 2 3 7 2 2" xfId="34148"/>
    <cellStyle name="Normal 4 3 2 3 7 2 2 2" xfId="34149"/>
    <cellStyle name="Normal 4 3 2 3 7 2 2 2 2" xfId="34150"/>
    <cellStyle name="Normal 4 3 2 3 7 2 2 3" xfId="34151"/>
    <cellStyle name="Normal 4 3 2 3 7 2 3" xfId="34152"/>
    <cellStyle name="Normal 4 3 2 3 7 2 3 2" xfId="34153"/>
    <cellStyle name="Normal 4 3 2 3 7 2 4" xfId="34154"/>
    <cellStyle name="Normal 4 3 2 3 7 3" xfId="34155"/>
    <cellStyle name="Normal 4 3 2 3 7 3 2" xfId="34156"/>
    <cellStyle name="Normal 4 3 2 3 7 3 2 2" xfId="34157"/>
    <cellStyle name="Normal 4 3 2 3 7 3 3" xfId="34158"/>
    <cellStyle name="Normal 4 3 2 3 7 4" xfId="34159"/>
    <cellStyle name="Normal 4 3 2 3 7 4 2" xfId="34160"/>
    <cellStyle name="Normal 4 3 2 3 7 5" xfId="34161"/>
    <cellStyle name="Normal 4 3 2 3 8" xfId="2787"/>
    <cellStyle name="Normal 4 3 2 3 8 2" xfId="34162"/>
    <cellStyle name="Normal 4 3 2 3 8 2 2" xfId="34163"/>
    <cellStyle name="Normal 4 3 2 3 8 2 2 2" xfId="34164"/>
    <cellStyle name="Normal 4 3 2 3 8 2 3" xfId="34165"/>
    <cellStyle name="Normal 4 3 2 3 8 3" xfId="34166"/>
    <cellStyle name="Normal 4 3 2 3 8 3 2" xfId="34167"/>
    <cellStyle name="Normal 4 3 2 3 8 4" xfId="34168"/>
    <cellStyle name="Normal 4 3 2 3 9" xfId="34169"/>
    <cellStyle name="Normal 4 3 2 3 9 2" xfId="34170"/>
    <cellStyle name="Normal 4 3 2 3 9 2 2" xfId="34171"/>
    <cellStyle name="Normal 4 3 2 3 9 3" xfId="34172"/>
    <cellStyle name="Normal 4 3 2 4" xfId="100"/>
    <cellStyle name="Normal 4 3 2 4 10" xfId="34173"/>
    <cellStyle name="Normal 4 3 2 4 2" xfId="237"/>
    <cellStyle name="Normal 4 3 2 4 2 2" xfId="509"/>
    <cellStyle name="Normal 4 3 2 4 2 2 2" xfId="1189"/>
    <cellStyle name="Normal 4 3 2 4 2 2 2 2" xfId="2549"/>
    <cellStyle name="Normal 4 3 2 4 2 2 2 2 2" xfId="5269"/>
    <cellStyle name="Normal 4 3 2 4 2 2 2 2 2 2" xfId="34174"/>
    <cellStyle name="Normal 4 3 2 4 2 2 2 2 2 2 2" xfId="34175"/>
    <cellStyle name="Normal 4 3 2 4 2 2 2 2 2 2 2 2" xfId="34176"/>
    <cellStyle name="Normal 4 3 2 4 2 2 2 2 2 2 3" xfId="34177"/>
    <cellStyle name="Normal 4 3 2 4 2 2 2 2 2 3" xfId="34178"/>
    <cellStyle name="Normal 4 3 2 4 2 2 2 2 2 3 2" xfId="34179"/>
    <cellStyle name="Normal 4 3 2 4 2 2 2 2 2 4" xfId="34180"/>
    <cellStyle name="Normal 4 3 2 4 2 2 2 2 3" xfId="34181"/>
    <cellStyle name="Normal 4 3 2 4 2 2 2 2 3 2" xfId="34182"/>
    <cellStyle name="Normal 4 3 2 4 2 2 2 2 3 2 2" xfId="34183"/>
    <cellStyle name="Normal 4 3 2 4 2 2 2 2 3 3" xfId="34184"/>
    <cellStyle name="Normal 4 3 2 4 2 2 2 2 4" xfId="34185"/>
    <cellStyle name="Normal 4 3 2 4 2 2 2 2 4 2" xfId="34186"/>
    <cellStyle name="Normal 4 3 2 4 2 2 2 2 5" xfId="34187"/>
    <cellStyle name="Normal 4 3 2 4 2 2 2 3" xfId="3909"/>
    <cellStyle name="Normal 4 3 2 4 2 2 2 3 2" xfId="34188"/>
    <cellStyle name="Normal 4 3 2 4 2 2 2 3 2 2" xfId="34189"/>
    <cellStyle name="Normal 4 3 2 4 2 2 2 3 2 2 2" xfId="34190"/>
    <cellStyle name="Normal 4 3 2 4 2 2 2 3 2 3" xfId="34191"/>
    <cellStyle name="Normal 4 3 2 4 2 2 2 3 3" xfId="34192"/>
    <cellStyle name="Normal 4 3 2 4 2 2 2 3 3 2" xfId="34193"/>
    <cellStyle name="Normal 4 3 2 4 2 2 2 3 4" xfId="34194"/>
    <cellStyle name="Normal 4 3 2 4 2 2 2 4" xfId="34195"/>
    <cellStyle name="Normal 4 3 2 4 2 2 2 4 2" xfId="34196"/>
    <cellStyle name="Normal 4 3 2 4 2 2 2 4 2 2" xfId="34197"/>
    <cellStyle name="Normal 4 3 2 4 2 2 2 4 3" xfId="34198"/>
    <cellStyle name="Normal 4 3 2 4 2 2 2 5" xfId="34199"/>
    <cellStyle name="Normal 4 3 2 4 2 2 2 5 2" xfId="34200"/>
    <cellStyle name="Normal 4 3 2 4 2 2 2 6" xfId="34201"/>
    <cellStyle name="Normal 4 3 2 4 2 2 3" xfId="1869"/>
    <cellStyle name="Normal 4 3 2 4 2 2 3 2" xfId="4589"/>
    <cellStyle name="Normal 4 3 2 4 2 2 3 2 2" xfId="34202"/>
    <cellStyle name="Normal 4 3 2 4 2 2 3 2 2 2" xfId="34203"/>
    <cellStyle name="Normal 4 3 2 4 2 2 3 2 2 2 2" xfId="34204"/>
    <cellStyle name="Normal 4 3 2 4 2 2 3 2 2 3" xfId="34205"/>
    <cellStyle name="Normal 4 3 2 4 2 2 3 2 3" xfId="34206"/>
    <cellStyle name="Normal 4 3 2 4 2 2 3 2 3 2" xfId="34207"/>
    <cellStyle name="Normal 4 3 2 4 2 2 3 2 4" xfId="34208"/>
    <cellStyle name="Normal 4 3 2 4 2 2 3 3" xfId="34209"/>
    <cellStyle name="Normal 4 3 2 4 2 2 3 3 2" xfId="34210"/>
    <cellStyle name="Normal 4 3 2 4 2 2 3 3 2 2" xfId="34211"/>
    <cellStyle name="Normal 4 3 2 4 2 2 3 3 3" xfId="34212"/>
    <cellStyle name="Normal 4 3 2 4 2 2 3 4" xfId="34213"/>
    <cellStyle name="Normal 4 3 2 4 2 2 3 4 2" xfId="34214"/>
    <cellStyle name="Normal 4 3 2 4 2 2 3 5" xfId="34215"/>
    <cellStyle name="Normal 4 3 2 4 2 2 4" xfId="3229"/>
    <cellStyle name="Normal 4 3 2 4 2 2 4 2" xfId="34216"/>
    <cellStyle name="Normal 4 3 2 4 2 2 4 2 2" xfId="34217"/>
    <cellStyle name="Normal 4 3 2 4 2 2 4 2 2 2" xfId="34218"/>
    <cellStyle name="Normal 4 3 2 4 2 2 4 2 3" xfId="34219"/>
    <cellStyle name="Normal 4 3 2 4 2 2 4 3" xfId="34220"/>
    <cellStyle name="Normal 4 3 2 4 2 2 4 3 2" xfId="34221"/>
    <cellStyle name="Normal 4 3 2 4 2 2 4 4" xfId="34222"/>
    <cellStyle name="Normal 4 3 2 4 2 2 5" xfId="34223"/>
    <cellStyle name="Normal 4 3 2 4 2 2 5 2" xfId="34224"/>
    <cellStyle name="Normal 4 3 2 4 2 2 5 2 2" xfId="34225"/>
    <cellStyle name="Normal 4 3 2 4 2 2 5 3" xfId="34226"/>
    <cellStyle name="Normal 4 3 2 4 2 2 6" xfId="34227"/>
    <cellStyle name="Normal 4 3 2 4 2 2 6 2" xfId="34228"/>
    <cellStyle name="Normal 4 3 2 4 2 2 7" xfId="34229"/>
    <cellStyle name="Normal 4 3 2 4 2 3" xfId="917"/>
    <cellStyle name="Normal 4 3 2 4 2 3 2" xfId="2277"/>
    <cellStyle name="Normal 4 3 2 4 2 3 2 2" xfId="4997"/>
    <cellStyle name="Normal 4 3 2 4 2 3 2 2 2" xfId="34230"/>
    <cellStyle name="Normal 4 3 2 4 2 3 2 2 2 2" xfId="34231"/>
    <cellStyle name="Normal 4 3 2 4 2 3 2 2 2 2 2" xfId="34232"/>
    <cellStyle name="Normal 4 3 2 4 2 3 2 2 2 3" xfId="34233"/>
    <cellStyle name="Normal 4 3 2 4 2 3 2 2 3" xfId="34234"/>
    <cellStyle name="Normal 4 3 2 4 2 3 2 2 3 2" xfId="34235"/>
    <cellStyle name="Normal 4 3 2 4 2 3 2 2 4" xfId="34236"/>
    <cellStyle name="Normal 4 3 2 4 2 3 2 3" xfId="34237"/>
    <cellStyle name="Normal 4 3 2 4 2 3 2 3 2" xfId="34238"/>
    <cellStyle name="Normal 4 3 2 4 2 3 2 3 2 2" xfId="34239"/>
    <cellStyle name="Normal 4 3 2 4 2 3 2 3 3" xfId="34240"/>
    <cellStyle name="Normal 4 3 2 4 2 3 2 4" xfId="34241"/>
    <cellStyle name="Normal 4 3 2 4 2 3 2 4 2" xfId="34242"/>
    <cellStyle name="Normal 4 3 2 4 2 3 2 5" xfId="34243"/>
    <cellStyle name="Normal 4 3 2 4 2 3 3" xfId="3637"/>
    <cellStyle name="Normal 4 3 2 4 2 3 3 2" xfId="34244"/>
    <cellStyle name="Normal 4 3 2 4 2 3 3 2 2" xfId="34245"/>
    <cellStyle name="Normal 4 3 2 4 2 3 3 2 2 2" xfId="34246"/>
    <cellStyle name="Normal 4 3 2 4 2 3 3 2 3" xfId="34247"/>
    <cellStyle name="Normal 4 3 2 4 2 3 3 3" xfId="34248"/>
    <cellStyle name="Normal 4 3 2 4 2 3 3 3 2" xfId="34249"/>
    <cellStyle name="Normal 4 3 2 4 2 3 3 4" xfId="34250"/>
    <cellStyle name="Normal 4 3 2 4 2 3 4" xfId="34251"/>
    <cellStyle name="Normal 4 3 2 4 2 3 4 2" xfId="34252"/>
    <cellStyle name="Normal 4 3 2 4 2 3 4 2 2" xfId="34253"/>
    <cellStyle name="Normal 4 3 2 4 2 3 4 3" xfId="34254"/>
    <cellStyle name="Normal 4 3 2 4 2 3 5" xfId="34255"/>
    <cellStyle name="Normal 4 3 2 4 2 3 5 2" xfId="34256"/>
    <cellStyle name="Normal 4 3 2 4 2 3 6" xfId="34257"/>
    <cellStyle name="Normal 4 3 2 4 2 4" xfId="1597"/>
    <cellStyle name="Normal 4 3 2 4 2 4 2" xfId="4317"/>
    <cellStyle name="Normal 4 3 2 4 2 4 2 2" xfId="34258"/>
    <cellStyle name="Normal 4 3 2 4 2 4 2 2 2" xfId="34259"/>
    <cellStyle name="Normal 4 3 2 4 2 4 2 2 2 2" xfId="34260"/>
    <cellStyle name="Normal 4 3 2 4 2 4 2 2 3" xfId="34261"/>
    <cellStyle name="Normal 4 3 2 4 2 4 2 3" xfId="34262"/>
    <cellStyle name="Normal 4 3 2 4 2 4 2 3 2" xfId="34263"/>
    <cellStyle name="Normal 4 3 2 4 2 4 2 4" xfId="34264"/>
    <cellStyle name="Normal 4 3 2 4 2 4 3" xfId="34265"/>
    <cellStyle name="Normal 4 3 2 4 2 4 3 2" xfId="34266"/>
    <cellStyle name="Normal 4 3 2 4 2 4 3 2 2" xfId="34267"/>
    <cellStyle name="Normal 4 3 2 4 2 4 3 3" xfId="34268"/>
    <cellStyle name="Normal 4 3 2 4 2 4 4" xfId="34269"/>
    <cellStyle name="Normal 4 3 2 4 2 4 4 2" xfId="34270"/>
    <cellStyle name="Normal 4 3 2 4 2 4 5" xfId="34271"/>
    <cellStyle name="Normal 4 3 2 4 2 5" xfId="2957"/>
    <cellStyle name="Normal 4 3 2 4 2 5 2" xfId="34272"/>
    <cellStyle name="Normal 4 3 2 4 2 5 2 2" xfId="34273"/>
    <cellStyle name="Normal 4 3 2 4 2 5 2 2 2" xfId="34274"/>
    <cellStyle name="Normal 4 3 2 4 2 5 2 3" xfId="34275"/>
    <cellStyle name="Normal 4 3 2 4 2 5 3" xfId="34276"/>
    <cellStyle name="Normal 4 3 2 4 2 5 3 2" xfId="34277"/>
    <cellStyle name="Normal 4 3 2 4 2 5 4" xfId="34278"/>
    <cellStyle name="Normal 4 3 2 4 2 6" xfId="34279"/>
    <cellStyle name="Normal 4 3 2 4 2 6 2" xfId="34280"/>
    <cellStyle name="Normal 4 3 2 4 2 6 2 2" xfId="34281"/>
    <cellStyle name="Normal 4 3 2 4 2 6 3" xfId="34282"/>
    <cellStyle name="Normal 4 3 2 4 2 7" xfId="34283"/>
    <cellStyle name="Normal 4 3 2 4 2 7 2" xfId="34284"/>
    <cellStyle name="Normal 4 3 2 4 2 8" xfId="34285"/>
    <cellStyle name="Normal 4 3 2 4 3" xfId="373"/>
    <cellStyle name="Normal 4 3 2 4 3 2" xfId="1053"/>
    <cellStyle name="Normal 4 3 2 4 3 2 2" xfId="2413"/>
    <cellStyle name="Normal 4 3 2 4 3 2 2 2" xfId="5133"/>
    <cellStyle name="Normal 4 3 2 4 3 2 2 2 2" xfId="34286"/>
    <cellStyle name="Normal 4 3 2 4 3 2 2 2 2 2" xfId="34287"/>
    <cellStyle name="Normal 4 3 2 4 3 2 2 2 2 2 2" xfId="34288"/>
    <cellStyle name="Normal 4 3 2 4 3 2 2 2 2 3" xfId="34289"/>
    <cellStyle name="Normal 4 3 2 4 3 2 2 2 3" xfId="34290"/>
    <cellStyle name="Normal 4 3 2 4 3 2 2 2 3 2" xfId="34291"/>
    <cellStyle name="Normal 4 3 2 4 3 2 2 2 4" xfId="34292"/>
    <cellStyle name="Normal 4 3 2 4 3 2 2 3" xfId="34293"/>
    <cellStyle name="Normal 4 3 2 4 3 2 2 3 2" xfId="34294"/>
    <cellStyle name="Normal 4 3 2 4 3 2 2 3 2 2" xfId="34295"/>
    <cellStyle name="Normal 4 3 2 4 3 2 2 3 3" xfId="34296"/>
    <cellStyle name="Normal 4 3 2 4 3 2 2 4" xfId="34297"/>
    <cellStyle name="Normal 4 3 2 4 3 2 2 4 2" xfId="34298"/>
    <cellStyle name="Normal 4 3 2 4 3 2 2 5" xfId="34299"/>
    <cellStyle name="Normal 4 3 2 4 3 2 3" xfId="3773"/>
    <cellStyle name="Normal 4 3 2 4 3 2 3 2" xfId="34300"/>
    <cellStyle name="Normal 4 3 2 4 3 2 3 2 2" xfId="34301"/>
    <cellStyle name="Normal 4 3 2 4 3 2 3 2 2 2" xfId="34302"/>
    <cellStyle name="Normal 4 3 2 4 3 2 3 2 3" xfId="34303"/>
    <cellStyle name="Normal 4 3 2 4 3 2 3 3" xfId="34304"/>
    <cellStyle name="Normal 4 3 2 4 3 2 3 3 2" xfId="34305"/>
    <cellStyle name="Normal 4 3 2 4 3 2 3 4" xfId="34306"/>
    <cellStyle name="Normal 4 3 2 4 3 2 4" xfId="34307"/>
    <cellStyle name="Normal 4 3 2 4 3 2 4 2" xfId="34308"/>
    <cellStyle name="Normal 4 3 2 4 3 2 4 2 2" xfId="34309"/>
    <cellStyle name="Normal 4 3 2 4 3 2 4 3" xfId="34310"/>
    <cellStyle name="Normal 4 3 2 4 3 2 5" xfId="34311"/>
    <cellStyle name="Normal 4 3 2 4 3 2 5 2" xfId="34312"/>
    <cellStyle name="Normal 4 3 2 4 3 2 6" xfId="34313"/>
    <cellStyle name="Normal 4 3 2 4 3 3" xfId="1733"/>
    <cellStyle name="Normal 4 3 2 4 3 3 2" xfId="4453"/>
    <cellStyle name="Normal 4 3 2 4 3 3 2 2" xfId="34314"/>
    <cellStyle name="Normal 4 3 2 4 3 3 2 2 2" xfId="34315"/>
    <cellStyle name="Normal 4 3 2 4 3 3 2 2 2 2" xfId="34316"/>
    <cellStyle name="Normal 4 3 2 4 3 3 2 2 3" xfId="34317"/>
    <cellStyle name="Normal 4 3 2 4 3 3 2 3" xfId="34318"/>
    <cellStyle name="Normal 4 3 2 4 3 3 2 3 2" xfId="34319"/>
    <cellStyle name="Normal 4 3 2 4 3 3 2 4" xfId="34320"/>
    <cellStyle name="Normal 4 3 2 4 3 3 3" xfId="34321"/>
    <cellStyle name="Normal 4 3 2 4 3 3 3 2" xfId="34322"/>
    <cellStyle name="Normal 4 3 2 4 3 3 3 2 2" xfId="34323"/>
    <cellStyle name="Normal 4 3 2 4 3 3 3 3" xfId="34324"/>
    <cellStyle name="Normal 4 3 2 4 3 3 4" xfId="34325"/>
    <cellStyle name="Normal 4 3 2 4 3 3 4 2" xfId="34326"/>
    <cellStyle name="Normal 4 3 2 4 3 3 5" xfId="34327"/>
    <cellStyle name="Normal 4 3 2 4 3 4" xfId="3093"/>
    <cellStyle name="Normal 4 3 2 4 3 4 2" xfId="34328"/>
    <cellStyle name="Normal 4 3 2 4 3 4 2 2" xfId="34329"/>
    <cellStyle name="Normal 4 3 2 4 3 4 2 2 2" xfId="34330"/>
    <cellStyle name="Normal 4 3 2 4 3 4 2 3" xfId="34331"/>
    <cellStyle name="Normal 4 3 2 4 3 4 3" xfId="34332"/>
    <cellStyle name="Normal 4 3 2 4 3 4 3 2" xfId="34333"/>
    <cellStyle name="Normal 4 3 2 4 3 4 4" xfId="34334"/>
    <cellStyle name="Normal 4 3 2 4 3 5" xfId="34335"/>
    <cellStyle name="Normal 4 3 2 4 3 5 2" xfId="34336"/>
    <cellStyle name="Normal 4 3 2 4 3 5 2 2" xfId="34337"/>
    <cellStyle name="Normal 4 3 2 4 3 5 3" xfId="34338"/>
    <cellStyle name="Normal 4 3 2 4 3 6" xfId="34339"/>
    <cellStyle name="Normal 4 3 2 4 3 6 2" xfId="34340"/>
    <cellStyle name="Normal 4 3 2 4 3 7" xfId="34341"/>
    <cellStyle name="Normal 4 3 2 4 4" xfId="645"/>
    <cellStyle name="Normal 4 3 2 4 4 2" xfId="1325"/>
    <cellStyle name="Normal 4 3 2 4 4 2 2" xfId="2685"/>
    <cellStyle name="Normal 4 3 2 4 4 2 2 2" xfId="5405"/>
    <cellStyle name="Normal 4 3 2 4 4 2 2 2 2" xfId="34342"/>
    <cellStyle name="Normal 4 3 2 4 4 2 2 2 2 2" xfId="34343"/>
    <cellStyle name="Normal 4 3 2 4 4 2 2 2 2 2 2" xfId="34344"/>
    <cellStyle name="Normal 4 3 2 4 4 2 2 2 2 3" xfId="34345"/>
    <cellStyle name="Normal 4 3 2 4 4 2 2 2 3" xfId="34346"/>
    <cellStyle name="Normal 4 3 2 4 4 2 2 2 3 2" xfId="34347"/>
    <cellStyle name="Normal 4 3 2 4 4 2 2 2 4" xfId="34348"/>
    <cellStyle name="Normal 4 3 2 4 4 2 2 3" xfId="34349"/>
    <cellStyle name="Normal 4 3 2 4 4 2 2 3 2" xfId="34350"/>
    <cellStyle name="Normal 4 3 2 4 4 2 2 3 2 2" xfId="34351"/>
    <cellStyle name="Normal 4 3 2 4 4 2 2 3 3" xfId="34352"/>
    <cellStyle name="Normal 4 3 2 4 4 2 2 4" xfId="34353"/>
    <cellStyle name="Normal 4 3 2 4 4 2 2 4 2" xfId="34354"/>
    <cellStyle name="Normal 4 3 2 4 4 2 2 5" xfId="34355"/>
    <cellStyle name="Normal 4 3 2 4 4 2 3" xfId="4045"/>
    <cellStyle name="Normal 4 3 2 4 4 2 3 2" xfId="34356"/>
    <cellStyle name="Normal 4 3 2 4 4 2 3 2 2" xfId="34357"/>
    <cellStyle name="Normal 4 3 2 4 4 2 3 2 2 2" xfId="34358"/>
    <cellStyle name="Normal 4 3 2 4 4 2 3 2 3" xfId="34359"/>
    <cellStyle name="Normal 4 3 2 4 4 2 3 3" xfId="34360"/>
    <cellStyle name="Normal 4 3 2 4 4 2 3 3 2" xfId="34361"/>
    <cellStyle name="Normal 4 3 2 4 4 2 3 4" xfId="34362"/>
    <cellStyle name="Normal 4 3 2 4 4 2 4" xfId="34363"/>
    <cellStyle name="Normal 4 3 2 4 4 2 4 2" xfId="34364"/>
    <cellStyle name="Normal 4 3 2 4 4 2 4 2 2" xfId="34365"/>
    <cellStyle name="Normal 4 3 2 4 4 2 4 3" xfId="34366"/>
    <cellStyle name="Normal 4 3 2 4 4 2 5" xfId="34367"/>
    <cellStyle name="Normal 4 3 2 4 4 2 5 2" xfId="34368"/>
    <cellStyle name="Normal 4 3 2 4 4 2 6" xfId="34369"/>
    <cellStyle name="Normal 4 3 2 4 4 3" xfId="2005"/>
    <cellStyle name="Normal 4 3 2 4 4 3 2" xfId="4725"/>
    <cellStyle name="Normal 4 3 2 4 4 3 2 2" xfId="34370"/>
    <cellStyle name="Normal 4 3 2 4 4 3 2 2 2" xfId="34371"/>
    <cellStyle name="Normal 4 3 2 4 4 3 2 2 2 2" xfId="34372"/>
    <cellStyle name="Normal 4 3 2 4 4 3 2 2 3" xfId="34373"/>
    <cellStyle name="Normal 4 3 2 4 4 3 2 3" xfId="34374"/>
    <cellStyle name="Normal 4 3 2 4 4 3 2 3 2" xfId="34375"/>
    <cellStyle name="Normal 4 3 2 4 4 3 2 4" xfId="34376"/>
    <cellStyle name="Normal 4 3 2 4 4 3 3" xfId="34377"/>
    <cellStyle name="Normal 4 3 2 4 4 3 3 2" xfId="34378"/>
    <cellStyle name="Normal 4 3 2 4 4 3 3 2 2" xfId="34379"/>
    <cellStyle name="Normal 4 3 2 4 4 3 3 3" xfId="34380"/>
    <cellStyle name="Normal 4 3 2 4 4 3 4" xfId="34381"/>
    <cellStyle name="Normal 4 3 2 4 4 3 4 2" xfId="34382"/>
    <cellStyle name="Normal 4 3 2 4 4 3 5" xfId="34383"/>
    <cellStyle name="Normal 4 3 2 4 4 4" xfId="3365"/>
    <cellStyle name="Normal 4 3 2 4 4 4 2" xfId="34384"/>
    <cellStyle name="Normal 4 3 2 4 4 4 2 2" xfId="34385"/>
    <cellStyle name="Normal 4 3 2 4 4 4 2 2 2" xfId="34386"/>
    <cellStyle name="Normal 4 3 2 4 4 4 2 3" xfId="34387"/>
    <cellStyle name="Normal 4 3 2 4 4 4 3" xfId="34388"/>
    <cellStyle name="Normal 4 3 2 4 4 4 3 2" xfId="34389"/>
    <cellStyle name="Normal 4 3 2 4 4 4 4" xfId="34390"/>
    <cellStyle name="Normal 4 3 2 4 4 5" xfId="34391"/>
    <cellStyle name="Normal 4 3 2 4 4 5 2" xfId="34392"/>
    <cellStyle name="Normal 4 3 2 4 4 5 2 2" xfId="34393"/>
    <cellStyle name="Normal 4 3 2 4 4 5 3" xfId="34394"/>
    <cellStyle name="Normal 4 3 2 4 4 6" xfId="34395"/>
    <cellStyle name="Normal 4 3 2 4 4 6 2" xfId="34396"/>
    <cellStyle name="Normal 4 3 2 4 4 7" xfId="34397"/>
    <cellStyle name="Normal 4 3 2 4 5" xfId="781"/>
    <cellStyle name="Normal 4 3 2 4 5 2" xfId="2141"/>
    <cellStyle name="Normal 4 3 2 4 5 2 2" xfId="4861"/>
    <cellStyle name="Normal 4 3 2 4 5 2 2 2" xfId="34398"/>
    <cellStyle name="Normal 4 3 2 4 5 2 2 2 2" xfId="34399"/>
    <cellStyle name="Normal 4 3 2 4 5 2 2 2 2 2" xfId="34400"/>
    <cellStyle name="Normal 4 3 2 4 5 2 2 2 3" xfId="34401"/>
    <cellStyle name="Normal 4 3 2 4 5 2 2 3" xfId="34402"/>
    <cellStyle name="Normal 4 3 2 4 5 2 2 3 2" xfId="34403"/>
    <cellStyle name="Normal 4 3 2 4 5 2 2 4" xfId="34404"/>
    <cellStyle name="Normal 4 3 2 4 5 2 3" xfId="34405"/>
    <cellStyle name="Normal 4 3 2 4 5 2 3 2" xfId="34406"/>
    <cellStyle name="Normal 4 3 2 4 5 2 3 2 2" xfId="34407"/>
    <cellStyle name="Normal 4 3 2 4 5 2 3 3" xfId="34408"/>
    <cellStyle name="Normal 4 3 2 4 5 2 4" xfId="34409"/>
    <cellStyle name="Normal 4 3 2 4 5 2 4 2" xfId="34410"/>
    <cellStyle name="Normal 4 3 2 4 5 2 5" xfId="34411"/>
    <cellStyle name="Normal 4 3 2 4 5 3" xfId="3501"/>
    <cellStyle name="Normal 4 3 2 4 5 3 2" xfId="34412"/>
    <cellStyle name="Normal 4 3 2 4 5 3 2 2" xfId="34413"/>
    <cellStyle name="Normal 4 3 2 4 5 3 2 2 2" xfId="34414"/>
    <cellStyle name="Normal 4 3 2 4 5 3 2 3" xfId="34415"/>
    <cellStyle name="Normal 4 3 2 4 5 3 3" xfId="34416"/>
    <cellStyle name="Normal 4 3 2 4 5 3 3 2" xfId="34417"/>
    <cellStyle name="Normal 4 3 2 4 5 3 4" xfId="34418"/>
    <cellStyle name="Normal 4 3 2 4 5 4" xfId="34419"/>
    <cellStyle name="Normal 4 3 2 4 5 4 2" xfId="34420"/>
    <cellStyle name="Normal 4 3 2 4 5 4 2 2" xfId="34421"/>
    <cellStyle name="Normal 4 3 2 4 5 4 3" xfId="34422"/>
    <cellStyle name="Normal 4 3 2 4 5 5" xfId="34423"/>
    <cellStyle name="Normal 4 3 2 4 5 5 2" xfId="34424"/>
    <cellStyle name="Normal 4 3 2 4 5 6" xfId="34425"/>
    <cellStyle name="Normal 4 3 2 4 6" xfId="1461"/>
    <cellStyle name="Normal 4 3 2 4 6 2" xfId="4181"/>
    <cellStyle name="Normal 4 3 2 4 6 2 2" xfId="34426"/>
    <cellStyle name="Normal 4 3 2 4 6 2 2 2" xfId="34427"/>
    <cellStyle name="Normal 4 3 2 4 6 2 2 2 2" xfId="34428"/>
    <cellStyle name="Normal 4 3 2 4 6 2 2 3" xfId="34429"/>
    <cellStyle name="Normal 4 3 2 4 6 2 3" xfId="34430"/>
    <cellStyle name="Normal 4 3 2 4 6 2 3 2" xfId="34431"/>
    <cellStyle name="Normal 4 3 2 4 6 2 4" xfId="34432"/>
    <cellStyle name="Normal 4 3 2 4 6 3" xfId="34433"/>
    <cellStyle name="Normal 4 3 2 4 6 3 2" xfId="34434"/>
    <cellStyle name="Normal 4 3 2 4 6 3 2 2" xfId="34435"/>
    <cellStyle name="Normal 4 3 2 4 6 3 3" xfId="34436"/>
    <cellStyle name="Normal 4 3 2 4 6 4" xfId="34437"/>
    <cellStyle name="Normal 4 3 2 4 6 4 2" xfId="34438"/>
    <cellStyle name="Normal 4 3 2 4 6 5" xfId="34439"/>
    <cellStyle name="Normal 4 3 2 4 7" xfId="2821"/>
    <cellStyle name="Normal 4 3 2 4 7 2" xfId="34440"/>
    <cellStyle name="Normal 4 3 2 4 7 2 2" xfId="34441"/>
    <cellStyle name="Normal 4 3 2 4 7 2 2 2" xfId="34442"/>
    <cellStyle name="Normal 4 3 2 4 7 2 3" xfId="34443"/>
    <cellStyle name="Normal 4 3 2 4 7 3" xfId="34444"/>
    <cellStyle name="Normal 4 3 2 4 7 3 2" xfId="34445"/>
    <cellStyle name="Normal 4 3 2 4 7 4" xfId="34446"/>
    <cellStyle name="Normal 4 3 2 4 8" xfId="34447"/>
    <cellStyle name="Normal 4 3 2 4 8 2" xfId="34448"/>
    <cellStyle name="Normal 4 3 2 4 8 2 2" xfId="34449"/>
    <cellStyle name="Normal 4 3 2 4 8 3" xfId="34450"/>
    <cellStyle name="Normal 4 3 2 4 9" xfId="34451"/>
    <cellStyle name="Normal 4 3 2 4 9 2" xfId="34452"/>
    <cellStyle name="Normal 4 3 2 5" xfId="169"/>
    <cellStyle name="Normal 4 3 2 5 2" xfId="441"/>
    <cellStyle name="Normal 4 3 2 5 2 2" xfId="1121"/>
    <cellStyle name="Normal 4 3 2 5 2 2 2" xfId="2481"/>
    <cellStyle name="Normal 4 3 2 5 2 2 2 2" xfId="5201"/>
    <cellStyle name="Normal 4 3 2 5 2 2 2 2 2" xfId="34453"/>
    <cellStyle name="Normal 4 3 2 5 2 2 2 2 2 2" xfId="34454"/>
    <cellStyle name="Normal 4 3 2 5 2 2 2 2 2 2 2" xfId="34455"/>
    <cellStyle name="Normal 4 3 2 5 2 2 2 2 2 3" xfId="34456"/>
    <cellStyle name="Normal 4 3 2 5 2 2 2 2 3" xfId="34457"/>
    <cellStyle name="Normal 4 3 2 5 2 2 2 2 3 2" xfId="34458"/>
    <cellStyle name="Normal 4 3 2 5 2 2 2 2 4" xfId="34459"/>
    <cellStyle name="Normal 4 3 2 5 2 2 2 3" xfId="34460"/>
    <cellStyle name="Normal 4 3 2 5 2 2 2 3 2" xfId="34461"/>
    <cellStyle name="Normal 4 3 2 5 2 2 2 3 2 2" xfId="34462"/>
    <cellStyle name="Normal 4 3 2 5 2 2 2 3 3" xfId="34463"/>
    <cellStyle name="Normal 4 3 2 5 2 2 2 4" xfId="34464"/>
    <cellStyle name="Normal 4 3 2 5 2 2 2 4 2" xfId="34465"/>
    <cellStyle name="Normal 4 3 2 5 2 2 2 5" xfId="34466"/>
    <cellStyle name="Normal 4 3 2 5 2 2 3" xfId="3841"/>
    <cellStyle name="Normal 4 3 2 5 2 2 3 2" xfId="34467"/>
    <cellStyle name="Normal 4 3 2 5 2 2 3 2 2" xfId="34468"/>
    <cellStyle name="Normal 4 3 2 5 2 2 3 2 2 2" xfId="34469"/>
    <cellStyle name="Normal 4 3 2 5 2 2 3 2 3" xfId="34470"/>
    <cellStyle name="Normal 4 3 2 5 2 2 3 3" xfId="34471"/>
    <cellStyle name="Normal 4 3 2 5 2 2 3 3 2" xfId="34472"/>
    <cellStyle name="Normal 4 3 2 5 2 2 3 4" xfId="34473"/>
    <cellStyle name="Normal 4 3 2 5 2 2 4" xfId="34474"/>
    <cellStyle name="Normal 4 3 2 5 2 2 4 2" xfId="34475"/>
    <cellStyle name="Normal 4 3 2 5 2 2 4 2 2" xfId="34476"/>
    <cellStyle name="Normal 4 3 2 5 2 2 4 3" xfId="34477"/>
    <cellStyle name="Normal 4 3 2 5 2 2 5" xfId="34478"/>
    <cellStyle name="Normal 4 3 2 5 2 2 5 2" xfId="34479"/>
    <cellStyle name="Normal 4 3 2 5 2 2 6" xfId="34480"/>
    <cellStyle name="Normal 4 3 2 5 2 3" xfId="1801"/>
    <cellStyle name="Normal 4 3 2 5 2 3 2" xfId="4521"/>
    <cellStyle name="Normal 4 3 2 5 2 3 2 2" xfId="34481"/>
    <cellStyle name="Normal 4 3 2 5 2 3 2 2 2" xfId="34482"/>
    <cellStyle name="Normal 4 3 2 5 2 3 2 2 2 2" xfId="34483"/>
    <cellStyle name="Normal 4 3 2 5 2 3 2 2 3" xfId="34484"/>
    <cellStyle name="Normal 4 3 2 5 2 3 2 3" xfId="34485"/>
    <cellStyle name="Normal 4 3 2 5 2 3 2 3 2" xfId="34486"/>
    <cellStyle name="Normal 4 3 2 5 2 3 2 4" xfId="34487"/>
    <cellStyle name="Normal 4 3 2 5 2 3 3" xfId="34488"/>
    <cellStyle name="Normal 4 3 2 5 2 3 3 2" xfId="34489"/>
    <cellStyle name="Normal 4 3 2 5 2 3 3 2 2" xfId="34490"/>
    <cellStyle name="Normal 4 3 2 5 2 3 3 3" xfId="34491"/>
    <cellStyle name="Normal 4 3 2 5 2 3 4" xfId="34492"/>
    <cellStyle name="Normal 4 3 2 5 2 3 4 2" xfId="34493"/>
    <cellStyle name="Normal 4 3 2 5 2 3 5" xfId="34494"/>
    <cellStyle name="Normal 4 3 2 5 2 4" xfId="3161"/>
    <cellStyle name="Normal 4 3 2 5 2 4 2" xfId="34495"/>
    <cellStyle name="Normal 4 3 2 5 2 4 2 2" xfId="34496"/>
    <cellStyle name="Normal 4 3 2 5 2 4 2 2 2" xfId="34497"/>
    <cellStyle name="Normal 4 3 2 5 2 4 2 3" xfId="34498"/>
    <cellStyle name="Normal 4 3 2 5 2 4 3" xfId="34499"/>
    <cellStyle name="Normal 4 3 2 5 2 4 3 2" xfId="34500"/>
    <cellStyle name="Normal 4 3 2 5 2 4 4" xfId="34501"/>
    <cellStyle name="Normal 4 3 2 5 2 5" xfId="34502"/>
    <cellStyle name="Normal 4 3 2 5 2 5 2" xfId="34503"/>
    <cellStyle name="Normal 4 3 2 5 2 5 2 2" xfId="34504"/>
    <cellStyle name="Normal 4 3 2 5 2 5 3" xfId="34505"/>
    <cellStyle name="Normal 4 3 2 5 2 6" xfId="34506"/>
    <cellStyle name="Normal 4 3 2 5 2 6 2" xfId="34507"/>
    <cellStyle name="Normal 4 3 2 5 2 7" xfId="34508"/>
    <cellStyle name="Normal 4 3 2 5 3" xfId="849"/>
    <cellStyle name="Normal 4 3 2 5 3 2" xfId="2209"/>
    <cellStyle name="Normal 4 3 2 5 3 2 2" xfId="4929"/>
    <cellStyle name="Normal 4 3 2 5 3 2 2 2" xfId="34509"/>
    <cellStyle name="Normal 4 3 2 5 3 2 2 2 2" xfId="34510"/>
    <cellStyle name="Normal 4 3 2 5 3 2 2 2 2 2" xfId="34511"/>
    <cellStyle name="Normal 4 3 2 5 3 2 2 2 3" xfId="34512"/>
    <cellStyle name="Normal 4 3 2 5 3 2 2 3" xfId="34513"/>
    <cellStyle name="Normal 4 3 2 5 3 2 2 3 2" xfId="34514"/>
    <cellStyle name="Normal 4 3 2 5 3 2 2 4" xfId="34515"/>
    <cellStyle name="Normal 4 3 2 5 3 2 3" xfId="34516"/>
    <cellStyle name="Normal 4 3 2 5 3 2 3 2" xfId="34517"/>
    <cellStyle name="Normal 4 3 2 5 3 2 3 2 2" xfId="34518"/>
    <cellStyle name="Normal 4 3 2 5 3 2 3 3" xfId="34519"/>
    <cellStyle name="Normal 4 3 2 5 3 2 4" xfId="34520"/>
    <cellStyle name="Normal 4 3 2 5 3 2 4 2" xfId="34521"/>
    <cellStyle name="Normal 4 3 2 5 3 2 5" xfId="34522"/>
    <cellStyle name="Normal 4 3 2 5 3 3" xfId="3569"/>
    <cellStyle name="Normal 4 3 2 5 3 3 2" xfId="34523"/>
    <cellStyle name="Normal 4 3 2 5 3 3 2 2" xfId="34524"/>
    <cellStyle name="Normal 4 3 2 5 3 3 2 2 2" xfId="34525"/>
    <cellStyle name="Normal 4 3 2 5 3 3 2 3" xfId="34526"/>
    <cellStyle name="Normal 4 3 2 5 3 3 3" xfId="34527"/>
    <cellStyle name="Normal 4 3 2 5 3 3 3 2" xfId="34528"/>
    <cellStyle name="Normal 4 3 2 5 3 3 4" xfId="34529"/>
    <cellStyle name="Normal 4 3 2 5 3 4" xfId="34530"/>
    <cellStyle name="Normal 4 3 2 5 3 4 2" xfId="34531"/>
    <cellStyle name="Normal 4 3 2 5 3 4 2 2" xfId="34532"/>
    <cellStyle name="Normal 4 3 2 5 3 4 3" xfId="34533"/>
    <cellStyle name="Normal 4 3 2 5 3 5" xfId="34534"/>
    <cellStyle name="Normal 4 3 2 5 3 5 2" xfId="34535"/>
    <cellStyle name="Normal 4 3 2 5 3 6" xfId="34536"/>
    <cellStyle name="Normal 4 3 2 5 4" xfId="1529"/>
    <cellStyle name="Normal 4 3 2 5 4 2" xfId="4249"/>
    <cellStyle name="Normal 4 3 2 5 4 2 2" xfId="34537"/>
    <cellStyle name="Normal 4 3 2 5 4 2 2 2" xfId="34538"/>
    <cellStyle name="Normal 4 3 2 5 4 2 2 2 2" xfId="34539"/>
    <cellStyle name="Normal 4 3 2 5 4 2 2 3" xfId="34540"/>
    <cellStyle name="Normal 4 3 2 5 4 2 3" xfId="34541"/>
    <cellStyle name="Normal 4 3 2 5 4 2 3 2" xfId="34542"/>
    <cellStyle name="Normal 4 3 2 5 4 2 4" xfId="34543"/>
    <cellStyle name="Normal 4 3 2 5 4 3" xfId="34544"/>
    <cellStyle name="Normal 4 3 2 5 4 3 2" xfId="34545"/>
    <cellStyle name="Normal 4 3 2 5 4 3 2 2" xfId="34546"/>
    <cellStyle name="Normal 4 3 2 5 4 3 3" xfId="34547"/>
    <cellStyle name="Normal 4 3 2 5 4 4" xfId="34548"/>
    <cellStyle name="Normal 4 3 2 5 4 4 2" xfId="34549"/>
    <cellStyle name="Normal 4 3 2 5 4 5" xfId="34550"/>
    <cellStyle name="Normal 4 3 2 5 5" xfId="2889"/>
    <cellStyle name="Normal 4 3 2 5 5 2" xfId="34551"/>
    <cellStyle name="Normal 4 3 2 5 5 2 2" xfId="34552"/>
    <cellStyle name="Normal 4 3 2 5 5 2 2 2" xfId="34553"/>
    <cellStyle name="Normal 4 3 2 5 5 2 3" xfId="34554"/>
    <cellStyle name="Normal 4 3 2 5 5 3" xfId="34555"/>
    <cellStyle name="Normal 4 3 2 5 5 3 2" xfId="34556"/>
    <cellStyle name="Normal 4 3 2 5 5 4" xfId="34557"/>
    <cellStyle name="Normal 4 3 2 5 6" xfId="34558"/>
    <cellStyle name="Normal 4 3 2 5 6 2" xfId="34559"/>
    <cellStyle name="Normal 4 3 2 5 6 2 2" xfId="34560"/>
    <cellStyle name="Normal 4 3 2 5 6 3" xfId="34561"/>
    <cellStyle name="Normal 4 3 2 5 7" xfId="34562"/>
    <cellStyle name="Normal 4 3 2 5 7 2" xfId="34563"/>
    <cellStyle name="Normal 4 3 2 5 8" xfId="34564"/>
    <cellStyle name="Normal 4 3 2 6" xfId="305"/>
    <cellStyle name="Normal 4 3 2 6 2" xfId="985"/>
    <cellStyle name="Normal 4 3 2 6 2 2" xfId="2345"/>
    <cellStyle name="Normal 4 3 2 6 2 2 2" xfId="5065"/>
    <cellStyle name="Normal 4 3 2 6 2 2 2 2" xfId="34565"/>
    <cellStyle name="Normal 4 3 2 6 2 2 2 2 2" xfId="34566"/>
    <cellStyle name="Normal 4 3 2 6 2 2 2 2 2 2" xfId="34567"/>
    <cellStyle name="Normal 4 3 2 6 2 2 2 2 3" xfId="34568"/>
    <cellStyle name="Normal 4 3 2 6 2 2 2 3" xfId="34569"/>
    <cellStyle name="Normal 4 3 2 6 2 2 2 3 2" xfId="34570"/>
    <cellStyle name="Normal 4 3 2 6 2 2 2 4" xfId="34571"/>
    <cellStyle name="Normal 4 3 2 6 2 2 3" xfId="34572"/>
    <cellStyle name="Normal 4 3 2 6 2 2 3 2" xfId="34573"/>
    <cellStyle name="Normal 4 3 2 6 2 2 3 2 2" xfId="34574"/>
    <cellStyle name="Normal 4 3 2 6 2 2 3 3" xfId="34575"/>
    <cellStyle name="Normal 4 3 2 6 2 2 4" xfId="34576"/>
    <cellStyle name="Normal 4 3 2 6 2 2 4 2" xfId="34577"/>
    <cellStyle name="Normal 4 3 2 6 2 2 5" xfId="34578"/>
    <cellStyle name="Normal 4 3 2 6 2 3" xfId="3705"/>
    <cellStyle name="Normal 4 3 2 6 2 3 2" xfId="34579"/>
    <cellStyle name="Normal 4 3 2 6 2 3 2 2" xfId="34580"/>
    <cellStyle name="Normal 4 3 2 6 2 3 2 2 2" xfId="34581"/>
    <cellStyle name="Normal 4 3 2 6 2 3 2 3" xfId="34582"/>
    <cellStyle name="Normal 4 3 2 6 2 3 3" xfId="34583"/>
    <cellStyle name="Normal 4 3 2 6 2 3 3 2" xfId="34584"/>
    <cellStyle name="Normal 4 3 2 6 2 3 4" xfId="34585"/>
    <cellStyle name="Normal 4 3 2 6 2 4" xfId="34586"/>
    <cellStyle name="Normal 4 3 2 6 2 4 2" xfId="34587"/>
    <cellStyle name="Normal 4 3 2 6 2 4 2 2" xfId="34588"/>
    <cellStyle name="Normal 4 3 2 6 2 4 3" xfId="34589"/>
    <cellStyle name="Normal 4 3 2 6 2 5" xfId="34590"/>
    <cellStyle name="Normal 4 3 2 6 2 5 2" xfId="34591"/>
    <cellStyle name="Normal 4 3 2 6 2 6" xfId="34592"/>
    <cellStyle name="Normal 4 3 2 6 3" xfId="1665"/>
    <cellStyle name="Normal 4 3 2 6 3 2" xfId="4385"/>
    <cellStyle name="Normal 4 3 2 6 3 2 2" xfId="34593"/>
    <cellStyle name="Normal 4 3 2 6 3 2 2 2" xfId="34594"/>
    <cellStyle name="Normal 4 3 2 6 3 2 2 2 2" xfId="34595"/>
    <cellStyle name="Normal 4 3 2 6 3 2 2 3" xfId="34596"/>
    <cellStyle name="Normal 4 3 2 6 3 2 3" xfId="34597"/>
    <cellStyle name="Normal 4 3 2 6 3 2 3 2" xfId="34598"/>
    <cellStyle name="Normal 4 3 2 6 3 2 4" xfId="34599"/>
    <cellStyle name="Normal 4 3 2 6 3 3" xfId="34600"/>
    <cellStyle name="Normal 4 3 2 6 3 3 2" xfId="34601"/>
    <cellStyle name="Normal 4 3 2 6 3 3 2 2" xfId="34602"/>
    <cellStyle name="Normal 4 3 2 6 3 3 3" xfId="34603"/>
    <cellStyle name="Normal 4 3 2 6 3 4" xfId="34604"/>
    <cellStyle name="Normal 4 3 2 6 3 4 2" xfId="34605"/>
    <cellStyle name="Normal 4 3 2 6 3 5" xfId="34606"/>
    <cellStyle name="Normal 4 3 2 6 4" xfId="3025"/>
    <cellStyle name="Normal 4 3 2 6 4 2" xfId="34607"/>
    <cellStyle name="Normal 4 3 2 6 4 2 2" xfId="34608"/>
    <cellStyle name="Normal 4 3 2 6 4 2 2 2" xfId="34609"/>
    <cellStyle name="Normal 4 3 2 6 4 2 3" xfId="34610"/>
    <cellStyle name="Normal 4 3 2 6 4 3" xfId="34611"/>
    <cellStyle name="Normal 4 3 2 6 4 3 2" xfId="34612"/>
    <cellStyle name="Normal 4 3 2 6 4 4" xfId="34613"/>
    <cellStyle name="Normal 4 3 2 6 5" xfId="34614"/>
    <cellStyle name="Normal 4 3 2 6 5 2" xfId="34615"/>
    <cellStyle name="Normal 4 3 2 6 5 2 2" xfId="34616"/>
    <cellStyle name="Normal 4 3 2 6 5 3" xfId="34617"/>
    <cellStyle name="Normal 4 3 2 6 6" xfId="34618"/>
    <cellStyle name="Normal 4 3 2 6 6 2" xfId="34619"/>
    <cellStyle name="Normal 4 3 2 6 7" xfId="34620"/>
    <cellStyle name="Normal 4 3 2 7" xfId="577"/>
    <cellStyle name="Normal 4 3 2 7 2" xfId="1257"/>
    <cellStyle name="Normal 4 3 2 7 2 2" xfId="2617"/>
    <cellStyle name="Normal 4 3 2 7 2 2 2" xfId="5337"/>
    <cellStyle name="Normal 4 3 2 7 2 2 2 2" xfId="34621"/>
    <cellStyle name="Normal 4 3 2 7 2 2 2 2 2" xfId="34622"/>
    <cellStyle name="Normal 4 3 2 7 2 2 2 2 2 2" xfId="34623"/>
    <cellStyle name="Normal 4 3 2 7 2 2 2 2 3" xfId="34624"/>
    <cellStyle name="Normal 4 3 2 7 2 2 2 3" xfId="34625"/>
    <cellStyle name="Normal 4 3 2 7 2 2 2 3 2" xfId="34626"/>
    <cellStyle name="Normal 4 3 2 7 2 2 2 4" xfId="34627"/>
    <cellStyle name="Normal 4 3 2 7 2 2 3" xfId="34628"/>
    <cellStyle name="Normal 4 3 2 7 2 2 3 2" xfId="34629"/>
    <cellStyle name="Normal 4 3 2 7 2 2 3 2 2" xfId="34630"/>
    <cellStyle name="Normal 4 3 2 7 2 2 3 3" xfId="34631"/>
    <cellStyle name="Normal 4 3 2 7 2 2 4" xfId="34632"/>
    <cellStyle name="Normal 4 3 2 7 2 2 4 2" xfId="34633"/>
    <cellStyle name="Normal 4 3 2 7 2 2 5" xfId="34634"/>
    <cellStyle name="Normal 4 3 2 7 2 3" xfId="3977"/>
    <cellStyle name="Normal 4 3 2 7 2 3 2" xfId="34635"/>
    <cellStyle name="Normal 4 3 2 7 2 3 2 2" xfId="34636"/>
    <cellStyle name="Normal 4 3 2 7 2 3 2 2 2" xfId="34637"/>
    <cellStyle name="Normal 4 3 2 7 2 3 2 3" xfId="34638"/>
    <cellStyle name="Normal 4 3 2 7 2 3 3" xfId="34639"/>
    <cellStyle name="Normal 4 3 2 7 2 3 3 2" xfId="34640"/>
    <cellStyle name="Normal 4 3 2 7 2 3 4" xfId="34641"/>
    <cellStyle name="Normal 4 3 2 7 2 4" xfId="34642"/>
    <cellStyle name="Normal 4 3 2 7 2 4 2" xfId="34643"/>
    <cellStyle name="Normal 4 3 2 7 2 4 2 2" xfId="34644"/>
    <cellStyle name="Normal 4 3 2 7 2 4 3" xfId="34645"/>
    <cellStyle name="Normal 4 3 2 7 2 5" xfId="34646"/>
    <cellStyle name="Normal 4 3 2 7 2 5 2" xfId="34647"/>
    <cellStyle name="Normal 4 3 2 7 2 6" xfId="34648"/>
    <cellStyle name="Normal 4 3 2 7 3" xfId="1937"/>
    <cellStyle name="Normal 4 3 2 7 3 2" xfId="4657"/>
    <cellStyle name="Normal 4 3 2 7 3 2 2" xfId="34649"/>
    <cellStyle name="Normal 4 3 2 7 3 2 2 2" xfId="34650"/>
    <cellStyle name="Normal 4 3 2 7 3 2 2 2 2" xfId="34651"/>
    <cellStyle name="Normal 4 3 2 7 3 2 2 3" xfId="34652"/>
    <cellStyle name="Normal 4 3 2 7 3 2 3" xfId="34653"/>
    <cellStyle name="Normal 4 3 2 7 3 2 3 2" xfId="34654"/>
    <cellStyle name="Normal 4 3 2 7 3 2 4" xfId="34655"/>
    <cellStyle name="Normal 4 3 2 7 3 3" xfId="34656"/>
    <cellStyle name="Normal 4 3 2 7 3 3 2" xfId="34657"/>
    <cellStyle name="Normal 4 3 2 7 3 3 2 2" xfId="34658"/>
    <cellStyle name="Normal 4 3 2 7 3 3 3" xfId="34659"/>
    <cellStyle name="Normal 4 3 2 7 3 4" xfId="34660"/>
    <cellStyle name="Normal 4 3 2 7 3 4 2" xfId="34661"/>
    <cellStyle name="Normal 4 3 2 7 3 5" xfId="34662"/>
    <cellStyle name="Normal 4 3 2 7 4" xfId="3297"/>
    <cellStyle name="Normal 4 3 2 7 4 2" xfId="34663"/>
    <cellStyle name="Normal 4 3 2 7 4 2 2" xfId="34664"/>
    <cellStyle name="Normal 4 3 2 7 4 2 2 2" xfId="34665"/>
    <cellStyle name="Normal 4 3 2 7 4 2 3" xfId="34666"/>
    <cellStyle name="Normal 4 3 2 7 4 3" xfId="34667"/>
    <cellStyle name="Normal 4 3 2 7 4 3 2" xfId="34668"/>
    <cellStyle name="Normal 4 3 2 7 4 4" xfId="34669"/>
    <cellStyle name="Normal 4 3 2 7 5" xfId="34670"/>
    <cellStyle name="Normal 4 3 2 7 5 2" xfId="34671"/>
    <cellStyle name="Normal 4 3 2 7 5 2 2" xfId="34672"/>
    <cellStyle name="Normal 4 3 2 7 5 3" xfId="34673"/>
    <cellStyle name="Normal 4 3 2 7 6" xfId="34674"/>
    <cellStyle name="Normal 4 3 2 7 6 2" xfId="34675"/>
    <cellStyle name="Normal 4 3 2 7 7" xfId="34676"/>
    <cellStyle name="Normal 4 3 2 8" xfId="713"/>
    <cellStyle name="Normal 4 3 2 8 2" xfId="2073"/>
    <cellStyle name="Normal 4 3 2 8 2 2" xfId="4793"/>
    <cellStyle name="Normal 4 3 2 8 2 2 2" xfId="34677"/>
    <cellStyle name="Normal 4 3 2 8 2 2 2 2" xfId="34678"/>
    <cellStyle name="Normal 4 3 2 8 2 2 2 2 2" xfId="34679"/>
    <cellStyle name="Normal 4 3 2 8 2 2 2 3" xfId="34680"/>
    <cellStyle name="Normal 4 3 2 8 2 2 3" xfId="34681"/>
    <cellStyle name="Normal 4 3 2 8 2 2 3 2" xfId="34682"/>
    <cellStyle name="Normal 4 3 2 8 2 2 4" xfId="34683"/>
    <cellStyle name="Normal 4 3 2 8 2 3" xfId="34684"/>
    <cellStyle name="Normal 4 3 2 8 2 3 2" xfId="34685"/>
    <cellStyle name="Normal 4 3 2 8 2 3 2 2" xfId="34686"/>
    <cellStyle name="Normal 4 3 2 8 2 3 3" xfId="34687"/>
    <cellStyle name="Normal 4 3 2 8 2 4" xfId="34688"/>
    <cellStyle name="Normal 4 3 2 8 2 4 2" xfId="34689"/>
    <cellStyle name="Normal 4 3 2 8 2 5" xfId="34690"/>
    <cellStyle name="Normal 4 3 2 8 3" xfId="3433"/>
    <cellStyle name="Normal 4 3 2 8 3 2" xfId="34691"/>
    <cellStyle name="Normal 4 3 2 8 3 2 2" xfId="34692"/>
    <cellStyle name="Normal 4 3 2 8 3 2 2 2" xfId="34693"/>
    <cellStyle name="Normal 4 3 2 8 3 2 3" xfId="34694"/>
    <cellStyle name="Normal 4 3 2 8 3 3" xfId="34695"/>
    <cellStyle name="Normal 4 3 2 8 3 3 2" xfId="34696"/>
    <cellStyle name="Normal 4 3 2 8 3 4" xfId="34697"/>
    <cellStyle name="Normal 4 3 2 8 4" xfId="34698"/>
    <cellStyle name="Normal 4 3 2 8 4 2" xfId="34699"/>
    <cellStyle name="Normal 4 3 2 8 4 2 2" xfId="34700"/>
    <cellStyle name="Normal 4 3 2 8 4 3" xfId="34701"/>
    <cellStyle name="Normal 4 3 2 8 5" xfId="34702"/>
    <cellStyle name="Normal 4 3 2 8 5 2" xfId="34703"/>
    <cellStyle name="Normal 4 3 2 8 6" xfId="34704"/>
    <cellStyle name="Normal 4 3 2 9" xfId="1393"/>
    <cellStyle name="Normal 4 3 2 9 2" xfId="4113"/>
    <cellStyle name="Normal 4 3 2 9 2 2" xfId="34705"/>
    <cellStyle name="Normal 4 3 2 9 2 2 2" xfId="34706"/>
    <cellStyle name="Normal 4 3 2 9 2 2 2 2" xfId="34707"/>
    <cellStyle name="Normal 4 3 2 9 2 2 3" xfId="34708"/>
    <cellStyle name="Normal 4 3 2 9 2 3" xfId="34709"/>
    <cellStyle name="Normal 4 3 2 9 2 3 2" xfId="34710"/>
    <cellStyle name="Normal 4 3 2 9 2 4" xfId="34711"/>
    <cellStyle name="Normal 4 3 2 9 3" xfId="34712"/>
    <cellStyle name="Normal 4 3 2 9 3 2" xfId="34713"/>
    <cellStyle name="Normal 4 3 2 9 3 2 2" xfId="34714"/>
    <cellStyle name="Normal 4 3 2 9 3 3" xfId="34715"/>
    <cellStyle name="Normal 4 3 2 9 4" xfId="34716"/>
    <cellStyle name="Normal 4 3 2 9 4 2" xfId="34717"/>
    <cellStyle name="Normal 4 3 2 9 5" xfId="34718"/>
    <cellStyle name="Normal 4 3 3" xfId="41"/>
    <cellStyle name="Normal 4 3 3 10" xfId="34719"/>
    <cellStyle name="Normal 4 3 3 10 2" xfId="34720"/>
    <cellStyle name="Normal 4 3 3 10 2 2" xfId="34721"/>
    <cellStyle name="Normal 4 3 3 10 3" xfId="34722"/>
    <cellStyle name="Normal 4 3 3 11" xfId="34723"/>
    <cellStyle name="Normal 4 3 3 11 2" xfId="34724"/>
    <cellStyle name="Normal 4 3 3 12" xfId="34725"/>
    <cellStyle name="Normal 4 3 3 2" xfId="76"/>
    <cellStyle name="Normal 4 3 3 2 10" xfId="34726"/>
    <cellStyle name="Normal 4 3 3 2 10 2" xfId="34727"/>
    <cellStyle name="Normal 4 3 3 2 11" xfId="34728"/>
    <cellStyle name="Normal 4 3 3 2 2" xfId="144"/>
    <cellStyle name="Normal 4 3 3 2 2 10" xfId="34729"/>
    <cellStyle name="Normal 4 3 3 2 2 2" xfId="281"/>
    <cellStyle name="Normal 4 3 3 2 2 2 2" xfId="553"/>
    <cellStyle name="Normal 4 3 3 2 2 2 2 2" xfId="1233"/>
    <cellStyle name="Normal 4 3 3 2 2 2 2 2 2" xfId="2593"/>
    <cellStyle name="Normal 4 3 3 2 2 2 2 2 2 2" xfId="5313"/>
    <cellStyle name="Normal 4 3 3 2 2 2 2 2 2 2 2" xfId="34730"/>
    <cellStyle name="Normal 4 3 3 2 2 2 2 2 2 2 2 2" xfId="34731"/>
    <cellStyle name="Normal 4 3 3 2 2 2 2 2 2 2 2 2 2" xfId="34732"/>
    <cellStyle name="Normal 4 3 3 2 2 2 2 2 2 2 2 3" xfId="34733"/>
    <cellStyle name="Normal 4 3 3 2 2 2 2 2 2 2 3" xfId="34734"/>
    <cellStyle name="Normal 4 3 3 2 2 2 2 2 2 2 3 2" xfId="34735"/>
    <cellStyle name="Normal 4 3 3 2 2 2 2 2 2 2 4" xfId="34736"/>
    <cellStyle name="Normal 4 3 3 2 2 2 2 2 2 3" xfId="34737"/>
    <cellStyle name="Normal 4 3 3 2 2 2 2 2 2 3 2" xfId="34738"/>
    <cellStyle name="Normal 4 3 3 2 2 2 2 2 2 3 2 2" xfId="34739"/>
    <cellStyle name="Normal 4 3 3 2 2 2 2 2 2 3 3" xfId="34740"/>
    <cellStyle name="Normal 4 3 3 2 2 2 2 2 2 4" xfId="34741"/>
    <cellStyle name="Normal 4 3 3 2 2 2 2 2 2 4 2" xfId="34742"/>
    <cellStyle name="Normal 4 3 3 2 2 2 2 2 2 5" xfId="34743"/>
    <cellStyle name="Normal 4 3 3 2 2 2 2 2 3" xfId="3953"/>
    <cellStyle name="Normal 4 3 3 2 2 2 2 2 3 2" xfId="34744"/>
    <cellStyle name="Normal 4 3 3 2 2 2 2 2 3 2 2" xfId="34745"/>
    <cellStyle name="Normal 4 3 3 2 2 2 2 2 3 2 2 2" xfId="34746"/>
    <cellStyle name="Normal 4 3 3 2 2 2 2 2 3 2 3" xfId="34747"/>
    <cellStyle name="Normal 4 3 3 2 2 2 2 2 3 3" xfId="34748"/>
    <cellStyle name="Normal 4 3 3 2 2 2 2 2 3 3 2" xfId="34749"/>
    <cellStyle name="Normal 4 3 3 2 2 2 2 2 3 4" xfId="34750"/>
    <cellStyle name="Normal 4 3 3 2 2 2 2 2 4" xfId="34751"/>
    <cellStyle name="Normal 4 3 3 2 2 2 2 2 4 2" xfId="34752"/>
    <cellStyle name="Normal 4 3 3 2 2 2 2 2 4 2 2" xfId="34753"/>
    <cellStyle name="Normal 4 3 3 2 2 2 2 2 4 3" xfId="34754"/>
    <cellStyle name="Normal 4 3 3 2 2 2 2 2 5" xfId="34755"/>
    <cellStyle name="Normal 4 3 3 2 2 2 2 2 5 2" xfId="34756"/>
    <cellStyle name="Normal 4 3 3 2 2 2 2 2 6" xfId="34757"/>
    <cellStyle name="Normal 4 3 3 2 2 2 2 3" xfId="1913"/>
    <cellStyle name="Normal 4 3 3 2 2 2 2 3 2" xfId="4633"/>
    <cellStyle name="Normal 4 3 3 2 2 2 2 3 2 2" xfId="34758"/>
    <cellStyle name="Normal 4 3 3 2 2 2 2 3 2 2 2" xfId="34759"/>
    <cellStyle name="Normal 4 3 3 2 2 2 2 3 2 2 2 2" xfId="34760"/>
    <cellStyle name="Normal 4 3 3 2 2 2 2 3 2 2 3" xfId="34761"/>
    <cellStyle name="Normal 4 3 3 2 2 2 2 3 2 3" xfId="34762"/>
    <cellStyle name="Normal 4 3 3 2 2 2 2 3 2 3 2" xfId="34763"/>
    <cellStyle name="Normal 4 3 3 2 2 2 2 3 2 4" xfId="34764"/>
    <cellStyle name="Normal 4 3 3 2 2 2 2 3 3" xfId="34765"/>
    <cellStyle name="Normal 4 3 3 2 2 2 2 3 3 2" xfId="34766"/>
    <cellStyle name="Normal 4 3 3 2 2 2 2 3 3 2 2" xfId="34767"/>
    <cellStyle name="Normal 4 3 3 2 2 2 2 3 3 3" xfId="34768"/>
    <cellStyle name="Normal 4 3 3 2 2 2 2 3 4" xfId="34769"/>
    <cellStyle name="Normal 4 3 3 2 2 2 2 3 4 2" xfId="34770"/>
    <cellStyle name="Normal 4 3 3 2 2 2 2 3 5" xfId="34771"/>
    <cellStyle name="Normal 4 3 3 2 2 2 2 4" xfId="3273"/>
    <cellStyle name="Normal 4 3 3 2 2 2 2 4 2" xfId="34772"/>
    <cellStyle name="Normal 4 3 3 2 2 2 2 4 2 2" xfId="34773"/>
    <cellStyle name="Normal 4 3 3 2 2 2 2 4 2 2 2" xfId="34774"/>
    <cellStyle name="Normal 4 3 3 2 2 2 2 4 2 3" xfId="34775"/>
    <cellStyle name="Normal 4 3 3 2 2 2 2 4 3" xfId="34776"/>
    <cellStyle name="Normal 4 3 3 2 2 2 2 4 3 2" xfId="34777"/>
    <cellStyle name="Normal 4 3 3 2 2 2 2 4 4" xfId="34778"/>
    <cellStyle name="Normal 4 3 3 2 2 2 2 5" xfId="34779"/>
    <cellStyle name="Normal 4 3 3 2 2 2 2 5 2" xfId="34780"/>
    <cellStyle name="Normal 4 3 3 2 2 2 2 5 2 2" xfId="34781"/>
    <cellStyle name="Normal 4 3 3 2 2 2 2 5 3" xfId="34782"/>
    <cellStyle name="Normal 4 3 3 2 2 2 2 6" xfId="34783"/>
    <cellStyle name="Normal 4 3 3 2 2 2 2 6 2" xfId="34784"/>
    <cellStyle name="Normal 4 3 3 2 2 2 2 7" xfId="34785"/>
    <cellStyle name="Normal 4 3 3 2 2 2 3" xfId="961"/>
    <cellStyle name="Normal 4 3 3 2 2 2 3 2" xfId="2321"/>
    <cellStyle name="Normal 4 3 3 2 2 2 3 2 2" xfId="5041"/>
    <cellStyle name="Normal 4 3 3 2 2 2 3 2 2 2" xfId="34786"/>
    <cellStyle name="Normal 4 3 3 2 2 2 3 2 2 2 2" xfId="34787"/>
    <cellStyle name="Normal 4 3 3 2 2 2 3 2 2 2 2 2" xfId="34788"/>
    <cellStyle name="Normal 4 3 3 2 2 2 3 2 2 2 3" xfId="34789"/>
    <cellStyle name="Normal 4 3 3 2 2 2 3 2 2 3" xfId="34790"/>
    <cellStyle name="Normal 4 3 3 2 2 2 3 2 2 3 2" xfId="34791"/>
    <cellStyle name="Normal 4 3 3 2 2 2 3 2 2 4" xfId="34792"/>
    <cellStyle name="Normal 4 3 3 2 2 2 3 2 3" xfId="34793"/>
    <cellStyle name="Normal 4 3 3 2 2 2 3 2 3 2" xfId="34794"/>
    <cellStyle name="Normal 4 3 3 2 2 2 3 2 3 2 2" xfId="34795"/>
    <cellStyle name="Normal 4 3 3 2 2 2 3 2 3 3" xfId="34796"/>
    <cellStyle name="Normal 4 3 3 2 2 2 3 2 4" xfId="34797"/>
    <cellStyle name="Normal 4 3 3 2 2 2 3 2 4 2" xfId="34798"/>
    <cellStyle name="Normal 4 3 3 2 2 2 3 2 5" xfId="34799"/>
    <cellStyle name="Normal 4 3 3 2 2 2 3 3" xfId="3681"/>
    <cellStyle name="Normal 4 3 3 2 2 2 3 3 2" xfId="34800"/>
    <cellStyle name="Normal 4 3 3 2 2 2 3 3 2 2" xfId="34801"/>
    <cellStyle name="Normal 4 3 3 2 2 2 3 3 2 2 2" xfId="34802"/>
    <cellStyle name="Normal 4 3 3 2 2 2 3 3 2 3" xfId="34803"/>
    <cellStyle name="Normal 4 3 3 2 2 2 3 3 3" xfId="34804"/>
    <cellStyle name="Normal 4 3 3 2 2 2 3 3 3 2" xfId="34805"/>
    <cellStyle name="Normal 4 3 3 2 2 2 3 3 4" xfId="34806"/>
    <cellStyle name="Normal 4 3 3 2 2 2 3 4" xfId="34807"/>
    <cellStyle name="Normal 4 3 3 2 2 2 3 4 2" xfId="34808"/>
    <cellStyle name="Normal 4 3 3 2 2 2 3 4 2 2" xfId="34809"/>
    <cellStyle name="Normal 4 3 3 2 2 2 3 4 3" xfId="34810"/>
    <cellStyle name="Normal 4 3 3 2 2 2 3 5" xfId="34811"/>
    <cellStyle name="Normal 4 3 3 2 2 2 3 5 2" xfId="34812"/>
    <cellStyle name="Normal 4 3 3 2 2 2 3 6" xfId="34813"/>
    <cellStyle name="Normal 4 3 3 2 2 2 4" xfId="1641"/>
    <cellStyle name="Normal 4 3 3 2 2 2 4 2" xfId="4361"/>
    <cellStyle name="Normal 4 3 3 2 2 2 4 2 2" xfId="34814"/>
    <cellStyle name="Normal 4 3 3 2 2 2 4 2 2 2" xfId="34815"/>
    <cellStyle name="Normal 4 3 3 2 2 2 4 2 2 2 2" xfId="34816"/>
    <cellStyle name="Normal 4 3 3 2 2 2 4 2 2 3" xfId="34817"/>
    <cellStyle name="Normal 4 3 3 2 2 2 4 2 3" xfId="34818"/>
    <cellStyle name="Normal 4 3 3 2 2 2 4 2 3 2" xfId="34819"/>
    <cellStyle name="Normal 4 3 3 2 2 2 4 2 4" xfId="34820"/>
    <cellStyle name="Normal 4 3 3 2 2 2 4 3" xfId="34821"/>
    <cellStyle name="Normal 4 3 3 2 2 2 4 3 2" xfId="34822"/>
    <cellStyle name="Normal 4 3 3 2 2 2 4 3 2 2" xfId="34823"/>
    <cellStyle name="Normal 4 3 3 2 2 2 4 3 3" xfId="34824"/>
    <cellStyle name="Normal 4 3 3 2 2 2 4 4" xfId="34825"/>
    <cellStyle name="Normal 4 3 3 2 2 2 4 4 2" xfId="34826"/>
    <cellStyle name="Normal 4 3 3 2 2 2 4 5" xfId="34827"/>
    <cellStyle name="Normal 4 3 3 2 2 2 5" xfId="3001"/>
    <cellStyle name="Normal 4 3 3 2 2 2 5 2" xfId="34828"/>
    <cellStyle name="Normal 4 3 3 2 2 2 5 2 2" xfId="34829"/>
    <cellStyle name="Normal 4 3 3 2 2 2 5 2 2 2" xfId="34830"/>
    <cellStyle name="Normal 4 3 3 2 2 2 5 2 3" xfId="34831"/>
    <cellStyle name="Normal 4 3 3 2 2 2 5 3" xfId="34832"/>
    <cellStyle name="Normal 4 3 3 2 2 2 5 3 2" xfId="34833"/>
    <cellStyle name="Normal 4 3 3 2 2 2 5 4" xfId="34834"/>
    <cellStyle name="Normal 4 3 3 2 2 2 6" xfId="34835"/>
    <cellStyle name="Normal 4 3 3 2 2 2 6 2" xfId="34836"/>
    <cellStyle name="Normal 4 3 3 2 2 2 6 2 2" xfId="34837"/>
    <cellStyle name="Normal 4 3 3 2 2 2 6 3" xfId="34838"/>
    <cellStyle name="Normal 4 3 3 2 2 2 7" xfId="34839"/>
    <cellStyle name="Normal 4 3 3 2 2 2 7 2" xfId="34840"/>
    <cellStyle name="Normal 4 3 3 2 2 2 8" xfId="34841"/>
    <cellStyle name="Normal 4 3 3 2 2 3" xfId="417"/>
    <cellStyle name="Normal 4 3 3 2 2 3 2" xfId="1097"/>
    <cellStyle name="Normal 4 3 3 2 2 3 2 2" xfId="2457"/>
    <cellStyle name="Normal 4 3 3 2 2 3 2 2 2" xfId="5177"/>
    <cellStyle name="Normal 4 3 3 2 2 3 2 2 2 2" xfId="34842"/>
    <cellStyle name="Normal 4 3 3 2 2 3 2 2 2 2 2" xfId="34843"/>
    <cellStyle name="Normal 4 3 3 2 2 3 2 2 2 2 2 2" xfId="34844"/>
    <cellStyle name="Normal 4 3 3 2 2 3 2 2 2 2 3" xfId="34845"/>
    <cellStyle name="Normal 4 3 3 2 2 3 2 2 2 3" xfId="34846"/>
    <cellStyle name="Normal 4 3 3 2 2 3 2 2 2 3 2" xfId="34847"/>
    <cellStyle name="Normal 4 3 3 2 2 3 2 2 2 4" xfId="34848"/>
    <cellStyle name="Normal 4 3 3 2 2 3 2 2 3" xfId="34849"/>
    <cellStyle name="Normal 4 3 3 2 2 3 2 2 3 2" xfId="34850"/>
    <cellStyle name="Normal 4 3 3 2 2 3 2 2 3 2 2" xfId="34851"/>
    <cellStyle name="Normal 4 3 3 2 2 3 2 2 3 3" xfId="34852"/>
    <cellStyle name="Normal 4 3 3 2 2 3 2 2 4" xfId="34853"/>
    <cellStyle name="Normal 4 3 3 2 2 3 2 2 4 2" xfId="34854"/>
    <cellStyle name="Normal 4 3 3 2 2 3 2 2 5" xfId="34855"/>
    <cellStyle name="Normal 4 3 3 2 2 3 2 3" xfId="3817"/>
    <cellStyle name="Normal 4 3 3 2 2 3 2 3 2" xfId="34856"/>
    <cellStyle name="Normal 4 3 3 2 2 3 2 3 2 2" xfId="34857"/>
    <cellStyle name="Normal 4 3 3 2 2 3 2 3 2 2 2" xfId="34858"/>
    <cellStyle name="Normal 4 3 3 2 2 3 2 3 2 3" xfId="34859"/>
    <cellStyle name="Normal 4 3 3 2 2 3 2 3 3" xfId="34860"/>
    <cellStyle name="Normal 4 3 3 2 2 3 2 3 3 2" xfId="34861"/>
    <cellStyle name="Normal 4 3 3 2 2 3 2 3 4" xfId="34862"/>
    <cellStyle name="Normal 4 3 3 2 2 3 2 4" xfId="34863"/>
    <cellStyle name="Normal 4 3 3 2 2 3 2 4 2" xfId="34864"/>
    <cellStyle name="Normal 4 3 3 2 2 3 2 4 2 2" xfId="34865"/>
    <cellStyle name="Normal 4 3 3 2 2 3 2 4 3" xfId="34866"/>
    <cellStyle name="Normal 4 3 3 2 2 3 2 5" xfId="34867"/>
    <cellStyle name="Normal 4 3 3 2 2 3 2 5 2" xfId="34868"/>
    <cellStyle name="Normal 4 3 3 2 2 3 2 6" xfId="34869"/>
    <cellStyle name="Normal 4 3 3 2 2 3 3" xfId="1777"/>
    <cellStyle name="Normal 4 3 3 2 2 3 3 2" xfId="4497"/>
    <cellStyle name="Normal 4 3 3 2 2 3 3 2 2" xfId="34870"/>
    <cellStyle name="Normal 4 3 3 2 2 3 3 2 2 2" xfId="34871"/>
    <cellStyle name="Normal 4 3 3 2 2 3 3 2 2 2 2" xfId="34872"/>
    <cellStyle name="Normal 4 3 3 2 2 3 3 2 2 3" xfId="34873"/>
    <cellStyle name="Normal 4 3 3 2 2 3 3 2 3" xfId="34874"/>
    <cellStyle name="Normal 4 3 3 2 2 3 3 2 3 2" xfId="34875"/>
    <cellStyle name="Normal 4 3 3 2 2 3 3 2 4" xfId="34876"/>
    <cellStyle name="Normal 4 3 3 2 2 3 3 3" xfId="34877"/>
    <cellStyle name="Normal 4 3 3 2 2 3 3 3 2" xfId="34878"/>
    <cellStyle name="Normal 4 3 3 2 2 3 3 3 2 2" xfId="34879"/>
    <cellStyle name="Normal 4 3 3 2 2 3 3 3 3" xfId="34880"/>
    <cellStyle name="Normal 4 3 3 2 2 3 3 4" xfId="34881"/>
    <cellStyle name="Normal 4 3 3 2 2 3 3 4 2" xfId="34882"/>
    <cellStyle name="Normal 4 3 3 2 2 3 3 5" xfId="34883"/>
    <cellStyle name="Normal 4 3 3 2 2 3 4" xfId="3137"/>
    <cellStyle name="Normal 4 3 3 2 2 3 4 2" xfId="34884"/>
    <cellStyle name="Normal 4 3 3 2 2 3 4 2 2" xfId="34885"/>
    <cellStyle name="Normal 4 3 3 2 2 3 4 2 2 2" xfId="34886"/>
    <cellStyle name="Normal 4 3 3 2 2 3 4 2 3" xfId="34887"/>
    <cellStyle name="Normal 4 3 3 2 2 3 4 3" xfId="34888"/>
    <cellStyle name="Normal 4 3 3 2 2 3 4 3 2" xfId="34889"/>
    <cellStyle name="Normal 4 3 3 2 2 3 4 4" xfId="34890"/>
    <cellStyle name="Normal 4 3 3 2 2 3 5" xfId="34891"/>
    <cellStyle name="Normal 4 3 3 2 2 3 5 2" xfId="34892"/>
    <cellStyle name="Normal 4 3 3 2 2 3 5 2 2" xfId="34893"/>
    <cellStyle name="Normal 4 3 3 2 2 3 5 3" xfId="34894"/>
    <cellStyle name="Normal 4 3 3 2 2 3 6" xfId="34895"/>
    <cellStyle name="Normal 4 3 3 2 2 3 6 2" xfId="34896"/>
    <cellStyle name="Normal 4 3 3 2 2 3 7" xfId="34897"/>
    <cellStyle name="Normal 4 3 3 2 2 4" xfId="689"/>
    <cellStyle name="Normal 4 3 3 2 2 4 2" xfId="1369"/>
    <cellStyle name="Normal 4 3 3 2 2 4 2 2" xfId="2729"/>
    <cellStyle name="Normal 4 3 3 2 2 4 2 2 2" xfId="5449"/>
    <cellStyle name="Normal 4 3 3 2 2 4 2 2 2 2" xfId="34898"/>
    <cellStyle name="Normal 4 3 3 2 2 4 2 2 2 2 2" xfId="34899"/>
    <cellStyle name="Normal 4 3 3 2 2 4 2 2 2 2 2 2" xfId="34900"/>
    <cellStyle name="Normal 4 3 3 2 2 4 2 2 2 2 3" xfId="34901"/>
    <cellStyle name="Normal 4 3 3 2 2 4 2 2 2 3" xfId="34902"/>
    <cellStyle name="Normal 4 3 3 2 2 4 2 2 2 3 2" xfId="34903"/>
    <cellStyle name="Normal 4 3 3 2 2 4 2 2 2 4" xfId="34904"/>
    <cellStyle name="Normal 4 3 3 2 2 4 2 2 3" xfId="34905"/>
    <cellStyle name="Normal 4 3 3 2 2 4 2 2 3 2" xfId="34906"/>
    <cellStyle name="Normal 4 3 3 2 2 4 2 2 3 2 2" xfId="34907"/>
    <cellStyle name="Normal 4 3 3 2 2 4 2 2 3 3" xfId="34908"/>
    <cellStyle name="Normal 4 3 3 2 2 4 2 2 4" xfId="34909"/>
    <cellStyle name="Normal 4 3 3 2 2 4 2 2 4 2" xfId="34910"/>
    <cellStyle name="Normal 4 3 3 2 2 4 2 2 5" xfId="34911"/>
    <cellStyle name="Normal 4 3 3 2 2 4 2 3" xfId="4089"/>
    <cellStyle name="Normal 4 3 3 2 2 4 2 3 2" xfId="34912"/>
    <cellStyle name="Normal 4 3 3 2 2 4 2 3 2 2" xfId="34913"/>
    <cellStyle name="Normal 4 3 3 2 2 4 2 3 2 2 2" xfId="34914"/>
    <cellStyle name="Normal 4 3 3 2 2 4 2 3 2 3" xfId="34915"/>
    <cellStyle name="Normal 4 3 3 2 2 4 2 3 3" xfId="34916"/>
    <cellStyle name="Normal 4 3 3 2 2 4 2 3 3 2" xfId="34917"/>
    <cellStyle name="Normal 4 3 3 2 2 4 2 3 4" xfId="34918"/>
    <cellStyle name="Normal 4 3 3 2 2 4 2 4" xfId="34919"/>
    <cellStyle name="Normal 4 3 3 2 2 4 2 4 2" xfId="34920"/>
    <cellStyle name="Normal 4 3 3 2 2 4 2 4 2 2" xfId="34921"/>
    <cellStyle name="Normal 4 3 3 2 2 4 2 4 3" xfId="34922"/>
    <cellStyle name="Normal 4 3 3 2 2 4 2 5" xfId="34923"/>
    <cellStyle name="Normal 4 3 3 2 2 4 2 5 2" xfId="34924"/>
    <cellStyle name="Normal 4 3 3 2 2 4 2 6" xfId="34925"/>
    <cellStyle name="Normal 4 3 3 2 2 4 3" xfId="2049"/>
    <cellStyle name="Normal 4 3 3 2 2 4 3 2" xfId="4769"/>
    <cellStyle name="Normal 4 3 3 2 2 4 3 2 2" xfId="34926"/>
    <cellStyle name="Normal 4 3 3 2 2 4 3 2 2 2" xfId="34927"/>
    <cellStyle name="Normal 4 3 3 2 2 4 3 2 2 2 2" xfId="34928"/>
    <cellStyle name="Normal 4 3 3 2 2 4 3 2 2 3" xfId="34929"/>
    <cellStyle name="Normal 4 3 3 2 2 4 3 2 3" xfId="34930"/>
    <cellStyle name="Normal 4 3 3 2 2 4 3 2 3 2" xfId="34931"/>
    <cellStyle name="Normal 4 3 3 2 2 4 3 2 4" xfId="34932"/>
    <cellStyle name="Normal 4 3 3 2 2 4 3 3" xfId="34933"/>
    <cellStyle name="Normal 4 3 3 2 2 4 3 3 2" xfId="34934"/>
    <cellStyle name="Normal 4 3 3 2 2 4 3 3 2 2" xfId="34935"/>
    <cellStyle name="Normal 4 3 3 2 2 4 3 3 3" xfId="34936"/>
    <cellStyle name="Normal 4 3 3 2 2 4 3 4" xfId="34937"/>
    <cellStyle name="Normal 4 3 3 2 2 4 3 4 2" xfId="34938"/>
    <cellStyle name="Normal 4 3 3 2 2 4 3 5" xfId="34939"/>
    <cellStyle name="Normal 4 3 3 2 2 4 4" xfId="3409"/>
    <cellStyle name="Normal 4 3 3 2 2 4 4 2" xfId="34940"/>
    <cellStyle name="Normal 4 3 3 2 2 4 4 2 2" xfId="34941"/>
    <cellStyle name="Normal 4 3 3 2 2 4 4 2 2 2" xfId="34942"/>
    <cellStyle name="Normal 4 3 3 2 2 4 4 2 3" xfId="34943"/>
    <cellStyle name="Normal 4 3 3 2 2 4 4 3" xfId="34944"/>
    <cellStyle name="Normal 4 3 3 2 2 4 4 3 2" xfId="34945"/>
    <cellStyle name="Normal 4 3 3 2 2 4 4 4" xfId="34946"/>
    <cellStyle name="Normal 4 3 3 2 2 4 5" xfId="34947"/>
    <cellStyle name="Normal 4 3 3 2 2 4 5 2" xfId="34948"/>
    <cellStyle name="Normal 4 3 3 2 2 4 5 2 2" xfId="34949"/>
    <cellStyle name="Normal 4 3 3 2 2 4 5 3" xfId="34950"/>
    <cellStyle name="Normal 4 3 3 2 2 4 6" xfId="34951"/>
    <cellStyle name="Normal 4 3 3 2 2 4 6 2" xfId="34952"/>
    <cellStyle name="Normal 4 3 3 2 2 4 7" xfId="34953"/>
    <cellStyle name="Normal 4 3 3 2 2 5" xfId="825"/>
    <cellStyle name="Normal 4 3 3 2 2 5 2" xfId="2185"/>
    <cellStyle name="Normal 4 3 3 2 2 5 2 2" xfId="4905"/>
    <cellStyle name="Normal 4 3 3 2 2 5 2 2 2" xfId="34954"/>
    <cellStyle name="Normal 4 3 3 2 2 5 2 2 2 2" xfId="34955"/>
    <cellStyle name="Normal 4 3 3 2 2 5 2 2 2 2 2" xfId="34956"/>
    <cellStyle name="Normal 4 3 3 2 2 5 2 2 2 3" xfId="34957"/>
    <cellStyle name="Normal 4 3 3 2 2 5 2 2 3" xfId="34958"/>
    <cellStyle name="Normal 4 3 3 2 2 5 2 2 3 2" xfId="34959"/>
    <cellStyle name="Normal 4 3 3 2 2 5 2 2 4" xfId="34960"/>
    <cellStyle name="Normal 4 3 3 2 2 5 2 3" xfId="34961"/>
    <cellStyle name="Normal 4 3 3 2 2 5 2 3 2" xfId="34962"/>
    <cellStyle name="Normal 4 3 3 2 2 5 2 3 2 2" xfId="34963"/>
    <cellStyle name="Normal 4 3 3 2 2 5 2 3 3" xfId="34964"/>
    <cellStyle name="Normal 4 3 3 2 2 5 2 4" xfId="34965"/>
    <cellStyle name="Normal 4 3 3 2 2 5 2 4 2" xfId="34966"/>
    <cellStyle name="Normal 4 3 3 2 2 5 2 5" xfId="34967"/>
    <cellStyle name="Normal 4 3 3 2 2 5 3" xfId="3545"/>
    <cellStyle name="Normal 4 3 3 2 2 5 3 2" xfId="34968"/>
    <cellStyle name="Normal 4 3 3 2 2 5 3 2 2" xfId="34969"/>
    <cellStyle name="Normal 4 3 3 2 2 5 3 2 2 2" xfId="34970"/>
    <cellStyle name="Normal 4 3 3 2 2 5 3 2 3" xfId="34971"/>
    <cellStyle name="Normal 4 3 3 2 2 5 3 3" xfId="34972"/>
    <cellStyle name="Normal 4 3 3 2 2 5 3 3 2" xfId="34973"/>
    <cellStyle name="Normal 4 3 3 2 2 5 3 4" xfId="34974"/>
    <cellStyle name="Normal 4 3 3 2 2 5 4" xfId="34975"/>
    <cellStyle name="Normal 4 3 3 2 2 5 4 2" xfId="34976"/>
    <cellStyle name="Normal 4 3 3 2 2 5 4 2 2" xfId="34977"/>
    <cellStyle name="Normal 4 3 3 2 2 5 4 3" xfId="34978"/>
    <cellStyle name="Normal 4 3 3 2 2 5 5" xfId="34979"/>
    <cellStyle name="Normal 4 3 3 2 2 5 5 2" xfId="34980"/>
    <cellStyle name="Normal 4 3 3 2 2 5 6" xfId="34981"/>
    <cellStyle name="Normal 4 3 3 2 2 6" xfId="1505"/>
    <cellStyle name="Normal 4 3 3 2 2 6 2" xfId="4225"/>
    <cellStyle name="Normal 4 3 3 2 2 6 2 2" xfId="34982"/>
    <cellStyle name="Normal 4 3 3 2 2 6 2 2 2" xfId="34983"/>
    <cellStyle name="Normal 4 3 3 2 2 6 2 2 2 2" xfId="34984"/>
    <cellStyle name="Normal 4 3 3 2 2 6 2 2 3" xfId="34985"/>
    <cellStyle name="Normal 4 3 3 2 2 6 2 3" xfId="34986"/>
    <cellStyle name="Normal 4 3 3 2 2 6 2 3 2" xfId="34987"/>
    <cellStyle name="Normal 4 3 3 2 2 6 2 4" xfId="34988"/>
    <cellStyle name="Normal 4 3 3 2 2 6 3" xfId="34989"/>
    <cellStyle name="Normal 4 3 3 2 2 6 3 2" xfId="34990"/>
    <cellStyle name="Normal 4 3 3 2 2 6 3 2 2" xfId="34991"/>
    <cellStyle name="Normal 4 3 3 2 2 6 3 3" xfId="34992"/>
    <cellStyle name="Normal 4 3 3 2 2 6 4" xfId="34993"/>
    <cellStyle name="Normal 4 3 3 2 2 6 4 2" xfId="34994"/>
    <cellStyle name="Normal 4 3 3 2 2 6 5" xfId="34995"/>
    <cellStyle name="Normal 4 3 3 2 2 7" xfId="2865"/>
    <cellStyle name="Normal 4 3 3 2 2 7 2" xfId="34996"/>
    <cellStyle name="Normal 4 3 3 2 2 7 2 2" xfId="34997"/>
    <cellStyle name="Normal 4 3 3 2 2 7 2 2 2" xfId="34998"/>
    <cellStyle name="Normal 4 3 3 2 2 7 2 3" xfId="34999"/>
    <cellStyle name="Normal 4 3 3 2 2 7 3" xfId="35000"/>
    <cellStyle name="Normal 4 3 3 2 2 7 3 2" xfId="35001"/>
    <cellStyle name="Normal 4 3 3 2 2 7 4" xfId="35002"/>
    <cellStyle name="Normal 4 3 3 2 2 8" xfId="35003"/>
    <cellStyle name="Normal 4 3 3 2 2 8 2" xfId="35004"/>
    <cellStyle name="Normal 4 3 3 2 2 8 2 2" xfId="35005"/>
    <cellStyle name="Normal 4 3 3 2 2 8 3" xfId="35006"/>
    <cellStyle name="Normal 4 3 3 2 2 9" xfId="35007"/>
    <cellStyle name="Normal 4 3 3 2 2 9 2" xfId="35008"/>
    <cellStyle name="Normal 4 3 3 2 3" xfId="213"/>
    <cellStyle name="Normal 4 3 3 2 3 2" xfId="485"/>
    <cellStyle name="Normal 4 3 3 2 3 2 2" xfId="1165"/>
    <cellStyle name="Normal 4 3 3 2 3 2 2 2" xfId="2525"/>
    <cellStyle name="Normal 4 3 3 2 3 2 2 2 2" xfId="5245"/>
    <cellStyle name="Normal 4 3 3 2 3 2 2 2 2 2" xfId="35009"/>
    <cellStyle name="Normal 4 3 3 2 3 2 2 2 2 2 2" xfId="35010"/>
    <cellStyle name="Normal 4 3 3 2 3 2 2 2 2 2 2 2" xfId="35011"/>
    <cellStyle name="Normal 4 3 3 2 3 2 2 2 2 2 3" xfId="35012"/>
    <cellStyle name="Normal 4 3 3 2 3 2 2 2 2 3" xfId="35013"/>
    <cellStyle name="Normal 4 3 3 2 3 2 2 2 2 3 2" xfId="35014"/>
    <cellStyle name="Normal 4 3 3 2 3 2 2 2 2 4" xfId="35015"/>
    <cellStyle name="Normal 4 3 3 2 3 2 2 2 3" xfId="35016"/>
    <cellStyle name="Normal 4 3 3 2 3 2 2 2 3 2" xfId="35017"/>
    <cellStyle name="Normal 4 3 3 2 3 2 2 2 3 2 2" xfId="35018"/>
    <cellStyle name="Normal 4 3 3 2 3 2 2 2 3 3" xfId="35019"/>
    <cellStyle name="Normal 4 3 3 2 3 2 2 2 4" xfId="35020"/>
    <cellStyle name="Normal 4 3 3 2 3 2 2 2 4 2" xfId="35021"/>
    <cellStyle name="Normal 4 3 3 2 3 2 2 2 5" xfId="35022"/>
    <cellStyle name="Normal 4 3 3 2 3 2 2 3" xfId="3885"/>
    <cellStyle name="Normal 4 3 3 2 3 2 2 3 2" xfId="35023"/>
    <cellStyle name="Normal 4 3 3 2 3 2 2 3 2 2" xfId="35024"/>
    <cellStyle name="Normal 4 3 3 2 3 2 2 3 2 2 2" xfId="35025"/>
    <cellStyle name="Normal 4 3 3 2 3 2 2 3 2 3" xfId="35026"/>
    <cellStyle name="Normal 4 3 3 2 3 2 2 3 3" xfId="35027"/>
    <cellStyle name="Normal 4 3 3 2 3 2 2 3 3 2" xfId="35028"/>
    <cellStyle name="Normal 4 3 3 2 3 2 2 3 4" xfId="35029"/>
    <cellStyle name="Normal 4 3 3 2 3 2 2 4" xfId="35030"/>
    <cellStyle name="Normal 4 3 3 2 3 2 2 4 2" xfId="35031"/>
    <cellStyle name="Normal 4 3 3 2 3 2 2 4 2 2" xfId="35032"/>
    <cellStyle name="Normal 4 3 3 2 3 2 2 4 3" xfId="35033"/>
    <cellStyle name="Normal 4 3 3 2 3 2 2 5" xfId="35034"/>
    <cellStyle name="Normal 4 3 3 2 3 2 2 5 2" xfId="35035"/>
    <cellStyle name="Normal 4 3 3 2 3 2 2 6" xfId="35036"/>
    <cellStyle name="Normal 4 3 3 2 3 2 3" xfId="1845"/>
    <cellStyle name="Normal 4 3 3 2 3 2 3 2" xfId="4565"/>
    <cellStyle name="Normal 4 3 3 2 3 2 3 2 2" xfId="35037"/>
    <cellStyle name="Normal 4 3 3 2 3 2 3 2 2 2" xfId="35038"/>
    <cellStyle name="Normal 4 3 3 2 3 2 3 2 2 2 2" xfId="35039"/>
    <cellStyle name="Normal 4 3 3 2 3 2 3 2 2 3" xfId="35040"/>
    <cellStyle name="Normal 4 3 3 2 3 2 3 2 3" xfId="35041"/>
    <cellStyle name="Normal 4 3 3 2 3 2 3 2 3 2" xfId="35042"/>
    <cellStyle name="Normal 4 3 3 2 3 2 3 2 4" xfId="35043"/>
    <cellStyle name="Normal 4 3 3 2 3 2 3 3" xfId="35044"/>
    <cellStyle name="Normal 4 3 3 2 3 2 3 3 2" xfId="35045"/>
    <cellStyle name="Normal 4 3 3 2 3 2 3 3 2 2" xfId="35046"/>
    <cellStyle name="Normal 4 3 3 2 3 2 3 3 3" xfId="35047"/>
    <cellStyle name="Normal 4 3 3 2 3 2 3 4" xfId="35048"/>
    <cellStyle name="Normal 4 3 3 2 3 2 3 4 2" xfId="35049"/>
    <cellStyle name="Normal 4 3 3 2 3 2 3 5" xfId="35050"/>
    <cellStyle name="Normal 4 3 3 2 3 2 4" xfId="3205"/>
    <cellStyle name="Normal 4 3 3 2 3 2 4 2" xfId="35051"/>
    <cellStyle name="Normal 4 3 3 2 3 2 4 2 2" xfId="35052"/>
    <cellStyle name="Normal 4 3 3 2 3 2 4 2 2 2" xfId="35053"/>
    <cellStyle name="Normal 4 3 3 2 3 2 4 2 3" xfId="35054"/>
    <cellStyle name="Normal 4 3 3 2 3 2 4 3" xfId="35055"/>
    <cellStyle name="Normal 4 3 3 2 3 2 4 3 2" xfId="35056"/>
    <cellStyle name="Normal 4 3 3 2 3 2 4 4" xfId="35057"/>
    <cellStyle name="Normal 4 3 3 2 3 2 5" xfId="35058"/>
    <cellStyle name="Normal 4 3 3 2 3 2 5 2" xfId="35059"/>
    <cellStyle name="Normal 4 3 3 2 3 2 5 2 2" xfId="35060"/>
    <cellStyle name="Normal 4 3 3 2 3 2 5 3" xfId="35061"/>
    <cellStyle name="Normal 4 3 3 2 3 2 6" xfId="35062"/>
    <cellStyle name="Normal 4 3 3 2 3 2 6 2" xfId="35063"/>
    <cellStyle name="Normal 4 3 3 2 3 2 7" xfId="35064"/>
    <cellStyle name="Normal 4 3 3 2 3 3" xfId="893"/>
    <cellStyle name="Normal 4 3 3 2 3 3 2" xfId="2253"/>
    <cellStyle name="Normal 4 3 3 2 3 3 2 2" xfId="4973"/>
    <cellStyle name="Normal 4 3 3 2 3 3 2 2 2" xfId="35065"/>
    <cellStyle name="Normal 4 3 3 2 3 3 2 2 2 2" xfId="35066"/>
    <cellStyle name="Normal 4 3 3 2 3 3 2 2 2 2 2" xfId="35067"/>
    <cellStyle name="Normal 4 3 3 2 3 3 2 2 2 3" xfId="35068"/>
    <cellStyle name="Normal 4 3 3 2 3 3 2 2 3" xfId="35069"/>
    <cellStyle name="Normal 4 3 3 2 3 3 2 2 3 2" xfId="35070"/>
    <cellStyle name="Normal 4 3 3 2 3 3 2 2 4" xfId="35071"/>
    <cellStyle name="Normal 4 3 3 2 3 3 2 3" xfId="35072"/>
    <cellStyle name="Normal 4 3 3 2 3 3 2 3 2" xfId="35073"/>
    <cellStyle name="Normal 4 3 3 2 3 3 2 3 2 2" xfId="35074"/>
    <cellStyle name="Normal 4 3 3 2 3 3 2 3 3" xfId="35075"/>
    <cellStyle name="Normal 4 3 3 2 3 3 2 4" xfId="35076"/>
    <cellStyle name="Normal 4 3 3 2 3 3 2 4 2" xfId="35077"/>
    <cellStyle name="Normal 4 3 3 2 3 3 2 5" xfId="35078"/>
    <cellStyle name="Normal 4 3 3 2 3 3 3" xfId="3613"/>
    <cellStyle name="Normal 4 3 3 2 3 3 3 2" xfId="35079"/>
    <cellStyle name="Normal 4 3 3 2 3 3 3 2 2" xfId="35080"/>
    <cellStyle name="Normal 4 3 3 2 3 3 3 2 2 2" xfId="35081"/>
    <cellStyle name="Normal 4 3 3 2 3 3 3 2 3" xfId="35082"/>
    <cellStyle name="Normal 4 3 3 2 3 3 3 3" xfId="35083"/>
    <cellStyle name="Normal 4 3 3 2 3 3 3 3 2" xfId="35084"/>
    <cellStyle name="Normal 4 3 3 2 3 3 3 4" xfId="35085"/>
    <cellStyle name="Normal 4 3 3 2 3 3 4" xfId="35086"/>
    <cellStyle name="Normal 4 3 3 2 3 3 4 2" xfId="35087"/>
    <cellStyle name="Normal 4 3 3 2 3 3 4 2 2" xfId="35088"/>
    <cellStyle name="Normal 4 3 3 2 3 3 4 3" xfId="35089"/>
    <cellStyle name="Normal 4 3 3 2 3 3 5" xfId="35090"/>
    <cellStyle name="Normal 4 3 3 2 3 3 5 2" xfId="35091"/>
    <cellStyle name="Normal 4 3 3 2 3 3 6" xfId="35092"/>
    <cellStyle name="Normal 4 3 3 2 3 4" xfId="1573"/>
    <cellStyle name="Normal 4 3 3 2 3 4 2" xfId="4293"/>
    <cellStyle name="Normal 4 3 3 2 3 4 2 2" xfId="35093"/>
    <cellStyle name="Normal 4 3 3 2 3 4 2 2 2" xfId="35094"/>
    <cellStyle name="Normal 4 3 3 2 3 4 2 2 2 2" xfId="35095"/>
    <cellStyle name="Normal 4 3 3 2 3 4 2 2 3" xfId="35096"/>
    <cellStyle name="Normal 4 3 3 2 3 4 2 3" xfId="35097"/>
    <cellStyle name="Normal 4 3 3 2 3 4 2 3 2" xfId="35098"/>
    <cellStyle name="Normal 4 3 3 2 3 4 2 4" xfId="35099"/>
    <cellStyle name="Normal 4 3 3 2 3 4 3" xfId="35100"/>
    <cellStyle name="Normal 4 3 3 2 3 4 3 2" xfId="35101"/>
    <cellStyle name="Normal 4 3 3 2 3 4 3 2 2" xfId="35102"/>
    <cellStyle name="Normal 4 3 3 2 3 4 3 3" xfId="35103"/>
    <cellStyle name="Normal 4 3 3 2 3 4 4" xfId="35104"/>
    <cellStyle name="Normal 4 3 3 2 3 4 4 2" xfId="35105"/>
    <cellStyle name="Normal 4 3 3 2 3 4 5" xfId="35106"/>
    <cellStyle name="Normal 4 3 3 2 3 5" xfId="2933"/>
    <cellStyle name="Normal 4 3 3 2 3 5 2" xfId="35107"/>
    <cellStyle name="Normal 4 3 3 2 3 5 2 2" xfId="35108"/>
    <cellStyle name="Normal 4 3 3 2 3 5 2 2 2" xfId="35109"/>
    <cellStyle name="Normal 4 3 3 2 3 5 2 3" xfId="35110"/>
    <cellStyle name="Normal 4 3 3 2 3 5 3" xfId="35111"/>
    <cellStyle name="Normal 4 3 3 2 3 5 3 2" xfId="35112"/>
    <cellStyle name="Normal 4 3 3 2 3 5 4" xfId="35113"/>
    <cellStyle name="Normal 4 3 3 2 3 6" xfId="35114"/>
    <cellStyle name="Normal 4 3 3 2 3 6 2" xfId="35115"/>
    <cellStyle name="Normal 4 3 3 2 3 6 2 2" xfId="35116"/>
    <cellStyle name="Normal 4 3 3 2 3 6 3" xfId="35117"/>
    <cellStyle name="Normal 4 3 3 2 3 7" xfId="35118"/>
    <cellStyle name="Normal 4 3 3 2 3 7 2" xfId="35119"/>
    <cellStyle name="Normal 4 3 3 2 3 8" xfId="35120"/>
    <cellStyle name="Normal 4 3 3 2 4" xfId="349"/>
    <cellStyle name="Normal 4 3 3 2 4 2" xfId="1029"/>
    <cellStyle name="Normal 4 3 3 2 4 2 2" xfId="2389"/>
    <cellStyle name="Normal 4 3 3 2 4 2 2 2" xfId="5109"/>
    <cellStyle name="Normal 4 3 3 2 4 2 2 2 2" xfId="35121"/>
    <cellStyle name="Normal 4 3 3 2 4 2 2 2 2 2" xfId="35122"/>
    <cellStyle name="Normal 4 3 3 2 4 2 2 2 2 2 2" xfId="35123"/>
    <cellStyle name="Normal 4 3 3 2 4 2 2 2 2 3" xfId="35124"/>
    <cellStyle name="Normal 4 3 3 2 4 2 2 2 3" xfId="35125"/>
    <cellStyle name="Normal 4 3 3 2 4 2 2 2 3 2" xfId="35126"/>
    <cellStyle name="Normal 4 3 3 2 4 2 2 2 4" xfId="35127"/>
    <cellStyle name="Normal 4 3 3 2 4 2 2 3" xfId="35128"/>
    <cellStyle name="Normal 4 3 3 2 4 2 2 3 2" xfId="35129"/>
    <cellStyle name="Normal 4 3 3 2 4 2 2 3 2 2" xfId="35130"/>
    <cellStyle name="Normal 4 3 3 2 4 2 2 3 3" xfId="35131"/>
    <cellStyle name="Normal 4 3 3 2 4 2 2 4" xfId="35132"/>
    <cellStyle name="Normal 4 3 3 2 4 2 2 4 2" xfId="35133"/>
    <cellStyle name="Normal 4 3 3 2 4 2 2 5" xfId="35134"/>
    <cellStyle name="Normal 4 3 3 2 4 2 3" xfId="3749"/>
    <cellStyle name="Normal 4 3 3 2 4 2 3 2" xfId="35135"/>
    <cellStyle name="Normal 4 3 3 2 4 2 3 2 2" xfId="35136"/>
    <cellStyle name="Normal 4 3 3 2 4 2 3 2 2 2" xfId="35137"/>
    <cellStyle name="Normal 4 3 3 2 4 2 3 2 3" xfId="35138"/>
    <cellStyle name="Normal 4 3 3 2 4 2 3 3" xfId="35139"/>
    <cellStyle name="Normal 4 3 3 2 4 2 3 3 2" xfId="35140"/>
    <cellStyle name="Normal 4 3 3 2 4 2 3 4" xfId="35141"/>
    <cellStyle name="Normal 4 3 3 2 4 2 4" xfId="35142"/>
    <cellStyle name="Normal 4 3 3 2 4 2 4 2" xfId="35143"/>
    <cellStyle name="Normal 4 3 3 2 4 2 4 2 2" xfId="35144"/>
    <cellStyle name="Normal 4 3 3 2 4 2 4 3" xfId="35145"/>
    <cellStyle name="Normal 4 3 3 2 4 2 5" xfId="35146"/>
    <cellStyle name="Normal 4 3 3 2 4 2 5 2" xfId="35147"/>
    <cellStyle name="Normal 4 3 3 2 4 2 6" xfId="35148"/>
    <cellStyle name="Normal 4 3 3 2 4 3" xfId="1709"/>
    <cellStyle name="Normal 4 3 3 2 4 3 2" xfId="4429"/>
    <cellStyle name="Normal 4 3 3 2 4 3 2 2" xfId="35149"/>
    <cellStyle name="Normal 4 3 3 2 4 3 2 2 2" xfId="35150"/>
    <cellStyle name="Normal 4 3 3 2 4 3 2 2 2 2" xfId="35151"/>
    <cellStyle name="Normal 4 3 3 2 4 3 2 2 3" xfId="35152"/>
    <cellStyle name="Normal 4 3 3 2 4 3 2 3" xfId="35153"/>
    <cellStyle name="Normal 4 3 3 2 4 3 2 3 2" xfId="35154"/>
    <cellStyle name="Normal 4 3 3 2 4 3 2 4" xfId="35155"/>
    <cellStyle name="Normal 4 3 3 2 4 3 3" xfId="35156"/>
    <cellStyle name="Normal 4 3 3 2 4 3 3 2" xfId="35157"/>
    <cellStyle name="Normal 4 3 3 2 4 3 3 2 2" xfId="35158"/>
    <cellStyle name="Normal 4 3 3 2 4 3 3 3" xfId="35159"/>
    <cellStyle name="Normal 4 3 3 2 4 3 4" xfId="35160"/>
    <cellStyle name="Normal 4 3 3 2 4 3 4 2" xfId="35161"/>
    <cellStyle name="Normal 4 3 3 2 4 3 5" xfId="35162"/>
    <cellStyle name="Normal 4 3 3 2 4 4" xfId="3069"/>
    <cellStyle name="Normal 4 3 3 2 4 4 2" xfId="35163"/>
    <cellStyle name="Normal 4 3 3 2 4 4 2 2" xfId="35164"/>
    <cellStyle name="Normal 4 3 3 2 4 4 2 2 2" xfId="35165"/>
    <cellStyle name="Normal 4 3 3 2 4 4 2 3" xfId="35166"/>
    <cellStyle name="Normal 4 3 3 2 4 4 3" xfId="35167"/>
    <cellStyle name="Normal 4 3 3 2 4 4 3 2" xfId="35168"/>
    <cellStyle name="Normal 4 3 3 2 4 4 4" xfId="35169"/>
    <cellStyle name="Normal 4 3 3 2 4 5" xfId="35170"/>
    <cellStyle name="Normal 4 3 3 2 4 5 2" xfId="35171"/>
    <cellStyle name="Normal 4 3 3 2 4 5 2 2" xfId="35172"/>
    <cellStyle name="Normal 4 3 3 2 4 5 3" xfId="35173"/>
    <cellStyle name="Normal 4 3 3 2 4 6" xfId="35174"/>
    <cellStyle name="Normal 4 3 3 2 4 6 2" xfId="35175"/>
    <cellStyle name="Normal 4 3 3 2 4 7" xfId="35176"/>
    <cellStyle name="Normal 4 3 3 2 5" xfId="621"/>
    <cellStyle name="Normal 4 3 3 2 5 2" xfId="1301"/>
    <cellStyle name="Normal 4 3 3 2 5 2 2" xfId="2661"/>
    <cellStyle name="Normal 4 3 3 2 5 2 2 2" xfId="5381"/>
    <cellStyle name="Normal 4 3 3 2 5 2 2 2 2" xfId="35177"/>
    <cellStyle name="Normal 4 3 3 2 5 2 2 2 2 2" xfId="35178"/>
    <cellStyle name="Normal 4 3 3 2 5 2 2 2 2 2 2" xfId="35179"/>
    <cellStyle name="Normal 4 3 3 2 5 2 2 2 2 3" xfId="35180"/>
    <cellStyle name="Normal 4 3 3 2 5 2 2 2 3" xfId="35181"/>
    <cellStyle name="Normal 4 3 3 2 5 2 2 2 3 2" xfId="35182"/>
    <cellStyle name="Normal 4 3 3 2 5 2 2 2 4" xfId="35183"/>
    <cellStyle name="Normal 4 3 3 2 5 2 2 3" xfId="35184"/>
    <cellStyle name="Normal 4 3 3 2 5 2 2 3 2" xfId="35185"/>
    <cellStyle name="Normal 4 3 3 2 5 2 2 3 2 2" xfId="35186"/>
    <cellStyle name="Normal 4 3 3 2 5 2 2 3 3" xfId="35187"/>
    <cellStyle name="Normal 4 3 3 2 5 2 2 4" xfId="35188"/>
    <cellStyle name="Normal 4 3 3 2 5 2 2 4 2" xfId="35189"/>
    <cellStyle name="Normal 4 3 3 2 5 2 2 5" xfId="35190"/>
    <cellStyle name="Normal 4 3 3 2 5 2 3" xfId="4021"/>
    <cellStyle name="Normal 4 3 3 2 5 2 3 2" xfId="35191"/>
    <cellStyle name="Normal 4 3 3 2 5 2 3 2 2" xfId="35192"/>
    <cellStyle name="Normal 4 3 3 2 5 2 3 2 2 2" xfId="35193"/>
    <cellStyle name="Normal 4 3 3 2 5 2 3 2 3" xfId="35194"/>
    <cellStyle name="Normal 4 3 3 2 5 2 3 3" xfId="35195"/>
    <cellStyle name="Normal 4 3 3 2 5 2 3 3 2" xfId="35196"/>
    <cellStyle name="Normal 4 3 3 2 5 2 3 4" xfId="35197"/>
    <cellStyle name="Normal 4 3 3 2 5 2 4" xfId="35198"/>
    <cellStyle name="Normal 4 3 3 2 5 2 4 2" xfId="35199"/>
    <cellStyle name="Normal 4 3 3 2 5 2 4 2 2" xfId="35200"/>
    <cellStyle name="Normal 4 3 3 2 5 2 4 3" xfId="35201"/>
    <cellStyle name="Normal 4 3 3 2 5 2 5" xfId="35202"/>
    <cellStyle name="Normal 4 3 3 2 5 2 5 2" xfId="35203"/>
    <cellStyle name="Normal 4 3 3 2 5 2 6" xfId="35204"/>
    <cellStyle name="Normal 4 3 3 2 5 3" xfId="1981"/>
    <cellStyle name="Normal 4 3 3 2 5 3 2" xfId="4701"/>
    <cellStyle name="Normal 4 3 3 2 5 3 2 2" xfId="35205"/>
    <cellStyle name="Normal 4 3 3 2 5 3 2 2 2" xfId="35206"/>
    <cellStyle name="Normal 4 3 3 2 5 3 2 2 2 2" xfId="35207"/>
    <cellStyle name="Normal 4 3 3 2 5 3 2 2 3" xfId="35208"/>
    <cellStyle name="Normal 4 3 3 2 5 3 2 3" xfId="35209"/>
    <cellStyle name="Normal 4 3 3 2 5 3 2 3 2" xfId="35210"/>
    <cellStyle name="Normal 4 3 3 2 5 3 2 4" xfId="35211"/>
    <cellStyle name="Normal 4 3 3 2 5 3 3" xfId="35212"/>
    <cellStyle name="Normal 4 3 3 2 5 3 3 2" xfId="35213"/>
    <cellStyle name="Normal 4 3 3 2 5 3 3 2 2" xfId="35214"/>
    <cellStyle name="Normal 4 3 3 2 5 3 3 3" xfId="35215"/>
    <cellStyle name="Normal 4 3 3 2 5 3 4" xfId="35216"/>
    <cellStyle name="Normal 4 3 3 2 5 3 4 2" xfId="35217"/>
    <cellStyle name="Normal 4 3 3 2 5 3 5" xfId="35218"/>
    <cellStyle name="Normal 4 3 3 2 5 4" xfId="3341"/>
    <cellStyle name="Normal 4 3 3 2 5 4 2" xfId="35219"/>
    <cellStyle name="Normal 4 3 3 2 5 4 2 2" xfId="35220"/>
    <cellStyle name="Normal 4 3 3 2 5 4 2 2 2" xfId="35221"/>
    <cellStyle name="Normal 4 3 3 2 5 4 2 3" xfId="35222"/>
    <cellStyle name="Normal 4 3 3 2 5 4 3" xfId="35223"/>
    <cellStyle name="Normal 4 3 3 2 5 4 3 2" xfId="35224"/>
    <cellStyle name="Normal 4 3 3 2 5 4 4" xfId="35225"/>
    <cellStyle name="Normal 4 3 3 2 5 5" xfId="35226"/>
    <cellStyle name="Normal 4 3 3 2 5 5 2" xfId="35227"/>
    <cellStyle name="Normal 4 3 3 2 5 5 2 2" xfId="35228"/>
    <cellStyle name="Normal 4 3 3 2 5 5 3" xfId="35229"/>
    <cellStyle name="Normal 4 3 3 2 5 6" xfId="35230"/>
    <cellStyle name="Normal 4 3 3 2 5 6 2" xfId="35231"/>
    <cellStyle name="Normal 4 3 3 2 5 7" xfId="35232"/>
    <cellStyle name="Normal 4 3 3 2 6" xfId="757"/>
    <cellStyle name="Normal 4 3 3 2 6 2" xfId="2117"/>
    <cellStyle name="Normal 4 3 3 2 6 2 2" xfId="4837"/>
    <cellStyle name="Normal 4 3 3 2 6 2 2 2" xfId="35233"/>
    <cellStyle name="Normal 4 3 3 2 6 2 2 2 2" xfId="35234"/>
    <cellStyle name="Normal 4 3 3 2 6 2 2 2 2 2" xfId="35235"/>
    <cellStyle name="Normal 4 3 3 2 6 2 2 2 3" xfId="35236"/>
    <cellStyle name="Normal 4 3 3 2 6 2 2 3" xfId="35237"/>
    <cellStyle name="Normal 4 3 3 2 6 2 2 3 2" xfId="35238"/>
    <cellStyle name="Normal 4 3 3 2 6 2 2 4" xfId="35239"/>
    <cellStyle name="Normal 4 3 3 2 6 2 3" xfId="35240"/>
    <cellStyle name="Normal 4 3 3 2 6 2 3 2" xfId="35241"/>
    <cellStyle name="Normal 4 3 3 2 6 2 3 2 2" xfId="35242"/>
    <cellStyle name="Normal 4 3 3 2 6 2 3 3" xfId="35243"/>
    <cellStyle name="Normal 4 3 3 2 6 2 4" xfId="35244"/>
    <cellStyle name="Normal 4 3 3 2 6 2 4 2" xfId="35245"/>
    <cellStyle name="Normal 4 3 3 2 6 2 5" xfId="35246"/>
    <cellStyle name="Normal 4 3 3 2 6 3" xfId="3477"/>
    <cellStyle name="Normal 4 3 3 2 6 3 2" xfId="35247"/>
    <cellStyle name="Normal 4 3 3 2 6 3 2 2" xfId="35248"/>
    <cellStyle name="Normal 4 3 3 2 6 3 2 2 2" xfId="35249"/>
    <cellStyle name="Normal 4 3 3 2 6 3 2 3" xfId="35250"/>
    <cellStyle name="Normal 4 3 3 2 6 3 3" xfId="35251"/>
    <cellStyle name="Normal 4 3 3 2 6 3 3 2" xfId="35252"/>
    <cellStyle name="Normal 4 3 3 2 6 3 4" xfId="35253"/>
    <cellStyle name="Normal 4 3 3 2 6 4" xfId="35254"/>
    <cellStyle name="Normal 4 3 3 2 6 4 2" xfId="35255"/>
    <cellStyle name="Normal 4 3 3 2 6 4 2 2" xfId="35256"/>
    <cellStyle name="Normal 4 3 3 2 6 4 3" xfId="35257"/>
    <cellStyle name="Normal 4 3 3 2 6 5" xfId="35258"/>
    <cellStyle name="Normal 4 3 3 2 6 5 2" xfId="35259"/>
    <cellStyle name="Normal 4 3 3 2 6 6" xfId="35260"/>
    <cellStyle name="Normal 4 3 3 2 7" xfId="1437"/>
    <cellStyle name="Normal 4 3 3 2 7 2" xfId="4157"/>
    <cellStyle name="Normal 4 3 3 2 7 2 2" xfId="35261"/>
    <cellStyle name="Normal 4 3 3 2 7 2 2 2" xfId="35262"/>
    <cellStyle name="Normal 4 3 3 2 7 2 2 2 2" xfId="35263"/>
    <cellStyle name="Normal 4 3 3 2 7 2 2 3" xfId="35264"/>
    <cellStyle name="Normal 4 3 3 2 7 2 3" xfId="35265"/>
    <cellStyle name="Normal 4 3 3 2 7 2 3 2" xfId="35266"/>
    <cellStyle name="Normal 4 3 3 2 7 2 4" xfId="35267"/>
    <cellStyle name="Normal 4 3 3 2 7 3" xfId="35268"/>
    <cellStyle name="Normal 4 3 3 2 7 3 2" xfId="35269"/>
    <cellStyle name="Normal 4 3 3 2 7 3 2 2" xfId="35270"/>
    <cellStyle name="Normal 4 3 3 2 7 3 3" xfId="35271"/>
    <cellStyle name="Normal 4 3 3 2 7 4" xfId="35272"/>
    <cellStyle name="Normal 4 3 3 2 7 4 2" xfId="35273"/>
    <cellStyle name="Normal 4 3 3 2 7 5" xfId="35274"/>
    <cellStyle name="Normal 4 3 3 2 8" xfId="2797"/>
    <cellStyle name="Normal 4 3 3 2 8 2" xfId="35275"/>
    <cellStyle name="Normal 4 3 3 2 8 2 2" xfId="35276"/>
    <cellStyle name="Normal 4 3 3 2 8 2 2 2" xfId="35277"/>
    <cellStyle name="Normal 4 3 3 2 8 2 3" xfId="35278"/>
    <cellStyle name="Normal 4 3 3 2 8 3" xfId="35279"/>
    <cellStyle name="Normal 4 3 3 2 8 3 2" xfId="35280"/>
    <cellStyle name="Normal 4 3 3 2 8 4" xfId="35281"/>
    <cellStyle name="Normal 4 3 3 2 9" xfId="35282"/>
    <cellStyle name="Normal 4 3 3 2 9 2" xfId="35283"/>
    <cellStyle name="Normal 4 3 3 2 9 2 2" xfId="35284"/>
    <cellStyle name="Normal 4 3 3 2 9 3" xfId="35285"/>
    <cellStyle name="Normal 4 3 3 3" xfId="110"/>
    <cellStyle name="Normal 4 3 3 3 10" xfId="35286"/>
    <cellStyle name="Normal 4 3 3 3 2" xfId="247"/>
    <cellStyle name="Normal 4 3 3 3 2 2" xfId="519"/>
    <cellStyle name="Normal 4 3 3 3 2 2 2" xfId="1199"/>
    <cellStyle name="Normal 4 3 3 3 2 2 2 2" xfId="2559"/>
    <cellStyle name="Normal 4 3 3 3 2 2 2 2 2" xfId="5279"/>
    <cellStyle name="Normal 4 3 3 3 2 2 2 2 2 2" xfId="35287"/>
    <cellStyle name="Normal 4 3 3 3 2 2 2 2 2 2 2" xfId="35288"/>
    <cellStyle name="Normal 4 3 3 3 2 2 2 2 2 2 2 2" xfId="35289"/>
    <cellStyle name="Normal 4 3 3 3 2 2 2 2 2 2 3" xfId="35290"/>
    <cellStyle name="Normal 4 3 3 3 2 2 2 2 2 3" xfId="35291"/>
    <cellStyle name="Normal 4 3 3 3 2 2 2 2 2 3 2" xfId="35292"/>
    <cellStyle name="Normal 4 3 3 3 2 2 2 2 2 4" xfId="35293"/>
    <cellStyle name="Normal 4 3 3 3 2 2 2 2 3" xfId="35294"/>
    <cellStyle name="Normal 4 3 3 3 2 2 2 2 3 2" xfId="35295"/>
    <cellStyle name="Normal 4 3 3 3 2 2 2 2 3 2 2" xfId="35296"/>
    <cellStyle name="Normal 4 3 3 3 2 2 2 2 3 3" xfId="35297"/>
    <cellStyle name="Normal 4 3 3 3 2 2 2 2 4" xfId="35298"/>
    <cellStyle name="Normal 4 3 3 3 2 2 2 2 4 2" xfId="35299"/>
    <cellStyle name="Normal 4 3 3 3 2 2 2 2 5" xfId="35300"/>
    <cellStyle name="Normal 4 3 3 3 2 2 2 3" xfId="3919"/>
    <cellStyle name="Normal 4 3 3 3 2 2 2 3 2" xfId="35301"/>
    <cellStyle name="Normal 4 3 3 3 2 2 2 3 2 2" xfId="35302"/>
    <cellStyle name="Normal 4 3 3 3 2 2 2 3 2 2 2" xfId="35303"/>
    <cellStyle name="Normal 4 3 3 3 2 2 2 3 2 3" xfId="35304"/>
    <cellStyle name="Normal 4 3 3 3 2 2 2 3 3" xfId="35305"/>
    <cellStyle name="Normal 4 3 3 3 2 2 2 3 3 2" xfId="35306"/>
    <cellStyle name="Normal 4 3 3 3 2 2 2 3 4" xfId="35307"/>
    <cellStyle name="Normal 4 3 3 3 2 2 2 4" xfId="35308"/>
    <cellStyle name="Normal 4 3 3 3 2 2 2 4 2" xfId="35309"/>
    <cellStyle name="Normal 4 3 3 3 2 2 2 4 2 2" xfId="35310"/>
    <cellStyle name="Normal 4 3 3 3 2 2 2 4 3" xfId="35311"/>
    <cellStyle name="Normal 4 3 3 3 2 2 2 5" xfId="35312"/>
    <cellStyle name="Normal 4 3 3 3 2 2 2 5 2" xfId="35313"/>
    <cellStyle name="Normal 4 3 3 3 2 2 2 6" xfId="35314"/>
    <cellStyle name="Normal 4 3 3 3 2 2 3" xfId="1879"/>
    <cellStyle name="Normal 4 3 3 3 2 2 3 2" xfId="4599"/>
    <cellStyle name="Normal 4 3 3 3 2 2 3 2 2" xfId="35315"/>
    <cellStyle name="Normal 4 3 3 3 2 2 3 2 2 2" xfId="35316"/>
    <cellStyle name="Normal 4 3 3 3 2 2 3 2 2 2 2" xfId="35317"/>
    <cellStyle name="Normal 4 3 3 3 2 2 3 2 2 3" xfId="35318"/>
    <cellStyle name="Normal 4 3 3 3 2 2 3 2 3" xfId="35319"/>
    <cellStyle name="Normal 4 3 3 3 2 2 3 2 3 2" xfId="35320"/>
    <cellStyle name="Normal 4 3 3 3 2 2 3 2 4" xfId="35321"/>
    <cellStyle name="Normal 4 3 3 3 2 2 3 3" xfId="35322"/>
    <cellStyle name="Normal 4 3 3 3 2 2 3 3 2" xfId="35323"/>
    <cellStyle name="Normal 4 3 3 3 2 2 3 3 2 2" xfId="35324"/>
    <cellStyle name="Normal 4 3 3 3 2 2 3 3 3" xfId="35325"/>
    <cellStyle name="Normal 4 3 3 3 2 2 3 4" xfId="35326"/>
    <cellStyle name="Normal 4 3 3 3 2 2 3 4 2" xfId="35327"/>
    <cellStyle name="Normal 4 3 3 3 2 2 3 5" xfId="35328"/>
    <cellStyle name="Normal 4 3 3 3 2 2 4" xfId="3239"/>
    <cellStyle name="Normal 4 3 3 3 2 2 4 2" xfId="35329"/>
    <cellStyle name="Normal 4 3 3 3 2 2 4 2 2" xfId="35330"/>
    <cellStyle name="Normal 4 3 3 3 2 2 4 2 2 2" xfId="35331"/>
    <cellStyle name="Normal 4 3 3 3 2 2 4 2 3" xfId="35332"/>
    <cellStyle name="Normal 4 3 3 3 2 2 4 3" xfId="35333"/>
    <cellStyle name="Normal 4 3 3 3 2 2 4 3 2" xfId="35334"/>
    <cellStyle name="Normal 4 3 3 3 2 2 4 4" xfId="35335"/>
    <cellStyle name="Normal 4 3 3 3 2 2 5" xfId="35336"/>
    <cellStyle name="Normal 4 3 3 3 2 2 5 2" xfId="35337"/>
    <cellStyle name="Normal 4 3 3 3 2 2 5 2 2" xfId="35338"/>
    <cellStyle name="Normal 4 3 3 3 2 2 5 3" xfId="35339"/>
    <cellStyle name="Normal 4 3 3 3 2 2 6" xfId="35340"/>
    <cellStyle name="Normal 4 3 3 3 2 2 6 2" xfId="35341"/>
    <cellStyle name="Normal 4 3 3 3 2 2 7" xfId="35342"/>
    <cellStyle name="Normal 4 3 3 3 2 3" xfId="927"/>
    <cellStyle name="Normal 4 3 3 3 2 3 2" xfId="2287"/>
    <cellStyle name="Normal 4 3 3 3 2 3 2 2" xfId="5007"/>
    <cellStyle name="Normal 4 3 3 3 2 3 2 2 2" xfId="35343"/>
    <cellStyle name="Normal 4 3 3 3 2 3 2 2 2 2" xfId="35344"/>
    <cellStyle name="Normal 4 3 3 3 2 3 2 2 2 2 2" xfId="35345"/>
    <cellStyle name="Normal 4 3 3 3 2 3 2 2 2 3" xfId="35346"/>
    <cellStyle name="Normal 4 3 3 3 2 3 2 2 3" xfId="35347"/>
    <cellStyle name="Normal 4 3 3 3 2 3 2 2 3 2" xfId="35348"/>
    <cellStyle name="Normal 4 3 3 3 2 3 2 2 4" xfId="35349"/>
    <cellStyle name="Normal 4 3 3 3 2 3 2 3" xfId="35350"/>
    <cellStyle name="Normal 4 3 3 3 2 3 2 3 2" xfId="35351"/>
    <cellStyle name="Normal 4 3 3 3 2 3 2 3 2 2" xfId="35352"/>
    <cellStyle name="Normal 4 3 3 3 2 3 2 3 3" xfId="35353"/>
    <cellStyle name="Normal 4 3 3 3 2 3 2 4" xfId="35354"/>
    <cellStyle name="Normal 4 3 3 3 2 3 2 4 2" xfId="35355"/>
    <cellStyle name="Normal 4 3 3 3 2 3 2 5" xfId="35356"/>
    <cellStyle name="Normal 4 3 3 3 2 3 3" xfId="3647"/>
    <cellStyle name="Normal 4 3 3 3 2 3 3 2" xfId="35357"/>
    <cellStyle name="Normal 4 3 3 3 2 3 3 2 2" xfId="35358"/>
    <cellStyle name="Normal 4 3 3 3 2 3 3 2 2 2" xfId="35359"/>
    <cellStyle name="Normal 4 3 3 3 2 3 3 2 3" xfId="35360"/>
    <cellStyle name="Normal 4 3 3 3 2 3 3 3" xfId="35361"/>
    <cellStyle name="Normal 4 3 3 3 2 3 3 3 2" xfId="35362"/>
    <cellStyle name="Normal 4 3 3 3 2 3 3 4" xfId="35363"/>
    <cellStyle name="Normal 4 3 3 3 2 3 4" xfId="35364"/>
    <cellStyle name="Normal 4 3 3 3 2 3 4 2" xfId="35365"/>
    <cellStyle name="Normal 4 3 3 3 2 3 4 2 2" xfId="35366"/>
    <cellStyle name="Normal 4 3 3 3 2 3 4 3" xfId="35367"/>
    <cellStyle name="Normal 4 3 3 3 2 3 5" xfId="35368"/>
    <cellStyle name="Normal 4 3 3 3 2 3 5 2" xfId="35369"/>
    <cellStyle name="Normal 4 3 3 3 2 3 6" xfId="35370"/>
    <cellStyle name="Normal 4 3 3 3 2 4" xfId="1607"/>
    <cellStyle name="Normal 4 3 3 3 2 4 2" xfId="4327"/>
    <cellStyle name="Normal 4 3 3 3 2 4 2 2" xfId="35371"/>
    <cellStyle name="Normal 4 3 3 3 2 4 2 2 2" xfId="35372"/>
    <cellStyle name="Normal 4 3 3 3 2 4 2 2 2 2" xfId="35373"/>
    <cellStyle name="Normal 4 3 3 3 2 4 2 2 3" xfId="35374"/>
    <cellStyle name="Normal 4 3 3 3 2 4 2 3" xfId="35375"/>
    <cellStyle name="Normal 4 3 3 3 2 4 2 3 2" xfId="35376"/>
    <cellStyle name="Normal 4 3 3 3 2 4 2 4" xfId="35377"/>
    <cellStyle name="Normal 4 3 3 3 2 4 3" xfId="35378"/>
    <cellStyle name="Normal 4 3 3 3 2 4 3 2" xfId="35379"/>
    <cellStyle name="Normal 4 3 3 3 2 4 3 2 2" xfId="35380"/>
    <cellStyle name="Normal 4 3 3 3 2 4 3 3" xfId="35381"/>
    <cellStyle name="Normal 4 3 3 3 2 4 4" xfId="35382"/>
    <cellStyle name="Normal 4 3 3 3 2 4 4 2" xfId="35383"/>
    <cellStyle name="Normal 4 3 3 3 2 4 5" xfId="35384"/>
    <cellStyle name="Normal 4 3 3 3 2 5" xfId="2967"/>
    <cellStyle name="Normal 4 3 3 3 2 5 2" xfId="35385"/>
    <cellStyle name="Normal 4 3 3 3 2 5 2 2" xfId="35386"/>
    <cellStyle name="Normal 4 3 3 3 2 5 2 2 2" xfId="35387"/>
    <cellStyle name="Normal 4 3 3 3 2 5 2 3" xfId="35388"/>
    <cellStyle name="Normal 4 3 3 3 2 5 3" xfId="35389"/>
    <cellStyle name="Normal 4 3 3 3 2 5 3 2" xfId="35390"/>
    <cellStyle name="Normal 4 3 3 3 2 5 4" xfId="35391"/>
    <cellStyle name="Normal 4 3 3 3 2 6" xfId="35392"/>
    <cellStyle name="Normal 4 3 3 3 2 6 2" xfId="35393"/>
    <cellStyle name="Normal 4 3 3 3 2 6 2 2" xfId="35394"/>
    <cellStyle name="Normal 4 3 3 3 2 6 3" xfId="35395"/>
    <cellStyle name="Normal 4 3 3 3 2 7" xfId="35396"/>
    <cellStyle name="Normal 4 3 3 3 2 7 2" xfId="35397"/>
    <cellStyle name="Normal 4 3 3 3 2 8" xfId="35398"/>
    <cellStyle name="Normal 4 3 3 3 3" xfId="383"/>
    <cellStyle name="Normal 4 3 3 3 3 2" xfId="1063"/>
    <cellStyle name="Normal 4 3 3 3 3 2 2" xfId="2423"/>
    <cellStyle name="Normal 4 3 3 3 3 2 2 2" xfId="5143"/>
    <cellStyle name="Normal 4 3 3 3 3 2 2 2 2" xfId="35399"/>
    <cellStyle name="Normal 4 3 3 3 3 2 2 2 2 2" xfId="35400"/>
    <cellStyle name="Normal 4 3 3 3 3 2 2 2 2 2 2" xfId="35401"/>
    <cellStyle name="Normal 4 3 3 3 3 2 2 2 2 3" xfId="35402"/>
    <cellStyle name="Normal 4 3 3 3 3 2 2 2 3" xfId="35403"/>
    <cellStyle name="Normal 4 3 3 3 3 2 2 2 3 2" xfId="35404"/>
    <cellStyle name="Normal 4 3 3 3 3 2 2 2 4" xfId="35405"/>
    <cellStyle name="Normal 4 3 3 3 3 2 2 3" xfId="35406"/>
    <cellStyle name="Normal 4 3 3 3 3 2 2 3 2" xfId="35407"/>
    <cellStyle name="Normal 4 3 3 3 3 2 2 3 2 2" xfId="35408"/>
    <cellStyle name="Normal 4 3 3 3 3 2 2 3 3" xfId="35409"/>
    <cellStyle name="Normal 4 3 3 3 3 2 2 4" xfId="35410"/>
    <cellStyle name="Normal 4 3 3 3 3 2 2 4 2" xfId="35411"/>
    <cellStyle name="Normal 4 3 3 3 3 2 2 5" xfId="35412"/>
    <cellStyle name="Normal 4 3 3 3 3 2 3" xfId="3783"/>
    <cellStyle name="Normal 4 3 3 3 3 2 3 2" xfId="35413"/>
    <cellStyle name="Normal 4 3 3 3 3 2 3 2 2" xfId="35414"/>
    <cellStyle name="Normal 4 3 3 3 3 2 3 2 2 2" xfId="35415"/>
    <cellStyle name="Normal 4 3 3 3 3 2 3 2 3" xfId="35416"/>
    <cellStyle name="Normal 4 3 3 3 3 2 3 3" xfId="35417"/>
    <cellStyle name="Normal 4 3 3 3 3 2 3 3 2" xfId="35418"/>
    <cellStyle name="Normal 4 3 3 3 3 2 3 4" xfId="35419"/>
    <cellStyle name="Normal 4 3 3 3 3 2 4" xfId="35420"/>
    <cellStyle name="Normal 4 3 3 3 3 2 4 2" xfId="35421"/>
    <cellStyle name="Normal 4 3 3 3 3 2 4 2 2" xfId="35422"/>
    <cellStyle name="Normal 4 3 3 3 3 2 4 3" xfId="35423"/>
    <cellStyle name="Normal 4 3 3 3 3 2 5" xfId="35424"/>
    <cellStyle name="Normal 4 3 3 3 3 2 5 2" xfId="35425"/>
    <cellStyle name="Normal 4 3 3 3 3 2 6" xfId="35426"/>
    <cellStyle name="Normal 4 3 3 3 3 3" xfId="1743"/>
    <cellStyle name="Normal 4 3 3 3 3 3 2" xfId="4463"/>
    <cellStyle name="Normal 4 3 3 3 3 3 2 2" xfId="35427"/>
    <cellStyle name="Normal 4 3 3 3 3 3 2 2 2" xfId="35428"/>
    <cellStyle name="Normal 4 3 3 3 3 3 2 2 2 2" xfId="35429"/>
    <cellStyle name="Normal 4 3 3 3 3 3 2 2 3" xfId="35430"/>
    <cellStyle name="Normal 4 3 3 3 3 3 2 3" xfId="35431"/>
    <cellStyle name="Normal 4 3 3 3 3 3 2 3 2" xfId="35432"/>
    <cellStyle name="Normal 4 3 3 3 3 3 2 4" xfId="35433"/>
    <cellStyle name="Normal 4 3 3 3 3 3 3" xfId="35434"/>
    <cellStyle name="Normal 4 3 3 3 3 3 3 2" xfId="35435"/>
    <cellStyle name="Normal 4 3 3 3 3 3 3 2 2" xfId="35436"/>
    <cellStyle name="Normal 4 3 3 3 3 3 3 3" xfId="35437"/>
    <cellStyle name="Normal 4 3 3 3 3 3 4" xfId="35438"/>
    <cellStyle name="Normal 4 3 3 3 3 3 4 2" xfId="35439"/>
    <cellStyle name="Normal 4 3 3 3 3 3 5" xfId="35440"/>
    <cellStyle name="Normal 4 3 3 3 3 4" xfId="3103"/>
    <cellStyle name="Normal 4 3 3 3 3 4 2" xfId="35441"/>
    <cellStyle name="Normal 4 3 3 3 3 4 2 2" xfId="35442"/>
    <cellStyle name="Normal 4 3 3 3 3 4 2 2 2" xfId="35443"/>
    <cellStyle name="Normal 4 3 3 3 3 4 2 3" xfId="35444"/>
    <cellStyle name="Normal 4 3 3 3 3 4 3" xfId="35445"/>
    <cellStyle name="Normal 4 3 3 3 3 4 3 2" xfId="35446"/>
    <cellStyle name="Normal 4 3 3 3 3 4 4" xfId="35447"/>
    <cellStyle name="Normal 4 3 3 3 3 5" xfId="35448"/>
    <cellStyle name="Normal 4 3 3 3 3 5 2" xfId="35449"/>
    <cellStyle name="Normal 4 3 3 3 3 5 2 2" xfId="35450"/>
    <cellStyle name="Normal 4 3 3 3 3 5 3" xfId="35451"/>
    <cellStyle name="Normal 4 3 3 3 3 6" xfId="35452"/>
    <cellStyle name="Normal 4 3 3 3 3 6 2" xfId="35453"/>
    <cellStyle name="Normal 4 3 3 3 3 7" xfId="35454"/>
    <cellStyle name="Normal 4 3 3 3 4" xfId="655"/>
    <cellStyle name="Normal 4 3 3 3 4 2" xfId="1335"/>
    <cellStyle name="Normal 4 3 3 3 4 2 2" xfId="2695"/>
    <cellStyle name="Normal 4 3 3 3 4 2 2 2" xfId="5415"/>
    <cellStyle name="Normal 4 3 3 3 4 2 2 2 2" xfId="35455"/>
    <cellStyle name="Normal 4 3 3 3 4 2 2 2 2 2" xfId="35456"/>
    <cellStyle name="Normal 4 3 3 3 4 2 2 2 2 2 2" xfId="35457"/>
    <cellStyle name="Normal 4 3 3 3 4 2 2 2 2 3" xfId="35458"/>
    <cellStyle name="Normal 4 3 3 3 4 2 2 2 3" xfId="35459"/>
    <cellStyle name="Normal 4 3 3 3 4 2 2 2 3 2" xfId="35460"/>
    <cellStyle name="Normal 4 3 3 3 4 2 2 2 4" xfId="35461"/>
    <cellStyle name="Normal 4 3 3 3 4 2 2 3" xfId="35462"/>
    <cellStyle name="Normal 4 3 3 3 4 2 2 3 2" xfId="35463"/>
    <cellStyle name="Normal 4 3 3 3 4 2 2 3 2 2" xfId="35464"/>
    <cellStyle name="Normal 4 3 3 3 4 2 2 3 3" xfId="35465"/>
    <cellStyle name="Normal 4 3 3 3 4 2 2 4" xfId="35466"/>
    <cellStyle name="Normal 4 3 3 3 4 2 2 4 2" xfId="35467"/>
    <cellStyle name="Normal 4 3 3 3 4 2 2 5" xfId="35468"/>
    <cellStyle name="Normal 4 3 3 3 4 2 3" xfId="4055"/>
    <cellStyle name="Normal 4 3 3 3 4 2 3 2" xfId="35469"/>
    <cellStyle name="Normal 4 3 3 3 4 2 3 2 2" xfId="35470"/>
    <cellStyle name="Normal 4 3 3 3 4 2 3 2 2 2" xfId="35471"/>
    <cellStyle name="Normal 4 3 3 3 4 2 3 2 3" xfId="35472"/>
    <cellStyle name="Normal 4 3 3 3 4 2 3 3" xfId="35473"/>
    <cellStyle name="Normal 4 3 3 3 4 2 3 3 2" xfId="35474"/>
    <cellStyle name="Normal 4 3 3 3 4 2 3 4" xfId="35475"/>
    <cellStyle name="Normal 4 3 3 3 4 2 4" xfId="35476"/>
    <cellStyle name="Normal 4 3 3 3 4 2 4 2" xfId="35477"/>
    <cellStyle name="Normal 4 3 3 3 4 2 4 2 2" xfId="35478"/>
    <cellStyle name="Normal 4 3 3 3 4 2 4 3" xfId="35479"/>
    <cellStyle name="Normal 4 3 3 3 4 2 5" xfId="35480"/>
    <cellStyle name="Normal 4 3 3 3 4 2 5 2" xfId="35481"/>
    <cellStyle name="Normal 4 3 3 3 4 2 6" xfId="35482"/>
    <cellStyle name="Normal 4 3 3 3 4 3" xfId="2015"/>
    <cellStyle name="Normal 4 3 3 3 4 3 2" xfId="4735"/>
    <cellStyle name="Normal 4 3 3 3 4 3 2 2" xfId="35483"/>
    <cellStyle name="Normal 4 3 3 3 4 3 2 2 2" xfId="35484"/>
    <cellStyle name="Normal 4 3 3 3 4 3 2 2 2 2" xfId="35485"/>
    <cellStyle name="Normal 4 3 3 3 4 3 2 2 3" xfId="35486"/>
    <cellStyle name="Normal 4 3 3 3 4 3 2 3" xfId="35487"/>
    <cellStyle name="Normal 4 3 3 3 4 3 2 3 2" xfId="35488"/>
    <cellStyle name="Normal 4 3 3 3 4 3 2 4" xfId="35489"/>
    <cellStyle name="Normal 4 3 3 3 4 3 3" xfId="35490"/>
    <cellStyle name="Normal 4 3 3 3 4 3 3 2" xfId="35491"/>
    <cellStyle name="Normal 4 3 3 3 4 3 3 2 2" xfId="35492"/>
    <cellStyle name="Normal 4 3 3 3 4 3 3 3" xfId="35493"/>
    <cellStyle name="Normal 4 3 3 3 4 3 4" xfId="35494"/>
    <cellStyle name="Normal 4 3 3 3 4 3 4 2" xfId="35495"/>
    <cellStyle name="Normal 4 3 3 3 4 3 5" xfId="35496"/>
    <cellStyle name="Normal 4 3 3 3 4 4" xfId="3375"/>
    <cellStyle name="Normal 4 3 3 3 4 4 2" xfId="35497"/>
    <cellStyle name="Normal 4 3 3 3 4 4 2 2" xfId="35498"/>
    <cellStyle name="Normal 4 3 3 3 4 4 2 2 2" xfId="35499"/>
    <cellStyle name="Normal 4 3 3 3 4 4 2 3" xfId="35500"/>
    <cellStyle name="Normal 4 3 3 3 4 4 3" xfId="35501"/>
    <cellStyle name="Normal 4 3 3 3 4 4 3 2" xfId="35502"/>
    <cellStyle name="Normal 4 3 3 3 4 4 4" xfId="35503"/>
    <cellStyle name="Normal 4 3 3 3 4 5" xfId="35504"/>
    <cellStyle name="Normal 4 3 3 3 4 5 2" xfId="35505"/>
    <cellStyle name="Normal 4 3 3 3 4 5 2 2" xfId="35506"/>
    <cellStyle name="Normal 4 3 3 3 4 5 3" xfId="35507"/>
    <cellStyle name="Normal 4 3 3 3 4 6" xfId="35508"/>
    <cellStyle name="Normal 4 3 3 3 4 6 2" xfId="35509"/>
    <cellStyle name="Normal 4 3 3 3 4 7" xfId="35510"/>
    <cellStyle name="Normal 4 3 3 3 5" xfId="791"/>
    <cellStyle name="Normal 4 3 3 3 5 2" xfId="2151"/>
    <cellStyle name="Normal 4 3 3 3 5 2 2" xfId="4871"/>
    <cellStyle name="Normal 4 3 3 3 5 2 2 2" xfId="35511"/>
    <cellStyle name="Normal 4 3 3 3 5 2 2 2 2" xfId="35512"/>
    <cellStyle name="Normal 4 3 3 3 5 2 2 2 2 2" xfId="35513"/>
    <cellStyle name="Normal 4 3 3 3 5 2 2 2 3" xfId="35514"/>
    <cellStyle name="Normal 4 3 3 3 5 2 2 3" xfId="35515"/>
    <cellStyle name="Normal 4 3 3 3 5 2 2 3 2" xfId="35516"/>
    <cellStyle name="Normal 4 3 3 3 5 2 2 4" xfId="35517"/>
    <cellStyle name="Normal 4 3 3 3 5 2 3" xfId="35518"/>
    <cellStyle name="Normal 4 3 3 3 5 2 3 2" xfId="35519"/>
    <cellStyle name="Normal 4 3 3 3 5 2 3 2 2" xfId="35520"/>
    <cellStyle name="Normal 4 3 3 3 5 2 3 3" xfId="35521"/>
    <cellStyle name="Normal 4 3 3 3 5 2 4" xfId="35522"/>
    <cellStyle name="Normal 4 3 3 3 5 2 4 2" xfId="35523"/>
    <cellStyle name="Normal 4 3 3 3 5 2 5" xfId="35524"/>
    <cellStyle name="Normal 4 3 3 3 5 3" xfId="3511"/>
    <cellStyle name="Normal 4 3 3 3 5 3 2" xfId="35525"/>
    <cellStyle name="Normal 4 3 3 3 5 3 2 2" xfId="35526"/>
    <cellStyle name="Normal 4 3 3 3 5 3 2 2 2" xfId="35527"/>
    <cellStyle name="Normal 4 3 3 3 5 3 2 3" xfId="35528"/>
    <cellStyle name="Normal 4 3 3 3 5 3 3" xfId="35529"/>
    <cellStyle name="Normal 4 3 3 3 5 3 3 2" xfId="35530"/>
    <cellStyle name="Normal 4 3 3 3 5 3 4" xfId="35531"/>
    <cellStyle name="Normal 4 3 3 3 5 4" xfId="35532"/>
    <cellStyle name="Normal 4 3 3 3 5 4 2" xfId="35533"/>
    <cellStyle name="Normal 4 3 3 3 5 4 2 2" xfId="35534"/>
    <cellStyle name="Normal 4 3 3 3 5 4 3" xfId="35535"/>
    <cellStyle name="Normal 4 3 3 3 5 5" xfId="35536"/>
    <cellStyle name="Normal 4 3 3 3 5 5 2" xfId="35537"/>
    <cellStyle name="Normal 4 3 3 3 5 6" xfId="35538"/>
    <cellStyle name="Normal 4 3 3 3 6" xfId="1471"/>
    <cellStyle name="Normal 4 3 3 3 6 2" xfId="4191"/>
    <cellStyle name="Normal 4 3 3 3 6 2 2" xfId="35539"/>
    <cellStyle name="Normal 4 3 3 3 6 2 2 2" xfId="35540"/>
    <cellStyle name="Normal 4 3 3 3 6 2 2 2 2" xfId="35541"/>
    <cellStyle name="Normal 4 3 3 3 6 2 2 3" xfId="35542"/>
    <cellStyle name="Normal 4 3 3 3 6 2 3" xfId="35543"/>
    <cellStyle name="Normal 4 3 3 3 6 2 3 2" xfId="35544"/>
    <cellStyle name="Normal 4 3 3 3 6 2 4" xfId="35545"/>
    <cellStyle name="Normal 4 3 3 3 6 3" xfId="35546"/>
    <cellStyle name="Normal 4 3 3 3 6 3 2" xfId="35547"/>
    <cellStyle name="Normal 4 3 3 3 6 3 2 2" xfId="35548"/>
    <cellStyle name="Normal 4 3 3 3 6 3 3" xfId="35549"/>
    <cellStyle name="Normal 4 3 3 3 6 4" xfId="35550"/>
    <cellStyle name="Normal 4 3 3 3 6 4 2" xfId="35551"/>
    <cellStyle name="Normal 4 3 3 3 6 5" xfId="35552"/>
    <cellStyle name="Normal 4 3 3 3 7" xfId="2831"/>
    <cellStyle name="Normal 4 3 3 3 7 2" xfId="35553"/>
    <cellStyle name="Normal 4 3 3 3 7 2 2" xfId="35554"/>
    <cellStyle name="Normal 4 3 3 3 7 2 2 2" xfId="35555"/>
    <cellStyle name="Normal 4 3 3 3 7 2 3" xfId="35556"/>
    <cellStyle name="Normal 4 3 3 3 7 3" xfId="35557"/>
    <cellStyle name="Normal 4 3 3 3 7 3 2" xfId="35558"/>
    <cellStyle name="Normal 4 3 3 3 7 4" xfId="35559"/>
    <cellStyle name="Normal 4 3 3 3 8" xfId="35560"/>
    <cellStyle name="Normal 4 3 3 3 8 2" xfId="35561"/>
    <cellStyle name="Normal 4 3 3 3 8 2 2" xfId="35562"/>
    <cellStyle name="Normal 4 3 3 3 8 3" xfId="35563"/>
    <cellStyle name="Normal 4 3 3 3 9" xfId="35564"/>
    <cellStyle name="Normal 4 3 3 3 9 2" xfId="35565"/>
    <cellStyle name="Normal 4 3 3 4" xfId="179"/>
    <cellStyle name="Normal 4 3 3 4 2" xfId="451"/>
    <cellStyle name="Normal 4 3 3 4 2 2" xfId="1131"/>
    <cellStyle name="Normal 4 3 3 4 2 2 2" xfId="2491"/>
    <cellStyle name="Normal 4 3 3 4 2 2 2 2" xfId="5211"/>
    <cellStyle name="Normal 4 3 3 4 2 2 2 2 2" xfId="35566"/>
    <cellStyle name="Normal 4 3 3 4 2 2 2 2 2 2" xfId="35567"/>
    <cellStyle name="Normal 4 3 3 4 2 2 2 2 2 2 2" xfId="35568"/>
    <cellStyle name="Normal 4 3 3 4 2 2 2 2 2 3" xfId="35569"/>
    <cellStyle name="Normal 4 3 3 4 2 2 2 2 3" xfId="35570"/>
    <cellStyle name="Normal 4 3 3 4 2 2 2 2 3 2" xfId="35571"/>
    <cellStyle name="Normal 4 3 3 4 2 2 2 2 4" xfId="35572"/>
    <cellStyle name="Normal 4 3 3 4 2 2 2 3" xfId="35573"/>
    <cellStyle name="Normal 4 3 3 4 2 2 2 3 2" xfId="35574"/>
    <cellStyle name="Normal 4 3 3 4 2 2 2 3 2 2" xfId="35575"/>
    <cellStyle name="Normal 4 3 3 4 2 2 2 3 3" xfId="35576"/>
    <cellStyle name="Normal 4 3 3 4 2 2 2 4" xfId="35577"/>
    <cellStyle name="Normal 4 3 3 4 2 2 2 4 2" xfId="35578"/>
    <cellStyle name="Normal 4 3 3 4 2 2 2 5" xfId="35579"/>
    <cellStyle name="Normal 4 3 3 4 2 2 3" xfId="3851"/>
    <cellStyle name="Normal 4 3 3 4 2 2 3 2" xfId="35580"/>
    <cellStyle name="Normal 4 3 3 4 2 2 3 2 2" xfId="35581"/>
    <cellStyle name="Normal 4 3 3 4 2 2 3 2 2 2" xfId="35582"/>
    <cellStyle name="Normal 4 3 3 4 2 2 3 2 3" xfId="35583"/>
    <cellStyle name="Normal 4 3 3 4 2 2 3 3" xfId="35584"/>
    <cellStyle name="Normal 4 3 3 4 2 2 3 3 2" xfId="35585"/>
    <cellStyle name="Normal 4 3 3 4 2 2 3 4" xfId="35586"/>
    <cellStyle name="Normal 4 3 3 4 2 2 4" xfId="35587"/>
    <cellStyle name="Normal 4 3 3 4 2 2 4 2" xfId="35588"/>
    <cellStyle name="Normal 4 3 3 4 2 2 4 2 2" xfId="35589"/>
    <cellStyle name="Normal 4 3 3 4 2 2 4 3" xfId="35590"/>
    <cellStyle name="Normal 4 3 3 4 2 2 5" xfId="35591"/>
    <cellStyle name="Normal 4 3 3 4 2 2 5 2" xfId="35592"/>
    <cellStyle name="Normal 4 3 3 4 2 2 6" xfId="35593"/>
    <cellStyle name="Normal 4 3 3 4 2 3" xfId="1811"/>
    <cellStyle name="Normal 4 3 3 4 2 3 2" xfId="4531"/>
    <cellStyle name="Normal 4 3 3 4 2 3 2 2" xfId="35594"/>
    <cellStyle name="Normal 4 3 3 4 2 3 2 2 2" xfId="35595"/>
    <cellStyle name="Normal 4 3 3 4 2 3 2 2 2 2" xfId="35596"/>
    <cellStyle name="Normal 4 3 3 4 2 3 2 2 3" xfId="35597"/>
    <cellStyle name="Normal 4 3 3 4 2 3 2 3" xfId="35598"/>
    <cellStyle name="Normal 4 3 3 4 2 3 2 3 2" xfId="35599"/>
    <cellStyle name="Normal 4 3 3 4 2 3 2 4" xfId="35600"/>
    <cellStyle name="Normal 4 3 3 4 2 3 3" xfId="35601"/>
    <cellStyle name="Normal 4 3 3 4 2 3 3 2" xfId="35602"/>
    <cellStyle name="Normal 4 3 3 4 2 3 3 2 2" xfId="35603"/>
    <cellStyle name="Normal 4 3 3 4 2 3 3 3" xfId="35604"/>
    <cellStyle name="Normal 4 3 3 4 2 3 4" xfId="35605"/>
    <cellStyle name="Normal 4 3 3 4 2 3 4 2" xfId="35606"/>
    <cellStyle name="Normal 4 3 3 4 2 3 5" xfId="35607"/>
    <cellStyle name="Normal 4 3 3 4 2 4" xfId="3171"/>
    <cellStyle name="Normal 4 3 3 4 2 4 2" xfId="35608"/>
    <cellStyle name="Normal 4 3 3 4 2 4 2 2" xfId="35609"/>
    <cellStyle name="Normal 4 3 3 4 2 4 2 2 2" xfId="35610"/>
    <cellStyle name="Normal 4 3 3 4 2 4 2 3" xfId="35611"/>
    <cellStyle name="Normal 4 3 3 4 2 4 3" xfId="35612"/>
    <cellStyle name="Normal 4 3 3 4 2 4 3 2" xfId="35613"/>
    <cellStyle name="Normal 4 3 3 4 2 4 4" xfId="35614"/>
    <cellStyle name="Normal 4 3 3 4 2 5" xfId="35615"/>
    <cellStyle name="Normal 4 3 3 4 2 5 2" xfId="35616"/>
    <cellStyle name="Normal 4 3 3 4 2 5 2 2" xfId="35617"/>
    <cellStyle name="Normal 4 3 3 4 2 5 3" xfId="35618"/>
    <cellStyle name="Normal 4 3 3 4 2 6" xfId="35619"/>
    <cellStyle name="Normal 4 3 3 4 2 6 2" xfId="35620"/>
    <cellStyle name="Normal 4 3 3 4 2 7" xfId="35621"/>
    <cellStyle name="Normal 4 3 3 4 3" xfId="859"/>
    <cellStyle name="Normal 4 3 3 4 3 2" xfId="2219"/>
    <cellStyle name="Normal 4 3 3 4 3 2 2" xfId="4939"/>
    <cellStyle name="Normal 4 3 3 4 3 2 2 2" xfId="35622"/>
    <cellStyle name="Normal 4 3 3 4 3 2 2 2 2" xfId="35623"/>
    <cellStyle name="Normal 4 3 3 4 3 2 2 2 2 2" xfId="35624"/>
    <cellStyle name="Normal 4 3 3 4 3 2 2 2 3" xfId="35625"/>
    <cellStyle name="Normal 4 3 3 4 3 2 2 3" xfId="35626"/>
    <cellStyle name="Normal 4 3 3 4 3 2 2 3 2" xfId="35627"/>
    <cellStyle name="Normal 4 3 3 4 3 2 2 4" xfId="35628"/>
    <cellStyle name="Normal 4 3 3 4 3 2 3" xfId="35629"/>
    <cellStyle name="Normal 4 3 3 4 3 2 3 2" xfId="35630"/>
    <cellStyle name="Normal 4 3 3 4 3 2 3 2 2" xfId="35631"/>
    <cellStyle name="Normal 4 3 3 4 3 2 3 3" xfId="35632"/>
    <cellStyle name="Normal 4 3 3 4 3 2 4" xfId="35633"/>
    <cellStyle name="Normal 4 3 3 4 3 2 4 2" xfId="35634"/>
    <cellStyle name="Normal 4 3 3 4 3 2 5" xfId="35635"/>
    <cellStyle name="Normal 4 3 3 4 3 3" xfId="3579"/>
    <cellStyle name="Normal 4 3 3 4 3 3 2" xfId="35636"/>
    <cellStyle name="Normal 4 3 3 4 3 3 2 2" xfId="35637"/>
    <cellStyle name="Normal 4 3 3 4 3 3 2 2 2" xfId="35638"/>
    <cellStyle name="Normal 4 3 3 4 3 3 2 3" xfId="35639"/>
    <cellStyle name="Normal 4 3 3 4 3 3 3" xfId="35640"/>
    <cellStyle name="Normal 4 3 3 4 3 3 3 2" xfId="35641"/>
    <cellStyle name="Normal 4 3 3 4 3 3 4" xfId="35642"/>
    <cellStyle name="Normal 4 3 3 4 3 4" xfId="35643"/>
    <cellStyle name="Normal 4 3 3 4 3 4 2" xfId="35644"/>
    <cellStyle name="Normal 4 3 3 4 3 4 2 2" xfId="35645"/>
    <cellStyle name="Normal 4 3 3 4 3 4 3" xfId="35646"/>
    <cellStyle name="Normal 4 3 3 4 3 5" xfId="35647"/>
    <cellStyle name="Normal 4 3 3 4 3 5 2" xfId="35648"/>
    <cellStyle name="Normal 4 3 3 4 3 6" xfId="35649"/>
    <cellStyle name="Normal 4 3 3 4 4" xfId="1539"/>
    <cellStyle name="Normal 4 3 3 4 4 2" xfId="4259"/>
    <cellStyle name="Normal 4 3 3 4 4 2 2" xfId="35650"/>
    <cellStyle name="Normal 4 3 3 4 4 2 2 2" xfId="35651"/>
    <cellStyle name="Normal 4 3 3 4 4 2 2 2 2" xfId="35652"/>
    <cellStyle name="Normal 4 3 3 4 4 2 2 3" xfId="35653"/>
    <cellStyle name="Normal 4 3 3 4 4 2 3" xfId="35654"/>
    <cellStyle name="Normal 4 3 3 4 4 2 3 2" xfId="35655"/>
    <cellStyle name="Normal 4 3 3 4 4 2 4" xfId="35656"/>
    <cellStyle name="Normal 4 3 3 4 4 3" xfId="35657"/>
    <cellStyle name="Normal 4 3 3 4 4 3 2" xfId="35658"/>
    <cellStyle name="Normal 4 3 3 4 4 3 2 2" xfId="35659"/>
    <cellStyle name="Normal 4 3 3 4 4 3 3" xfId="35660"/>
    <cellStyle name="Normal 4 3 3 4 4 4" xfId="35661"/>
    <cellStyle name="Normal 4 3 3 4 4 4 2" xfId="35662"/>
    <cellStyle name="Normal 4 3 3 4 4 5" xfId="35663"/>
    <cellStyle name="Normal 4 3 3 4 5" xfId="2899"/>
    <cellStyle name="Normal 4 3 3 4 5 2" xfId="35664"/>
    <cellStyle name="Normal 4 3 3 4 5 2 2" xfId="35665"/>
    <cellStyle name="Normal 4 3 3 4 5 2 2 2" xfId="35666"/>
    <cellStyle name="Normal 4 3 3 4 5 2 3" xfId="35667"/>
    <cellStyle name="Normal 4 3 3 4 5 3" xfId="35668"/>
    <cellStyle name="Normal 4 3 3 4 5 3 2" xfId="35669"/>
    <cellStyle name="Normal 4 3 3 4 5 4" xfId="35670"/>
    <cellStyle name="Normal 4 3 3 4 6" xfId="35671"/>
    <cellStyle name="Normal 4 3 3 4 6 2" xfId="35672"/>
    <cellStyle name="Normal 4 3 3 4 6 2 2" xfId="35673"/>
    <cellStyle name="Normal 4 3 3 4 6 3" xfId="35674"/>
    <cellStyle name="Normal 4 3 3 4 7" xfId="35675"/>
    <cellStyle name="Normal 4 3 3 4 7 2" xfId="35676"/>
    <cellStyle name="Normal 4 3 3 4 8" xfId="35677"/>
    <cellStyle name="Normal 4 3 3 5" xfId="315"/>
    <cellStyle name="Normal 4 3 3 5 2" xfId="995"/>
    <cellStyle name="Normal 4 3 3 5 2 2" xfId="2355"/>
    <cellStyle name="Normal 4 3 3 5 2 2 2" xfId="5075"/>
    <cellStyle name="Normal 4 3 3 5 2 2 2 2" xfId="35678"/>
    <cellStyle name="Normal 4 3 3 5 2 2 2 2 2" xfId="35679"/>
    <cellStyle name="Normal 4 3 3 5 2 2 2 2 2 2" xfId="35680"/>
    <cellStyle name="Normal 4 3 3 5 2 2 2 2 3" xfId="35681"/>
    <cellStyle name="Normal 4 3 3 5 2 2 2 3" xfId="35682"/>
    <cellStyle name="Normal 4 3 3 5 2 2 2 3 2" xfId="35683"/>
    <cellStyle name="Normal 4 3 3 5 2 2 2 4" xfId="35684"/>
    <cellStyle name="Normal 4 3 3 5 2 2 3" xfId="35685"/>
    <cellStyle name="Normal 4 3 3 5 2 2 3 2" xfId="35686"/>
    <cellStyle name="Normal 4 3 3 5 2 2 3 2 2" xfId="35687"/>
    <cellStyle name="Normal 4 3 3 5 2 2 3 3" xfId="35688"/>
    <cellStyle name="Normal 4 3 3 5 2 2 4" xfId="35689"/>
    <cellStyle name="Normal 4 3 3 5 2 2 4 2" xfId="35690"/>
    <cellStyle name="Normal 4 3 3 5 2 2 5" xfId="35691"/>
    <cellStyle name="Normal 4 3 3 5 2 3" xfId="3715"/>
    <cellStyle name="Normal 4 3 3 5 2 3 2" xfId="35692"/>
    <cellStyle name="Normal 4 3 3 5 2 3 2 2" xfId="35693"/>
    <cellStyle name="Normal 4 3 3 5 2 3 2 2 2" xfId="35694"/>
    <cellStyle name="Normal 4 3 3 5 2 3 2 3" xfId="35695"/>
    <cellStyle name="Normal 4 3 3 5 2 3 3" xfId="35696"/>
    <cellStyle name="Normal 4 3 3 5 2 3 3 2" xfId="35697"/>
    <cellStyle name="Normal 4 3 3 5 2 3 4" xfId="35698"/>
    <cellStyle name="Normal 4 3 3 5 2 4" xfId="35699"/>
    <cellStyle name="Normal 4 3 3 5 2 4 2" xfId="35700"/>
    <cellStyle name="Normal 4 3 3 5 2 4 2 2" xfId="35701"/>
    <cellStyle name="Normal 4 3 3 5 2 4 3" xfId="35702"/>
    <cellStyle name="Normal 4 3 3 5 2 5" xfId="35703"/>
    <cellStyle name="Normal 4 3 3 5 2 5 2" xfId="35704"/>
    <cellStyle name="Normal 4 3 3 5 2 6" xfId="35705"/>
    <cellStyle name="Normal 4 3 3 5 3" xfId="1675"/>
    <cellStyle name="Normal 4 3 3 5 3 2" xfId="4395"/>
    <cellStyle name="Normal 4 3 3 5 3 2 2" xfId="35706"/>
    <cellStyle name="Normal 4 3 3 5 3 2 2 2" xfId="35707"/>
    <cellStyle name="Normal 4 3 3 5 3 2 2 2 2" xfId="35708"/>
    <cellStyle name="Normal 4 3 3 5 3 2 2 3" xfId="35709"/>
    <cellStyle name="Normal 4 3 3 5 3 2 3" xfId="35710"/>
    <cellStyle name="Normal 4 3 3 5 3 2 3 2" xfId="35711"/>
    <cellStyle name="Normal 4 3 3 5 3 2 4" xfId="35712"/>
    <cellStyle name="Normal 4 3 3 5 3 3" xfId="35713"/>
    <cellStyle name="Normal 4 3 3 5 3 3 2" xfId="35714"/>
    <cellStyle name="Normal 4 3 3 5 3 3 2 2" xfId="35715"/>
    <cellStyle name="Normal 4 3 3 5 3 3 3" xfId="35716"/>
    <cellStyle name="Normal 4 3 3 5 3 4" xfId="35717"/>
    <cellStyle name="Normal 4 3 3 5 3 4 2" xfId="35718"/>
    <cellStyle name="Normal 4 3 3 5 3 5" xfId="35719"/>
    <cellStyle name="Normal 4 3 3 5 4" xfId="3035"/>
    <cellStyle name="Normal 4 3 3 5 4 2" xfId="35720"/>
    <cellStyle name="Normal 4 3 3 5 4 2 2" xfId="35721"/>
    <cellStyle name="Normal 4 3 3 5 4 2 2 2" xfId="35722"/>
    <cellStyle name="Normal 4 3 3 5 4 2 3" xfId="35723"/>
    <cellStyle name="Normal 4 3 3 5 4 3" xfId="35724"/>
    <cellStyle name="Normal 4 3 3 5 4 3 2" xfId="35725"/>
    <cellStyle name="Normal 4 3 3 5 4 4" xfId="35726"/>
    <cellStyle name="Normal 4 3 3 5 5" xfId="35727"/>
    <cellStyle name="Normal 4 3 3 5 5 2" xfId="35728"/>
    <cellStyle name="Normal 4 3 3 5 5 2 2" xfId="35729"/>
    <cellStyle name="Normal 4 3 3 5 5 3" xfId="35730"/>
    <cellStyle name="Normal 4 3 3 5 6" xfId="35731"/>
    <cellStyle name="Normal 4 3 3 5 6 2" xfId="35732"/>
    <cellStyle name="Normal 4 3 3 5 7" xfId="35733"/>
    <cellStyle name="Normal 4 3 3 6" xfId="587"/>
    <cellStyle name="Normal 4 3 3 6 2" xfId="1267"/>
    <cellStyle name="Normal 4 3 3 6 2 2" xfId="2627"/>
    <cellStyle name="Normal 4 3 3 6 2 2 2" xfId="5347"/>
    <cellStyle name="Normal 4 3 3 6 2 2 2 2" xfId="35734"/>
    <cellStyle name="Normal 4 3 3 6 2 2 2 2 2" xfId="35735"/>
    <cellStyle name="Normal 4 3 3 6 2 2 2 2 2 2" xfId="35736"/>
    <cellStyle name="Normal 4 3 3 6 2 2 2 2 3" xfId="35737"/>
    <cellStyle name="Normal 4 3 3 6 2 2 2 3" xfId="35738"/>
    <cellStyle name="Normal 4 3 3 6 2 2 2 3 2" xfId="35739"/>
    <cellStyle name="Normal 4 3 3 6 2 2 2 4" xfId="35740"/>
    <cellStyle name="Normal 4 3 3 6 2 2 3" xfId="35741"/>
    <cellStyle name="Normal 4 3 3 6 2 2 3 2" xfId="35742"/>
    <cellStyle name="Normal 4 3 3 6 2 2 3 2 2" xfId="35743"/>
    <cellStyle name="Normal 4 3 3 6 2 2 3 3" xfId="35744"/>
    <cellStyle name="Normal 4 3 3 6 2 2 4" xfId="35745"/>
    <cellStyle name="Normal 4 3 3 6 2 2 4 2" xfId="35746"/>
    <cellStyle name="Normal 4 3 3 6 2 2 5" xfId="35747"/>
    <cellStyle name="Normal 4 3 3 6 2 3" xfId="3987"/>
    <cellStyle name="Normal 4 3 3 6 2 3 2" xfId="35748"/>
    <cellStyle name="Normal 4 3 3 6 2 3 2 2" xfId="35749"/>
    <cellStyle name="Normal 4 3 3 6 2 3 2 2 2" xfId="35750"/>
    <cellStyle name="Normal 4 3 3 6 2 3 2 3" xfId="35751"/>
    <cellStyle name="Normal 4 3 3 6 2 3 3" xfId="35752"/>
    <cellStyle name="Normal 4 3 3 6 2 3 3 2" xfId="35753"/>
    <cellStyle name="Normal 4 3 3 6 2 3 4" xfId="35754"/>
    <cellStyle name="Normal 4 3 3 6 2 4" xfId="35755"/>
    <cellStyle name="Normal 4 3 3 6 2 4 2" xfId="35756"/>
    <cellStyle name="Normal 4 3 3 6 2 4 2 2" xfId="35757"/>
    <cellStyle name="Normal 4 3 3 6 2 4 3" xfId="35758"/>
    <cellStyle name="Normal 4 3 3 6 2 5" xfId="35759"/>
    <cellStyle name="Normal 4 3 3 6 2 5 2" xfId="35760"/>
    <cellStyle name="Normal 4 3 3 6 2 6" xfId="35761"/>
    <cellStyle name="Normal 4 3 3 6 3" xfId="1947"/>
    <cellStyle name="Normal 4 3 3 6 3 2" xfId="4667"/>
    <cellStyle name="Normal 4 3 3 6 3 2 2" xfId="35762"/>
    <cellStyle name="Normal 4 3 3 6 3 2 2 2" xfId="35763"/>
    <cellStyle name="Normal 4 3 3 6 3 2 2 2 2" xfId="35764"/>
    <cellStyle name="Normal 4 3 3 6 3 2 2 3" xfId="35765"/>
    <cellStyle name="Normal 4 3 3 6 3 2 3" xfId="35766"/>
    <cellStyle name="Normal 4 3 3 6 3 2 3 2" xfId="35767"/>
    <cellStyle name="Normal 4 3 3 6 3 2 4" xfId="35768"/>
    <cellStyle name="Normal 4 3 3 6 3 3" xfId="35769"/>
    <cellStyle name="Normal 4 3 3 6 3 3 2" xfId="35770"/>
    <cellStyle name="Normal 4 3 3 6 3 3 2 2" xfId="35771"/>
    <cellStyle name="Normal 4 3 3 6 3 3 3" xfId="35772"/>
    <cellStyle name="Normal 4 3 3 6 3 4" xfId="35773"/>
    <cellStyle name="Normal 4 3 3 6 3 4 2" xfId="35774"/>
    <cellStyle name="Normal 4 3 3 6 3 5" xfId="35775"/>
    <cellStyle name="Normal 4 3 3 6 4" xfId="3307"/>
    <cellStyle name="Normal 4 3 3 6 4 2" xfId="35776"/>
    <cellStyle name="Normal 4 3 3 6 4 2 2" xfId="35777"/>
    <cellStyle name="Normal 4 3 3 6 4 2 2 2" xfId="35778"/>
    <cellStyle name="Normal 4 3 3 6 4 2 3" xfId="35779"/>
    <cellStyle name="Normal 4 3 3 6 4 3" xfId="35780"/>
    <cellStyle name="Normal 4 3 3 6 4 3 2" xfId="35781"/>
    <cellStyle name="Normal 4 3 3 6 4 4" xfId="35782"/>
    <cellStyle name="Normal 4 3 3 6 5" xfId="35783"/>
    <cellStyle name="Normal 4 3 3 6 5 2" xfId="35784"/>
    <cellStyle name="Normal 4 3 3 6 5 2 2" xfId="35785"/>
    <cellStyle name="Normal 4 3 3 6 5 3" xfId="35786"/>
    <cellStyle name="Normal 4 3 3 6 6" xfId="35787"/>
    <cellStyle name="Normal 4 3 3 6 6 2" xfId="35788"/>
    <cellStyle name="Normal 4 3 3 6 7" xfId="35789"/>
    <cellStyle name="Normal 4 3 3 7" xfId="723"/>
    <cellStyle name="Normal 4 3 3 7 2" xfId="2083"/>
    <cellStyle name="Normal 4 3 3 7 2 2" xfId="4803"/>
    <cellStyle name="Normal 4 3 3 7 2 2 2" xfId="35790"/>
    <cellStyle name="Normal 4 3 3 7 2 2 2 2" xfId="35791"/>
    <cellStyle name="Normal 4 3 3 7 2 2 2 2 2" xfId="35792"/>
    <cellStyle name="Normal 4 3 3 7 2 2 2 3" xfId="35793"/>
    <cellStyle name="Normal 4 3 3 7 2 2 3" xfId="35794"/>
    <cellStyle name="Normal 4 3 3 7 2 2 3 2" xfId="35795"/>
    <cellStyle name="Normal 4 3 3 7 2 2 4" xfId="35796"/>
    <cellStyle name="Normal 4 3 3 7 2 3" xfId="35797"/>
    <cellStyle name="Normal 4 3 3 7 2 3 2" xfId="35798"/>
    <cellStyle name="Normal 4 3 3 7 2 3 2 2" xfId="35799"/>
    <cellStyle name="Normal 4 3 3 7 2 3 3" xfId="35800"/>
    <cellStyle name="Normal 4 3 3 7 2 4" xfId="35801"/>
    <cellStyle name="Normal 4 3 3 7 2 4 2" xfId="35802"/>
    <cellStyle name="Normal 4 3 3 7 2 5" xfId="35803"/>
    <cellStyle name="Normal 4 3 3 7 3" xfId="3443"/>
    <cellStyle name="Normal 4 3 3 7 3 2" xfId="35804"/>
    <cellStyle name="Normal 4 3 3 7 3 2 2" xfId="35805"/>
    <cellStyle name="Normal 4 3 3 7 3 2 2 2" xfId="35806"/>
    <cellStyle name="Normal 4 3 3 7 3 2 3" xfId="35807"/>
    <cellStyle name="Normal 4 3 3 7 3 3" xfId="35808"/>
    <cellStyle name="Normal 4 3 3 7 3 3 2" xfId="35809"/>
    <cellStyle name="Normal 4 3 3 7 3 4" xfId="35810"/>
    <cellStyle name="Normal 4 3 3 7 4" xfId="35811"/>
    <cellStyle name="Normal 4 3 3 7 4 2" xfId="35812"/>
    <cellStyle name="Normal 4 3 3 7 4 2 2" xfId="35813"/>
    <cellStyle name="Normal 4 3 3 7 4 3" xfId="35814"/>
    <cellStyle name="Normal 4 3 3 7 5" xfId="35815"/>
    <cellStyle name="Normal 4 3 3 7 5 2" xfId="35816"/>
    <cellStyle name="Normal 4 3 3 7 6" xfId="35817"/>
    <cellStyle name="Normal 4 3 3 8" xfId="1403"/>
    <cellStyle name="Normal 4 3 3 8 2" xfId="4123"/>
    <cellStyle name="Normal 4 3 3 8 2 2" xfId="35818"/>
    <cellStyle name="Normal 4 3 3 8 2 2 2" xfId="35819"/>
    <cellStyle name="Normal 4 3 3 8 2 2 2 2" xfId="35820"/>
    <cellStyle name="Normal 4 3 3 8 2 2 3" xfId="35821"/>
    <cellStyle name="Normal 4 3 3 8 2 3" xfId="35822"/>
    <cellStyle name="Normal 4 3 3 8 2 3 2" xfId="35823"/>
    <cellStyle name="Normal 4 3 3 8 2 4" xfId="35824"/>
    <cellStyle name="Normal 4 3 3 8 3" xfId="35825"/>
    <cellStyle name="Normal 4 3 3 8 3 2" xfId="35826"/>
    <cellStyle name="Normal 4 3 3 8 3 2 2" xfId="35827"/>
    <cellStyle name="Normal 4 3 3 8 3 3" xfId="35828"/>
    <cellStyle name="Normal 4 3 3 8 4" xfId="35829"/>
    <cellStyle name="Normal 4 3 3 8 4 2" xfId="35830"/>
    <cellStyle name="Normal 4 3 3 8 5" xfId="35831"/>
    <cellStyle name="Normal 4 3 3 9" xfId="2763"/>
    <cellStyle name="Normal 4 3 3 9 2" xfId="35832"/>
    <cellStyle name="Normal 4 3 3 9 2 2" xfId="35833"/>
    <cellStyle name="Normal 4 3 3 9 2 2 2" xfId="35834"/>
    <cellStyle name="Normal 4 3 3 9 2 3" xfId="35835"/>
    <cellStyle name="Normal 4 3 3 9 3" xfId="35836"/>
    <cellStyle name="Normal 4 3 3 9 3 2" xfId="35837"/>
    <cellStyle name="Normal 4 3 3 9 4" xfId="35838"/>
    <cellStyle name="Normal 4 3 4" xfId="59"/>
    <cellStyle name="Normal 4 3 4 10" xfId="35839"/>
    <cellStyle name="Normal 4 3 4 10 2" xfId="35840"/>
    <cellStyle name="Normal 4 3 4 11" xfId="35841"/>
    <cellStyle name="Normal 4 3 4 2" xfId="127"/>
    <cellStyle name="Normal 4 3 4 2 10" xfId="35842"/>
    <cellStyle name="Normal 4 3 4 2 2" xfId="264"/>
    <cellStyle name="Normal 4 3 4 2 2 2" xfId="536"/>
    <cellStyle name="Normal 4 3 4 2 2 2 2" xfId="1216"/>
    <cellStyle name="Normal 4 3 4 2 2 2 2 2" xfId="2576"/>
    <cellStyle name="Normal 4 3 4 2 2 2 2 2 2" xfId="5296"/>
    <cellStyle name="Normal 4 3 4 2 2 2 2 2 2 2" xfId="35843"/>
    <cellStyle name="Normal 4 3 4 2 2 2 2 2 2 2 2" xfId="35844"/>
    <cellStyle name="Normal 4 3 4 2 2 2 2 2 2 2 2 2" xfId="35845"/>
    <cellStyle name="Normal 4 3 4 2 2 2 2 2 2 2 3" xfId="35846"/>
    <cellStyle name="Normal 4 3 4 2 2 2 2 2 2 3" xfId="35847"/>
    <cellStyle name="Normal 4 3 4 2 2 2 2 2 2 3 2" xfId="35848"/>
    <cellStyle name="Normal 4 3 4 2 2 2 2 2 2 4" xfId="35849"/>
    <cellStyle name="Normal 4 3 4 2 2 2 2 2 3" xfId="35850"/>
    <cellStyle name="Normal 4 3 4 2 2 2 2 2 3 2" xfId="35851"/>
    <cellStyle name="Normal 4 3 4 2 2 2 2 2 3 2 2" xfId="35852"/>
    <cellStyle name="Normal 4 3 4 2 2 2 2 2 3 3" xfId="35853"/>
    <cellStyle name="Normal 4 3 4 2 2 2 2 2 4" xfId="35854"/>
    <cellStyle name="Normal 4 3 4 2 2 2 2 2 4 2" xfId="35855"/>
    <cellStyle name="Normal 4 3 4 2 2 2 2 2 5" xfId="35856"/>
    <cellStyle name="Normal 4 3 4 2 2 2 2 3" xfId="3936"/>
    <cellStyle name="Normal 4 3 4 2 2 2 2 3 2" xfId="35857"/>
    <cellStyle name="Normal 4 3 4 2 2 2 2 3 2 2" xfId="35858"/>
    <cellStyle name="Normal 4 3 4 2 2 2 2 3 2 2 2" xfId="35859"/>
    <cellStyle name="Normal 4 3 4 2 2 2 2 3 2 3" xfId="35860"/>
    <cellStyle name="Normal 4 3 4 2 2 2 2 3 3" xfId="35861"/>
    <cellStyle name="Normal 4 3 4 2 2 2 2 3 3 2" xfId="35862"/>
    <cellStyle name="Normal 4 3 4 2 2 2 2 3 4" xfId="35863"/>
    <cellStyle name="Normal 4 3 4 2 2 2 2 4" xfId="35864"/>
    <cellStyle name="Normal 4 3 4 2 2 2 2 4 2" xfId="35865"/>
    <cellStyle name="Normal 4 3 4 2 2 2 2 4 2 2" xfId="35866"/>
    <cellStyle name="Normal 4 3 4 2 2 2 2 4 3" xfId="35867"/>
    <cellStyle name="Normal 4 3 4 2 2 2 2 5" xfId="35868"/>
    <cellStyle name="Normal 4 3 4 2 2 2 2 5 2" xfId="35869"/>
    <cellStyle name="Normal 4 3 4 2 2 2 2 6" xfId="35870"/>
    <cellStyle name="Normal 4 3 4 2 2 2 3" xfId="1896"/>
    <cellStyle name="Normal 4 3 4 2 2 2 3 2" xfId="4616"/>
    <cellStyle name="Normal 4 3 4 2 2 2 3 2 2" xfId="35871"/>
    <cellStyle name="Normal 4 3 4 2 2 2 3 2 2 2" xfId="35872"/>
    <cellStyle name="Normal 4 3 4 2 2 2 3 2 2 2 2" xfId="35873"/>
    <cellStyle name="Normal 4 3 4 2 2 2 3 2 2 3" xfId="35874"/>
    <cellStyle name="Normal 4 3 4 2 2 2 3 2 3" xfId="35875"/>
    <cellStyle name="Normal 4 3 4 2 2 2 3 2 3 2" xfId="35876"/>
    <cellStyle name="Normal 4 3 4 2 2 2 3 2 4" xfId="35877"/>
    <cellStyle name="Normal 4 3 4 2 2 2 3 3" xfId="35878"/>
    <cellStyle name="Normal 4 3 4 2 2 2 3 3 2" xfId="35879"/>
    <cellStyle name="Normal 4 3 4 2 2 2 3 3 2 2" xfId="35880"/>
    <cellStyle name="Normal 4 3 4 2 2 2 3 3 3" xfId="35881"/>
    <cellStyle name="Normal 4 3 4 2 2 2 3 4" xfId="35882"/>
    <cellStyle name="Normal 4 3 4 2 2 2 3 4 2" xfId="35883"/>
    <cellStyle name="Normal 4 3 4 2 2 2 3 5" xfId="35884"/>
    <cellStyle name="Normal 4 3 4 2 2 2 4" xfId="3256"/>
    <cellStyle name="Normal 4 3 4 2 2 2 4 2" xfId="35885"/>
    <cellStyle name="Normal 4 3 4 2 2 2 4 2 2" xfId="35886"/>
    <cellStyle name="Normal 4 3 4 2 2 2 4 2 2 2" xfId="35887"/>
    <cellStyle name="Normal 4 3 4 2 2 2 4 2 3" xfId="35888"/>
    <cellStyle name="Normal 4 3 4 2 2 2 4 3" xfId="35889"/>
    <cellStyle name="Normal 4 3 4 2 2 2 4 3 2" xfId="35890"/>
    <cellStyle name="Normal 4 3 4 2 2 2 4 4" xfId="35891"/>
    <cellStyle name="Normal 4 3 4 2 2 2 5" xfId="35892"/>
    <cellStyle name="Normal 4 3 4 2 2 2 5 2" xfId="35893"/>
    <cellStyle name="Normal 4 3 4 2 2 2 5 2 2" xfId="35894"/>
    <cellStyle name="Normal 4 3 4 2 2 2 5 3" xfId="35895"/>
    <cellStyle name="Normal 4 3 4 2 2 2 6" xfId="35896"/>
    <cellStyle name="Normal 4 3 4 2 2 2 6 2" xfId="35897"/>
    <cellStyle name="Normal 4 3 4 2 2 2 7" xfId="35898"/>
    <cellStyle name="Normal 4 3 4 2 2 3" xfId="944"/>
    <cellStyle name="Normal 4 3 4 2 2 3 2" xfId="2304"/>
    <cellStyle name="Normal 4 3 4 2 2 3 2 2" xfId="5024"/>
    <cellStyle name="Normal 4 3 4 2 2 3 2 2 2" xfId="35899"/>
    <cellStyle name="Normal 4 3 4 2 2 3 2 2 2 2" xfId="35900"/>
    <cellStyle name="Normal 4 3 4 2 2 3 2 2 2 2 2" xfId="35901"/>
    <cellStyle name="Normal 4 3 4 2 2 3 2 2 2 3" xfId="35902"/>
    <cellStyle name="Normal 4 3 4 2 2 3 2 2 3" xfId="35903"/>
    <cellStyle name="Normal 4 3 4 2 2 3 2 2 3 2" xfId="35904"/>
    <cellStyle name="Normal 4 3 4 2 2 3 2 2 4" xfId="35905"/>
    <cellStyle name="Normal 4 3 4 2 2 3 2 3" xfId="35906"/>
    <cellStyle name="Normal 4 3 4 2 2 3 2 3 2" xfId="35907"/>
    <cellStyle name="Normal 4 3 4 2 2 3 2 3 2 2" xfId="35908"/>
    <cellStyle name="Normal 4 3 4 2 2 3 2 3 3" xfId="35909"/>
    <cellStyle name="Normal 4 3 4 2 2 3 2 4" xfId="35910"/>
    <cellStyle name="Normal 4 3 4 2 2 3 2 4 2" xfId="35911"/>
    <cellStyle name="Normal 4 3 4 2 2 3 2 5" xfId="35912"/>
    <cellStyle name="Normal 4 3 4 2 2 3 3" xfId="3664"/>
    <cellStyle name="Normal 4 3 4 2 2 3 3 2" xfId="35913"/>
    <cellStyle name="Normal 4 3 4 2 2 3 3 2 2" xfId="35914"/>
    <cellStyle name="Normal 4 3 4 2 2 3 3 2 2 2" xfId="35915"/>
    <cellStyle name="Normal 4 3 4 2 2 3 3 2 3" xfId="35916"/>
    <cellStyle name="Normal 4 3 4 2 2 3 3 3" xfId="35917"/>
    <cellStyle name="Normal 4 3 4 2 2 3 3 3 2" xfId="35918"/>
    <cellStyle name="Normal 4 3 4 2 2 3 3 4" xfId="35919"/>
    <cellStyle name="Normal 4 3 4 2 2 3 4" xfId="35920"/>
    <cellStyle name="Normal 4 3 4 2 2 3 4 2" xfId="35921"/>
    <cellStyle name="Normal 4 3 4 2 2 3 4 2 2" xfId="35922"/>
    <cellStyle name="Normal 4 3 4 2 2 3 4 3" xfId="35923"/>
    <cellStyle name="Normal 4 3 4 2 2 3 5" xfId="35924"/>
    <cellStyle name="Normal 4 3 4 2 2 3 5 2" xfId="35925"/>
    <cellStyle name="Normal 4 3 4 2 2 3 6" xfId="35926"/>
    <cellStyle name="Normal 4 3 4 2 2 4" xfId="1624"/>
    <cellStyle name="Normal 4 3 4 2 2 4 2" xfId="4344"/>
    <cellStyle name="Normal 4 3 4 2 2 4 2 2" xfId="35927"/>
    <cellStyle name="Normal 4 3 4 2 2 4 2 2 2" xfId="35928"/>
    <cellStyle name="Normal 4 3 4 2 2 4 2 2 2 2" xfId="35929"/>
    <cellStyle name="Normal 4 3 4 2 2 4 2 2 3" xfId="35930"/>
    <cellStyle name="Normal 4 3 4 2 2 4 2 3" xfId="35931"/>
    <cellStyle name="Normal 4 3 4 2 2 4 2 3 2" xfId="35932"/>
    <cellStyle name="Normal 4 3 4 2 2 4 2 4" xfId="35933"/>
    <cellStyle name="Normal 4 3 4 2 2 4 3" xfId="35934"/>
    <cellStyle name="Normal 4 3 4 2 2 4 3 2" xfId="35935"/>
    <cellStyle name="Normal 4 3 4 2 2 4 3 2 2" xfId="35936"/>
    <cellStyle name="Normal 4 3 4 2 2 4 3 3" xfId="35937"/>
    <cellStyle name="Normal 4 3 4 2 2 4 4" xfId="35938"/>
    <cellStyle name="Normal 4 3 4 2 2 4 4 2" xfId="35939"/>
    <cellStyle name="Normal 4 3 4 2 2 4 5" xfId="35940"/>
    <cellStyle name="Normal 4 3 4 2 2 5" xfId="2984"/>
    <cellStyle name="Normal 4 3 4 2 2 5 2" xfId="35941"/>
    <cellStyle name="Normal 4 3 4 2 2 5 2 2" xfId="35942"/>
    <cellStyle name="Normal 4 3 4 2 2 5 2 2 2" xfId="35943"/>
    <cellStyle name="Normal 4 3 4 2 2 5 2 3" xfId="35944"/>
    <cellStyle name="Normal 4 3 4 2 2 5 3" xfId="35945"/>
    <cellStyle name="Normal 4 3 4 2 2 5 3 2" xfId="35946"/>
    <cellStyle name="Normal 4 3 4 2 2 5 4" xfId="35947"/>
    <cellStyle name="Normal 4 3 4 2 2 6" xfId="35948"/>
    <cellStyle name="Normal 4 3 4 2 2 6 2" xfId="35949"/>
    <cellStyle name="Normal 4 3 4 2 2 6 2 2" xfId="35950"/>
    <cellStyle name="Normal 4 3 4 2 2 6 3" xfId="35951"/>
    <cellStyle name="Normal 4 3 4 2 2 7" xfId="35952"/>
    <cellStyle name="Normal 4 3 4 2 2 7 2" xfId="35953"/>
    <cellStyle name="Normal 4 3 4 2 2 8" xfId="35954"/>
    <cellStyle name="Normal 4 3 4 2 3" xfId="400"/>
    <cellStyle name="Normal 4 3 4 2 3 2" xfId="1080"/>
    <cellStyle name="Normal 4 3 4 2 3 2 2" xfId="2440"/>
    <cellStyle name="Normal 4 3 4 2 3 2 2 2" xfId="5160"/>
    <cellStyle name="Normal 4 3 4 2 3 2 2 2 2" xfId="35955"/>
    <cellStyle name="Normal 4 3 4 2 3 2 2 2 2 2" xfId="35956"/>
    <cellStyle name="Normal 4 3 4 2 3 2 2 2 2 2 2" xfId="35957"/>
    <cellStyle name="Normal 4 3 4 2 3 2 2 2 2 3" xfId="35958"/>
    <cellStyle name="Normal 4 3 4 2 3 2 2 2 3" xfId="35959"/>
    <cellStyle name="Normal 4 3 4 2 3 2 2 2 3 2" xfId="35960"/>
    <cellStyle name="Normal 4 3 4 2 3 2 2 2 4" xfId="35961"/>
    <cellStyle name="Normal 4 3 4 2 3 2 2 3" xfId="35962"/>
    <cellStyle name="Normal 4 3 4 2 3 2 2 3 2" xfId="35963"/>
    <cellStyle name="Normal 4 3 4 2 3 2 2 3 2 2" xfId="35964"/>
    <cellStyle name="Normal 4 3 4 2 3 2 2 3 3" xfId="35965"/>
    <cellStyle name="Normal 4 3 4 2 3 2 2 4" xfId="35966"/>
    <cellStyle name="Normal 4 3 4 2 3 2 2 4 2" xfId="35967"/>
    <cellStyle name="Normal 4 3 4 2 3 2 2 5" xfId="35968"/>
    <cellStyle name="Normal 4 3 4 2 3 2 3" xfId="3800"/>
    <cellStyle name="Normal 4 3 4 2 3 2 3 2" xfId="35969"/>
    <cellStyle name="Normal 4 3 4 2 3 2 3 2 2" xfId="35970"/>
    <cellStyle name="Normal 4 3 4 2 3 2 3 2 2 2" xfId="35971"/>
    <cellStyle name="Normal 4 3 4 2 3 2 3 2 3" xfId="35972"/>
    <cellStyle name="Normal 4 3 4 2 3 2 3 3" xfId="35973"/>
    <cellStyle name="Normal 4 3 4 2 3 2 3 3 2" xfId="35974"/>
    <cellStyle name="Normal 4 3 4 2 3 2 3 4" xfId="35975"/>
    <cellStyle name="Normal 4 3 4 2 3 2 4" xfId="35976"/>
    <cellStyle name="Normal 4 3 4 2 3 2 4 2" xfId="35977"/>
    <cellStyle name="Normal 4 3 4 2 3 2 4 2 2" xfId="35978"/>
    <cellStyle name="Normal 4 3 4 2 3 2 4 3" xfId="35979"/>
    <cellStyle name="Normal 4 3 4 2 3 2 5" xfId="35980"/>
    <cellStyle name="Normal 4 3 4 2 3 2 5 2" xfId="35981"/>
    <cellStyle name="Normal 4 3 4 2 3 2 6" xfId="35982"/>
    <cellStyle name="Normal 4 3 4 2 3 3" xfId="1760"/>
    <cellStyle name="Normal 4 3 4 2 3 3 2" xfId="4480"/>
    <cellStyle name="Normal 4 3 4 2 3 3 2 2" xfId="35983"/>
    <cellStyle name="Normal 4 3 4 2 3 3 2 2 2" xfId="35984"/>
    <cellStyle name="Normal 4 3 4 2 3 3 2 2 2 2" xfId="35985"/>
    <cellStyle name="Normal 4 3 4 2 3 3 2 2 3" xfId="35986"/>
    <cellStyle name="Normal 4 3 4 2 3 3 2 3" xfId="35987"/>
    <cellStyle name="Normal 4 3 4 2 3 3 2 3 2" xfId="35988"/>
    <cellStyle name="Normal 4 3 4 2 3 3 2 4" xfId="35989"/>
    <cellStyle name="Normal 4 3 4 2 3 3 3" xfId="35990"/>
    <cellStyle name="Normal 4 3 4 2 3 3 3 2" xfId="35991"/>
    <cellStyle name="Normal 4 3 4 2 3 3 3 2 2" xfId="35992"/>
    <cellStyle name="Normal 4 3 4 2 3 3 3 3" xfId="35993"/>
    <cellStyle name="Normal 4 3 4 2 3 3 4" xfId="35994"/>
    <cellStyle name="Normal 4 3 4 2 3 3 4 2" xfId="35995"/>
    <cellStyle name="Normal 4 3 4 2 3 3 5" xfId="35996"/>
    <cellStyle name="Normal 4 3 4 2 3 4" xfId="3120"/>
    <cellStyle name="Normal 4 3 4 2 3 4 2" xfId="35997"/>
    <cellStyle name="Normal 4 3 4 2 3 4 2 2" xfId="35998"/>
    <cellStyle name="Normal 4 3 4 2 3 4 2 2 2" xfId="35999"/>
    <cellStyle name="Normal 4 3 4 2 3 4 2 3" xfId="36000"/>
    <cellStyle name="Normal 4 3 4 2 3 4 3" xfId="36001"/>
    <cellStyle name="Normal 4 3 4 2 3 4 3 2" xfId="36002"/>
    <cellStyle name="Normal 4 3 4 2 3 4 4" xfId="36003"/>
    <cellStyle name="Normal 4 3 4 2 3 5" xfId="36004"/>
    <cellStyle name="Normal 4 3 4 2 3 5 2" xfId="36005"/>
    <cellStyle name="Normal 4 3 4 2 3 5 2 2" xfId="36006"/>
    <cellStyle name="Normal 4 3 4 2 3 5 3" xfId="36007"/>
    <cellStyle name="Normal 4 3 4 2 3 6" xfId="36008"/>
    <cellStyle name="Normal 4 3 4 2 3 6 2" xfId="36009"/>
    <cellStyle name="Normal 4 3 4 2 3 7" xfId="36010"/>
    <cellStyle name="Normal 4 3 4 2 4" xfId="672"/>
    <cellStyle name="Normal 4 3 4 2 4 2" xfId="1352"/>
    <cellStyle name="Normal 4 3 4 2 4 2 2" xfId="2712"/>
    <cellStyle name="Normal 4 3 4 2 4 2 2 2" xfId="5432"/>
    <cellStyle name="Normal 4 3 4 2 4 2 2 2 2" xfId="36011"/>
    <cellStyle name="Normal 4 3 4 2 4 2 2 2 2 2" xfId="36012"/>
    <cellStyle name="Normal 4 3 4 2 4 2 2 2 2 2 2" xfId="36013"/>
    <cellStyle name="Normal 4 3 4 2 4 2 2 2 2 3" xfId="36014"/>
    <cellStyle name="Normal 4 3 4 2 4 2 2 2 3" xfId="36015"/>
    <cellStyle name="Normal 4 3 4 2 4 2 2 2 3 2" xfId="36016"/>
    <cellStyle name="Normal 4 3 4 2 4 2 2 2 4" xfId="36017"/>
    <cellStyle name="Normal 4 3 4 2 4 2 2 3" xfId="36018"/>
    <cellStyle name="Normal 4 3 4 2 4 2 2 3 2" xfId="36019"/>
    <cellStyle name="Normal 4 3 4 2 4 2 2 3 2 2" xfId="36020"/>
    <cellStyle name="Normal 4 3 4 2 4 2 2 3 3" xfId="36021"/>
    <cellStyle name="Normal 4 3 4 2 4 2 2 4" xfId="36022"/>
    <cellStyle name="Normal 4 3 4 2 4 2 2 4 2" xfId="36023"/>
    <cellStyle name="Normal 4 3 4 2 4 2 2 5" xfId="36024"/>
    <cellStyle name="Normal 4 3 4 2 4 2 3" xfId="4072"/>
    <cellStyle name="Normal 4 3 4 2 4 2 3 2" xfId="36025"/>
    <cellStyle name="Normal 4 3 4 2 4 2 3 2 2" xfId="36026"/>
    <cellStyle name="Normal 4 3 4 2 4 2 3 2 2 2" xfId="36027"/>
    <cellStyle name="Normal 4 3 4 2 4 2 3 2 3" xfId="36028"/>
    <cellStyle name="Normal 4 3 4 2 4 2 3 3" xfId="36029"/>
    <cellStyle name="Normal 4 3 4 2 4 2 3 3 2" xfId="36030"/>
    <cellStyle name="Normal 4 3 4 2 4 2 3 4" xfId="36031"/>
    <cellStyle name="Normal 4 3 4 2 4 2 4" xfId="36032"/>
    <cellStyle name="Normal 4 3 4 2 4 2 4 2" xfId="36033"/>
    <cellStyle name="Normal 4 3 4 2 4 2 4 2 2" xfId="36034"/>
    <cellStyle name="Normal 4 3 4 2 4 2 4 3" xfId="36035"/>
    <cellStyle name="Normal 4 3 4 2 4 2 5" xfId="36036"/>
    <cellStyle name="Normal 4 3 4 2 4 2 5 2" xfId="36037"/>
    <cellStyle name="Normal 4 3 4 2 4 2 6" xfId="36038"/>
    <cellStyle name="Normal 4 3 4 2 4 3" xfId="2032"/>
    <cellStyle name="Normal 4 3 4 2 4 3 2" xfId="4752"/>
    <cellStyle name="Normal 4 3 4 2 4 3 2 2" xfId="36039"/>
    <cellStyle name="Normal 4 3 4 2 4 3 2 2 2" xfId="36040"/>
    <cellStyle name="Normal 4 3 4 2 4 3 2 2 2 2" xfId="36041"/>
    <cellStyle name="Normal 4 3 4 2 4 3 2 2 3" xfId="36042"/>
    <cellStyle name="Normal 4 3 4 2 4 3 2 3" xfId="36043"/>
    <cellStyle name="Normal 4 3 4 2 4 3 2 3 2" xfId="36044"/>
    <cellStyle name="Normal 4 3 4 2 4 3 2 4" xfId="36045"/>
    <cellStyle name="Normal 4 3 4 2 4 3 3" xfId="36046"/>
    <cellStyle name="Normal 4 3 4 2 4 3 3 2" xfId="36047"/>
    <cellStyle name="Normal 4 3 4 2 4 3 3 2 2" xfId="36048"/>
    <cellStyle name="Normal 4 3 4 2 4 3 3 3" xfId="36049"/>
    <cellStyle name="Normal 4 3 4 2 4 3 4" xfId="36050"/>
    <cellStyle name="Normal 4 3 4 2 4 3 4 2" xfId="36051"/>
    <cellStyle name="Normal 4 3 4 2 4 3 5" xfId="36052"/>
    <cellStyle name="Normal 4 3 4 2 4 4" xfId="3392"/>
    <cellStyle name="Normal 4 3 4 2 4 4 2" xfId="36053"/>
    <cellStyle name="Normal 4 3 4 2 4 4 2 2" xfId="36054"/>
    <cellStyle name="Normal 4 3 4 2 4 4 2 2 2" xfId="36055"/>
    <cellStyle name="Normal 4 3 4 2 4 4 2 3" xfId="36056"/>
    <cellStyle name="Normal 4 3 4 2 4 4 3" xfId="36057"/>
    <cellStyle name="Normal 4 3 4 2 4 4 3 2" xfId="36058"/>
    <cellStyle name="Normal 4 3 4 2 4 4 4" xfId="36059"/>
    <cellStyle name="Normal 4 3 4 2 4 5" xfId="36060"/>
    <cellStyle name="Normal 4 3 4 2 4 5 2" xfId="36061"/>
    <cellStyle name="Normal 4 3 4 2 4 5 2 2" xfId="36062"/>
    <cellStyle name="Normal 4 3 4 2 4 5 3" xfId="36063"/>
    <cellStyle name="Normal 4 3 4 2 4 6" xfId="36064"/>
    <cellStyle name="Normal 4 3 4 2 4 6 2" xfId="36065"/>
    <cellStyle name="Normal 4 3 4 2 4 7" xfId="36066"/>
    <cellStyle name="Normal 4 3 4 2 5" xfId="808"/>
    <cellStyle name="Normal 4 3 4 2 5 2" xfId="2168"/>
    <cellStyle name="Normal 4 3 4 2 5 2 2" xfId="4888"/>
    <cellStyle name="Normal 4 3 4 2 5 2 2 2" xfId="36067"/>
    <cellStyle name="Normal 4 3 4 2 5 2 2 2 2" xfId="36068"/>
    <cellStyle name="Normal 4 3 4 2 5 2 2 2 2 2" xfId="36069"/>
    <cellStyle name="Normal 4 3 4 2 5 2 2 2 3" xfId="36070"/>
    <cellStyle name="Normal 4 3 4 2 5 2 2 3" xfId="36071"/>
    <cellStyle name="Normal 4 3 4 2 5 2 2 3 2" xfId="36072"/>
    <cellStyle name="Normal 4 3 4 2 5 2 2 4" xfId="36073"/>
    <cellStyle name="Normal 4 3 4 2 5 2 3" xfId="36074"/>
    <cellStyle name="Normal 4 3 4 2 5 2 3 2" xfId="36075"/>
    <cellStyle name="Normal 4 3 4 2 5 2 3 2 2" xfId="36076"/>
    <cellStyle name="Normal 4 3 4 2 5 2 3 3" xfId="36077"/>
    <cellStyle name="Normal 4 3 4 2 5 2 4" xfId="36078"/>
    <cellStyle name="Normal 4 3 4 2 5 2 4 2" xfId="36079"/>
    <cellStyle name="Normal 4 3 4 2 5 2 5" xfId="36080"/>
    <cellStyle name="Normal 4 3 4 2 5 3" xfId="3528"/>
    <cellStyle name="Normal 4 3 4 2 5 3 2" xfId="36081"/>
    <cellStyle name="Normal 4 3 4 2 5 3 2 2" xfId="36082"/>
    <cellStyle name="Normal 4 3 4 2 5 3 2 2 2" xfId="36083"/>
    <cellStyle name="Normal 4 3 4 2 5 3 2 3" xfId="36084"/>
    <cellStyle name="Normal 4 3 4 2 5 3 3" xfId="36085"/>
    <cellStyle name="Normal 4 3 4 2 5 3 3 2" xfId="36086"/>
    <cellStyle name="Normal 4 3 4 2 5 3 4" xfId="36087"/>
    <cellStyle name="Normal 4 3 4 2 5 4" xfId="36088"/>
    <cellStyle name="Normal 4 3 4 2 5 4 2" xfId="36089"/>
    <cellStyle name="Normal 4 3 4 2 5 4 2 2" xfId="36090"/>
    <cellStyle name="Normal 4 3 4 2 5 4 3" xfId="36091"/>
    <cellStyle name="Normal 4 3 4 2 5 5" xfId="36092"/>
    <cellStyle name="Normal 4 3 4 2 5 5 2" xfId="36093"/>
    <cellStyle name="Normal 4 3 4 2 5 6" xfId="36094"/>
    <cellStyle name="Normal 4 3 4 2 6" xfId="1488"/>
    <cellStyle name="Normal 4 3 4 2 6 2" xfId="4208"/>
    <cellStyle name="Normal 4 3 4 2 6 2 2" xfId="36095"/>
    <cellStyle name="Normal 4 3 4 2 6 2 2 2" xfId="36096"/>
    <cellStyle name="Normal 4 3 4 2 6 2 2 2 2" xfId="36097"/>
    <cellStyle name="Normal 4 3 4 2 6 2 2 3" xfId="36098"/>
    <cellStyle name="Normal 4 3 4 2 6 2 3" xfId="36099"/>
    <cellStyle name="Normal 4 3 4 2 6 2 3 2" xfId="36100"/>
    <cellStyle name="Normal 4 3 4 2 6 2 4" xfId="36101"/>
    <cellStyle name="Normal 4 3 4 2 6 3" xfId="36102"/>
    <cellStyle name="Normal 4 3 4 2 6 3 2" xfId="36103"/>
    <cellStyle name="Normal 4 3 4 2 6 3 2 2" xfId="36104"/>
    <cellStyle name="Normal 4 3 4 2 6 3 3" xfId="36105"/>
    <cellStyle name="Normal 4 3 4 2 6 4" xfId="36106"/>
    <cellStyle name="Normal 4 3 4 2 6 4 2" xfId="36107"/>
    <cellStyle name="Normal 4 3 4 2 6 5" xfId="36108"/>
    <cellStyle name="Normal 4 3 4 2 7" xfId="2848"/>
    <cellStyle name="Normal 4 3 4 2 7 2" xfId="36109"/>
    <cellStyle name="Normal 4 3 4 2 7 2 2" xfId="36110"/>
    <cellStyle name="Normal 4 3 4 2 7 2 2 2" xfId="36111"/>
    <cellStyle name="Normal 4 3 4 2 7 2 3" xfId="36112"/>
    <cellStyle name="Normal 4 3 4 2 7 3" xfId="36113"/>
    <cellStyle name="Normal 4 3 4 2 7 3 2" xfId="36114"/>
    <cellStyle name="Normal 4 3 4 2 7 4" xfId="36115"/>
    <cellStyle name="Normal 4 3 4 2 8" xfId="36116"/>
    <cellStyle name="Normal 4 3 4 2 8 2" xfId="36117"/>
    <cellStyle name="Normal 4 3 4 2 8 2 2" xfId="36118"/>
    <cellStyle name="Normal 4 3 4 2 8 3" xfId="36119"/>
    <cellStyle name="Normal 4 3 4 2 9" xfId="36120"/>
    <cellStyle name="Normal 4 3 4 2 9 2" xfId="36121"/>
    <cellStyle name="Normal 4 3 4 3" xfId="196"/>
    <cellStyle name="Normal 4 3 4 3 2" xfId="468"/>
    <cellStyle name="Normal 4 3 4 3 2 2" xfId="1148"/>
    <cellStyle name="Normal 4 3 4 3 2 2 2" xfId="2508"/>
    <cellStyle name="Normal 4 3 4 3 2 2 2 2" xfId="5228"/>
    <cellStyle name="Normal 4 3 4 3 2 2 2 2 2" xfId="36122"/>
    <cellStyle name="Normal 4 3 4 3 2 2 2 2 2 2" xfId="36123"/>
    <cellStyle name="Normal 4 3 4 3 2 2 2 2 2 2 2" xfId="36124"/>
    <cellStyle name="Normal 4 3 4 3 2 2 2 2 2 3" xfId="36125"/>
    <cellStyle name="Normal 4 3 4 3 2 2 2 2 3" xfId="36126"/>
    <cellStyle name="Normal 4 3 4 3 2 2 2 2 3 2" xfId="36127"/>
    <cellStyle name="Normal 4 3 4 3 2 2 2 2 4" xfId="36128"/>
    <cellStyle name="Normal 4 3 4 3 2 2 2 3" xfId="36129"/>
    <cellStyle name="Normal 4 3 4 3 2 2 2 3 2" xfId="36130"/>
    <cellStyle name="Normal 4 3 4 3 2 2 2 3 2 2" xfId="36131"/>
    <cellStyle name="Normal 4 3 4 3 2 2 2 3 3" xfId="36132"/>
    <cellStyle name="Normal 4 3 4 3 2 2 2 4" xfId="36133"/>
    <cellStyle name="Normal 4 3 4 3 2 2 2 4 2" xfId="36134"/>
    <cellStyle name="Normal 4 3 4 3 2 2 2 5" xfId="36135"/>
    <cellStyle name="Normal 4 3 4 3 2 2 3" xfId="3868"/>
    <cellStyle name="Normal 4 3 4 3 2 2 3 2" xfId="36136"/>
    <cellStyle name="Normal 4 3 4 3 2 2 3 2 2" xfId="36137"/>
    <cellStyle name="Normal 4 3 4 3 2 2 3 2 2 2" xfId="36138"/>
    <cellStyle name="Normal 4 3 4 3 2 2 3 2 3" xfId="36139"/>
    <cellStyle name="Normal 4 3 4 3 2 2 3 3" xfId="36140"/>
    <cellStyle name="Normal 4 3 4 3 2 2 3 3 2" xfId="36141"/>
    <cellStyle name="Normal 4 3 4 3 2 2 3 4" xfId="36142"/>
    <cellStyle name="Normal 4 3 4 3 2 2 4" xfId="36143"/>
    <cellStyle name="Normal 4 3 4 3 2 2 4 2" xfId="36144"/>
    <cellStyle name="Normal 4 3 4 3 2 2 4 2 2" xfId="36145"/>
    <cellStyle name="Normal 4 3 4 3 2 2 4 3" xfId="36146"/>
    <cellStyle name="Normal 4 3 4 3 2 2 5" xfId="36147"/>
    <cellStyle name="Normal 4 3 4 3 2 2 5 2" xfId="36148"/>
    <cellStyle name="Normal 4 3 4 3 2 2 6" xfId="36149"/>
    <cellStyle name="Normal 4 3 4 3 2 3" xfId="1828"/>
    <cellStyle name="Normal 4 3 4 3 2 3 2" xfId="4548"/>
    <cellStyle name="Normal 4 3 4 3 2 3 2 2" xfId="36150"/>
    <cellStyle name="Normal 4 3 4 3 2 3 2 2 2" xfId="36151"/>
    <cellStyle name="Normal 4 3 4 3 2 3 2 2 2 2" xfId="36152"/>
    <cellStyle name="Normal 4 3 4 3 2 3 2 2 3" xfId="36153"/>
    <cellStyle name="Normal 4 3 4 3 2 3 2 3" xfId="36154"/>
    <cellStyle name="Normal 4 3 4 3 2 3 2 3 2" xfId="36155"/>
    <cellStyle name="Normal 4 3 4 3 2 3 2 4" xfId="36156"/>
    <cellStyle name="Normal 4 3 4 3 2 3 3" xfId="36157"/>
    <cellStyle name="Normal 4 3 4 3 2 3 3 2" xfId="36158"/>
    <cellStyle name="Normal 4 3 4 3 2 3 3 2 2" xfId="36159"/>
    <cellStyle name="Normal 4 3 4 3 2 3 3 3" xfId="36160"/>
    <cellStyle name="Normal 4 3 4 3 2 3 4" xfId="36161"/>
    <cellStyle name="Normal 4 3 4 3 2 3 4 2" xfId="36162"/>
    <cellStyle name="Normal 4 3 4 3 2 3 5" xfId="36163"/>
    <cellStyle name="Normal 4 3 4 3 2 4" xfId="3188"/>
    <cellStyle name="Normal 4 3 4 3 2 4 2" xfId="36164"/>
    <cellStyle name="Normal 4 3 4 3 2 4 2 2" xfId="36165"/>
    <cellStyle name="Normal 4 3 4 3 2 4 2 2 2" xfId="36166"/>
    <cellStyle name="Normal 4 3 4 3 2 4 2 3" xfId="36167"/>
    <cellStyle name="Normal 4 3 4 3 2 4 3" xfId="36168"/>
    <cellStyle name="Normal 4 3 4 3 2 4 3 2" xfId="36169"/>
    <cellStyle name="Normal 4 3 4 3 2 4 4" xfId="36170"/>
    <cellStyle name="Normal 4 3 4 3 2 5" xfId="36171"/>
    <cellStyle name="Normal 4 3 4 3 2 5 2" xfId="36172"/>
    <cellStyle name="Normal 4 3 4 3 2 5 2 2" xfId="36173"/>
    <cellStyle name="Normal 4 3 4 3 2 5 3" xfId="36174"/>
    <cellStyle name="Normal 4 3 4 3 2 6" xfId="36175"/>
    <cellStyle name="Normal 4 3 4 3 2 6 2" xfId="36176"/>
    <cellStyle name="Normal 4 3 4 3 2 7" xfId="36177"/>
    <cellStyle name="Normal 4 3 4 3 3" xfId="876"/>
    <cellStyle name="Normal 4 3 4 3 3 2" xfId="2236"/>
    <cellStyle name="Normal 4 3 4 3 3 2 2" xfId="4956"/>
    <cellStyle name="Normal 4 3 4 3 3 2 2 2" xfId="36178"/>
    <cellStyle name="Normal 4 3 4 3 3 2 2 2 2" xfId="36179"/>
    <cellStyle name="Normal 4 3 4 3 3 2 2 2 2 2" xfId="36180"/>
    <cellStyle name="Normal 4 3 4 3 3 2 2 2 3" xfId="36181"/>
    <cellStyle name="Normal 4 3 4 3 3 2 2 3" xfId="36182"/>
    <cellStyle name="Normal 4 3 4 3 3 2 2 3 2" xfId="36183"/>
    <cellStyle name="Normal 4 3 4 3 3 2 2 4" xfId="36184"/>
    <cellStyle name="Normal 4 3 4 3 3 2 3" xfId="36185"/>
    <cellStyle name="Normal 4 3 4 3 3 2 3 2" xfId="36186"/>
    <cellStyle name="Normal 4 3 4 3 3 2 3 2 2" xfId="36187"/>
    <cellStyle name="Normal 4 3 4 3 3 2 3 3" xfId="36188"/>
    <cellStyle name="Normal 4 3 4 3 3 2 4" xfId="36189"/>
    <cellStyle name="Normal 4 3 4 3 3 2 4 2" xfId="36190"/>
    <cellStyle name="Normal 4 3 4 3 3 2 5" xfId="36191"/>
    <cellStyle name="Normal 4 3 4 3 3 3" xfId="3596"/>
    <cellStyle name="Normal 4 3 4 3 3 3 2" xfId="36192"/>
    <cellStyle name="Normal 4 3 4 3 3 3 2 2" xfId="36193"/>
    <cellStyle name="Normal 4 3 4 3 3 3 2 2 2" xfId="36194"/>
    <cellStyle name="Normal 4 3 4 3 3 3 2 3" xfId="36195"/>
    <cellStyle name="Normal 4 3 4 3 3 3 3" xfId="36196"/>
    <cellStyle name="Normal 4 3 4 3 3 3 3 2" xfId="36197"/>
    <cellStyle name="Normal 4 3 4 3 3 3 4" xfId="36198"/>
    <cellStyle name="Normal 4 3 4 3 3 4" xfId="36199"/>
    <cellStyle name="Normal 4 3 4 3 3 4 2" xfId="36200"/>
    <cellStyle name="Normal 4 3 4 3 3 4 2 2" xfId="36201"/>
    <cellStyle name="Normal 4 3 4 3 3 4 3" xfId="36202"/>
    <cellStyle name="Normal 4 3 4 3 3 5" xfId="36203"/>
    <cellStyle name="Normal 4 3 4 3 3 5 2" xfId="36204"/>
    <cellStyle name="Normal 4 3 4 3 3 6" xfId="36205"/>
    <cellStyle name="Normal 4 3 4 3 4" xfId="1556"/>
    <cellStyle name="Normal 4 3 4 3 4 2" xfId="4276"/>
    <cellStyle name="Normal 4 3 4 3 4 2 2" xfId="36206"/>
    <cellStyle name="Normal 4 3 4 3 4 2 2 2" xfId="36207"/>
    <cellStyle name="Normal 4 3 4 3 4 2 2 2 2" xfId="36208"/>
    <cellStyle name="Normal 4 3 4 3 4 2 2 3" xfId="36209"/>
    <cellStyle name="Normal 4 3 4 3 4 2 3" xfId="36210"/>
    <cellStyle name="Normal 4 3 4 3 4 2 3 2" xfId="36211"/>
    <cellStyle name="Normal 4 3 4 3 4 2 4" xfId="36212"/>
    <cellStyle name="Normal 4 3 4 3 4 3" xfId="36213"/>
    <cellStyle name="Normal 4 3 4 3 4 3 2" xfId="36214"/>
    <cellStyle name="Normal 4 3 4 3 4 3 2 2" xfId="36215"/>
    <cellStyle name="Normal 4 3 4 3 4 3 3" xfId="36216"/>
    <cellStyle name="Normal 4 3 4 3 4 4" xfId="36217"/>
    <cellStyle name="Normal 4 3 4 3 4 4 2" xfId="36218"/>
    <cellStyle name="Normal 4 3 4 3 4 5" xfId="36219"/>
    <cellStyle name="Normal 4 3 4 3 5" xfId="2916"/>
    <cellStyle name="Normal 4 3 4 3 5 2" xfId="36220"/>
    <cellStyle name="Normal 4 3 4 3 5 2 2" xfId="36221"/>
    <cellStyle name="Normal 4 3 4 3 5 2 2 2" xfId="36222"/>
    <cellStyle name="Normal 4 3 4 3 5 2 3" xfId="36223"/>
    <cellStyle name="Normal 4 3 4 3 5 3" xfId="36224"/>
    <cellStyle name="Normal 4 3 4 3 5 3 2" xfId="36225"/>
    <cellStyle name="Normal 4 3 4 3 5 4" xfId="36226"/>
    <cellStyle name="Normal 4 3 4 3 6" xfId="36227"/>
    <cellStyle name="Normal 4 3 4 3 6 2" xfId="36228"/>
    <cellStyle name="Normal 4 3 4 3 6 2 2" xfId="36229"/>
    <cellStyle name="Normal 4 3 4 3 6 3" xfId="36230"/>
    <cellStyle name="Normal 4 3 4 3 7" xfId="36231"/>
    <cellStyle name="Normal 4 3 4 3 7 2" xfId="36232"/>
    <cellStyle name="Normal 4 3 4 3 8" xfId="36233"/>
    <cellStyle name="Normal 4 3 4 4" xfId="332"/>
    <cellStyle name="Normal 4 3 4 4 2" xfId="1012"/>
    <cellStyle name="Normal 4 3 4 4 2 2" xfId="2372"/>
    <cellStyle name="Normal 4 3 4 4 2 2 2" xfId="5092"/>
    <cellStyle name="Normal 4 3 4 4 2 2 2 2" xfId="36234"/>
    <cellStyle name="Normal 4 3 4 4 2 2 2 2 2" xfId="36235"/>
    <cellStyle name="Normal 4 3 4 4 2 2 2 2 2 2" xfId="36236"/>
    <cellStyle name="Normal 4 3 4 4 2 2 2 2 3" xfId="36237"/>
    <cellStyle name="Normal 4 3 4 4 2 2 2 3" xfId="36238"/>
    <cellStyle name="Normal 4 3 4 4 2 2 2 3 2" xfId="36239"/>
    <cellStyle name="Normal 4 3 4 4 2 2 2 4" xfId="36240"/>
    <cellStyle name="Normal 4 3 4 4 2 2 3" xfId="36241"/>
    <cellStyle name="Normal 4 3 4 4 2 2 3 2" xfId="36242"/>
    <cellStyle name="Normal 4 3 4 4 2 2 3 2 2" xfId="36243"/>
    <cellStyle name="Normal 4 3 4 4 2 2 3 3" xfId="36244"/>
    <cellStyle name="Normal 4 3 4 4 2 2 4" xfId="36245"/>
    <cellStyle name="Normal 4 3 4 4 2 2 4 2" xfId="36246"/>
    <cellStyle name="Normal 4 3 4 4 2 2 5" xfId="36247"/>
    <cellStyle name="Normal 4 3 4 4 2 3" xfId="3732"/>
    <cellStyle name="Normal 4 3 4 4 2 3 2" xfId="36248"/>
    <cellStyle name="Normal 4 3 4 4 2 3 2 2" xfId="36249"/>
    <cellStyle name="Normal 4 3 4 4 2 3 2 2 2" xfId="36250"/>
    <cellStyle name="Normal 4 3 4 4 2 3 2 3" xfId="36251"/>
    <cellStyle name="Normal 4 3 4 4 2 3 3" xfId="36252"/>
    <cellStyle name="Normal 4 3 4 4 2 3 3 2" xfId="36253"/>
    <cellStyle name="Normal 4 3 4 4 2 3 4" xfId="36254"/>
    <cellStyle name="Normal 4 3 4 4 2 4" xfId="36255"/>
    <cellStyle name="Normal 4 3 4 4 2 4 2" xfId="36256"/>
    <cellStyle name="Normal 4 3 4 4 2 4 2 2" xfId="36257"/>
    <cellStyle name="Normal 4 3 4 4 2 4 3" xfId="36258"/>
    <cellStyle name="Normal 4 3 4 4 2 5" xfId="36259"/>
    <cellStyle name="Normal 4 3 4 4 2 5 2" xfId="36260"/>
    <cellStyle name="Normal 4 3 4 4 2 6" xfId="36261"/>
    <cellStyle name="Normal 4 3 4 4 3" xfId="1692"/>
    <cellStyle name="Normal 4 3 4 4 3 2" xfId="4412"/>
    <cellStyle name="Normal 4 3 4 4 3 2 2" xfId="36262"/>
    <cellStyle name="Normal 4 3 4 4 3 2 2 2" xfId="36263"/>
    <cellStyle name="Normal 4 3 4 4 3 2 2 2 2" xfId="36264"/>
    <cellStyle name="Normal 4 3 4 4 3 2 2 3" xfId="36265"/>
    <cellStyle name="Normal 4 3 4 4 3 2 3" xfId="36266"/>
    <cellStyle name="Normal 4 3 4 4 3 2 3 2" xfId="36267"/>
    <cellStyle name="Normal 4 3 4 4 3 2 4" xfId="36268"/>
    <cellStyle name="Normal 4 3 4 4 3 3" xfId="36269"/>
    <cellStyle name="Normal 4 3 4 4 3 3 2" xfId="36270"/>
    <cellStyle name="Normal 4 3 4 4 3 3 2 2" xfId="36271"/>
    <cellStyle name="Normal 4 3 4 4 3 3 3" xfId="36272"/>
    <cellStyle name="Normal 4 3 4 4 3 4" xfId="36273"/>
    <cellStyle name="Normal 4 3 4 4 3 4 2" xfId="36274"/>
    <cellStyle name="Normal 4 3 4 4 3 5" xfId="36275"/>
    <cellStyle name="Normal 4 3 4 4 4" xfId="3052"/>
    <cellStyle name="Normal 4 3 4 4 4 2" xfId="36276"/>
    <cellStyle name="Normal 4 3 4 4 4 2 2" xfId="36277"/>
    <cellStyle name="Normal 4 3 4 4 4 2 2 2" xfId="36278"/>
    <cellStyle name="Normal 4 3 4 4 4 2 3" xfId="36279"/>
    <cellStyle name="Normal 4 3 4 4 4 3" xfId="36280"/>
    <cellStyle name="Normal 4 3 4 4 4 3 2" xfId="36281"/>
    <cellStyle name="Normal 4 3 4 4 4 4" xfId="36282"/>
    <cellStyle name="Normal 4 3 4 4 5" xfId="36283"/>
    <cellStyle name="Normal 4 3 4 4 5 2" xfId="36284"/>
    <cellStyle name="Normal 4 3 4 4 5 2 2" xfId="36285"/>
    <cellStyle name="Normal 4 3 4 4 5 3" xfId="36286"/>
    <cellStyle name="Normal 4 3 4 4 6" xfId="36287"/>
    <cellStyle name="Normal 4 3 4 4 6 2" xfId="36288"/>
    <cellStyle name="Normal 4 3 4 4 7" xfId="36289"/>
    <cellStyle name="Normal 4 3 4 5" xfId="604"/>
    <cellStyle name="Normal 4 3 4 5 2" xfId="1284"/>
    <cellStyle name="Normal 4 3 4 5 2 2" xfId="2644"/>
    <cellStyle name="Normal 4 3 4 5 2 2 2" xfId="5364"/>
    <cellStyle name="Normal 4 3 4 5 2 2 2 2" xfId="36290"/>
    <cellStyle name="Normal 4 3 4 5 2 2 2 2 2" xfId="36291"/>
    <cellStyle name="Normal 4 3 4 5 2 2 2 2 2 2" xfId="36292"/>
    <cellStyle name="Normal 4 3 4 5 2 2 2 2 3" xfId="36293"/>
    <cellStyle name="Normal 4 3 4 5 2 2 2 3" xfId="36294"/>
    <cellStyle name="Normal 4 3 4 5 2 2 2 3 2" xfId="36295"/>
    <cellStyle name="Normal 4 3 4 5 2 2 2 4" xfId="36296"/>
    <cellStyle name="Normal 4 3 4 5 2 2 3" xfId="36297"/>
    <cellStyle name="Normal 4 3 4 5 2 2 3 2" xfId="36298"/>
    <cellStyle name="Normal 4 3 4 5 2 2 3 2 2" xfId="36299"/>
    <cellStyle name="Normal 4 3 4 5 2 2 3 3" xfId="36300"/>
    <cellStyle name="Normal 4 3 4 5 2 2 4" xfId="36301"/>
    <cellStyle name="Normal 4 3 4 5 2 2 4 2" xfId="36302"/>
    <cellStyle name="Normal 4 3 4 5 2 2 5" xfId="36303"/>
    <cellStyle name="Normal 4 3 4 5 2 3" xfId="4004"/>
    <cellStyle name="Normal 4 3 4 5 2 3 2" xfId="36304"/>
    <cellStyle name="Normal 4 3 4 5 2 3 2 2" xfId="36305"/>
    <cellStyle name="Normal 4 3 4 5 2 3 2 2 2" xfId="36306"/>
    <cellStyle name="Normal 4 3 4 5 2 3 2 3" xfId="36307"/>
    <cellStyle name="Normal 4 3 4 5 2 3 3" xfId="36308"/>
    <cellStyle name="Normal 4 3 4 5 2 3 3 2" xfId="36309"/>
    <cellStyle name="Normal 4 3 4 5 2 3 4" xfId="36310"/>
    <cellStyle name="Normal 4 3 4 5 2 4" xfId="36311"/>
    <cellStyle name="Normal 4 3 4 5 2 4 2" xfId="36312"/>
    <cellStyle name="Normal 4 3 4 5 2 4 2 2" xfId="36313"/>
    <cellStyle name="Normal 4 3 4 5 2 4 3" xfId="36314"/>
    <cellStyle name="Normal 4 3 4 5 2 5" xfId="36315"/>
    <cellStyle name="Normal 4 3 4 5 2 5 2" xfId="36316"/>
    <cellStyle name="Normal 4 3 4 5 2 6" xfId="36317"/>
    <cellStyle name="Normal 4 3 4 5 3" xfId="1964"/>
    <cellStyle name="Normal 4 3 4 5 3 2" xfId="4684"/>
    <cellStyle name="Normal 4 3 4 5 3 2 2" xfId="36318"/>
    <cellStyle name="Normal 4 3 4 5 3 2 2 2" xfId="36319"/>
    <cellStyle name="Normal 4 3 4 5 3 2 2 2 2" xfId="36320"/>
    <cellStyle name="Normal 4 3 4 5 3 2 2 3" xfId="36321"/>
    <cellStyle name="Normal 4 3 4 5 3 2 3" xfId="36322"/>
    <cellStyle name="Normal 4 3 4 5 3 2 3 2" xfId="36323"/>
    <cellStyle name="Normal 4 3 4 5 3 2 4" xfId="36324"/>
    <cellStyle name="Normal 4 3 4 5 3 3" xfId="36325"/>
    <cellStyle name="Normal 4 3 4 5 3 3 2" xfId="36326"/>
    <cellStyle name="Normal 4 3 4 5 3 3 2 2" xfId="36327"/>
    <cellStyle name="Normal 4 3 4 5 3 3 3" xfId="36328"/>
    <cellStyle name="Normal 4 3 4 5 3 4" xfId="36329"/>
    <cellStyle name="Normal 4 3 4 5 3 4 2" xfId="36330"/>
    <cellStyle name="Normal 4 3 4 5 3 5" xfId="36331"/>
    <cellStyle name="Normal 4 3 4 5 4" xfId="3324"/>
    <cellStyle name="Normal 4 3 4 5 4 2" xfId="36332"/>
    <cellStyle name="Normal 4 3 4 5 4 2 2" xfId="36333"/>
    <cellStyle name="Normal 4 3 4 5 4 2 2 2" xfId="36334"/>
    <cellStyle name="Normal 4 3 4 5 4 2 3" xfId="36335"/>
    <cellStyle name="Normal 4 3 4 5 4 3" xfId="36336"/>
    <cellStyle name="Normal 4 3 4 5 4 3 2" xfId="36337"/>
    <cellStyle name="Normal 4 3 4 5 4 4" xfId="36338"/>
    <cellStyle name="Normal 4 3 4 5 5" xfId="36339"/>
    <cellStyle name="Normal 4 3 4 5 5 2" xfId="36340"/>
    <cellStyle name="Normal 4 3 4 5 5 2 2" xfId="36341"/>
    <cellStyle name="Normal 4 3 4 5 5 3" xfId="36342"/>
    <cellStyle name="Normal 4 3 4 5 6" xfId="36343"/>
    <cellStyle name="Normal 4 3 4 5 6 2" xfId="36344"/>
    <cellStyle name="Normal 4 3 4 5 7" xfId="36345"/>
    <cellStyle name="Normal 4 3 4 6" xfId="740"/>
    <cellStyle name="Normal 4 3 4 6 2" xfId="2100"/>
    <cellStyle name="Normal 4 3 4 6 2 2" xfId="4820"/>
    <cellStyle name="Normal 4 3 4 6 2 2 2" xfId="36346"/>
    <cellStyle name="Normal 4 3 4 6 2 2 2 2" xfId="36347"/>
    <cellStyle name="Normal 4 3 4 6 2 2 2 2 2" xfId="36348"/>
    <cellStyle name="Normal 4 3 4 6 2 2 2 3" xfId="36349"/>
    <cellStyle name="Normal 4 3 4 6 2 2 3" xfId="36350"/>
    <cellStyle name="Normal 4 3 4 6 2 2 3 2" xfId="36351"/>
    <cellStyle name="Normal 4 3 4 6 2 2 4" xfId="36352"/>
    <cellStyle name="Normal 4 3 4 6 2 3" xfId="36353"/>
    <cellStyle name="Normal 4 3 4 6 2 3 2" xfId="36354"/>
    <cellStyle name="Normal 4 3 4 6 2 3 2 2" xfId="36355"/>
    <cellStyle name="Normal 4 3 4 6 2 3 3" xfId="36356"/>
    <cellStyle name="Normal 4 3 4 6 2 4" xfId="36357"/>
    <cellStyle name="Normal 4 3 4 6 2 4 2" xfId="36358"/>
    <cellStyle name="Normal 4 3 4 6 2 5" xfId="36359"/>
    <cellStyle name="Normal 4 3 4 6 3" xfId="3460"/>
    <cellStyle name="Normal 4 3 4 6 3 2" xfId="36360"/>
    <cellStyle name="Normal 4 3 4 6 3 2 2" xfId="36361"/>
    <cellStyle name="Normal 4 3 4 6 3 2 2 2" xfId="36362"/>
    <cellStyle name="Normal 4 3 4 6 3 2 3" xfId="36363"/>
    <cellStyle name="Normal 4 3 4 6 3 3" xfId="36364"/>
    <cellStyle name="Normal 4 3 4 6 3 3 2" xfId="36365"/>
    <cellStyle name="Normal 4 3 4 6 3 4" xfId="36366"/>
    <cellStyle name="Normal 4 3 4 6 4" xfId="36367"/>
    <cellStyle name="Normal 4 3 4 6 4 2" xfId="36368"/>
    <cellStyle name="Normal 4 3 4 6 4 2 2" xfId="36369"/>
    <cellStyle name="Normal 4 3 4 6 4 3" xfId="36370"/>
    <cellStyle name="Normal 4 3 4 6 5" xfId="36371"/>
    <cellStyle name="Normal 4 3 4 6 5 2" xfId="36372"/>
    <cellStyle name="Normal 4 3 4 6 6" xfId="36373"/>
    <cellStyle name="Normal 4 3 4 7" xfId="1420"/>
    <cellStyle name="Normal 4 3 4 7 2" xfId="4140"/>
    <cellStyle name="Normal 4 3 4 7 2 2" xfId="36374"/>
    <cellStyle name="Normal 4 3 4 7 2 2 2" xfId="36375"/>
    <cellStyle name="Normal 4 3 4 7 2 2 2 2" xfId="36376"/>
    <cellStyle name="Normal 4 3 4 7 2 2 3" xfId="36377"/>
    <cellStyle name="Normal 4 3 4 7 2 3" xfId="36378"/>
    <cellStyle name="Normal 4 3 4 7 2 3 2" xfId="36379"/>
    <cellStyle name="Normal 4 3 4 7 2 4" xfId="36380"/>
    <cellStyle name="Normal 4 3 4 7 3" xfId="36381"/>
    <cellStyle name="Normal 4 3 4 7 3 2" xfId="36382"/>
    <cellStyle name="Normal 4 3 4 7 3 2 2" xfId="36383"/>
    <cellStyle name="Normal 4 3 4 7 3 3" xfId="36384"/>
    <cellStyle name="Normal 4 3 4 7 4" xfId="36385"/>
    <cellStyle name="Normal 4 3 4 7 4 2" xfId="36386"/>
    <cellStyle name="Normal 4 3 4 7 5" xfId="36387"/>
    <cellStyle name="Normal 4 3 4 8" xfId="2780"/>
    <cellStyle name="Normal 4 3 4 8 2" xfId="36388"/>
    <cellStyle name="Normal 4 3 4 8 2 2" xfId="36389"/>
    <cellStyle name="Normal 4 3 4 8 2 2 2" xfId="36390"/>
    <cellStyle name="Normal 4 3 4 8 2 3" xfId="36391"/>
    <cellStyle name="Normal 4 3 4 8 3" xfId="36392"/>
    <cellStyle name="Normal 4 3 4 8 3 2" xfId="36393"/>
    <cellStyle name="Normal 4 3 4 8 4" xfId="36394"/>
    <cellStyle name="Normal 4 3 4 9" xfId="36395"/>
    <cellStyle name="Normal 4 3 4 9 2" xfId="36396"/>
    <cellStyle name="Normal 4 3 4 9 2 2" xfId="36397"/>
    <cellStyle name="Normal 4 3 4 9 3" xfId="36398"/>
    <cellStyle name="Normal 4 3 5" xfId="93"/>
    <cellStyle name="Normal 4 3 5 10" xfId="36399"/>
    <cellStyle name="Normal 4 3 5 2" xfId="230"/>
    <cellStyle name="Normal 4 3 5 2 2" xfId="502"/>
    <cellStyle name="Normal 4 3 5 2 2 2" xfId="1182"/>
    <cellStyle name="Normal 4 3 5 2 2 2 2" xfId="2542"/>
    <cellStyle name="Normal 4 3 5 2 2 2 2 2" xfId="5262"/>
    <cellStyle name="Normal 4 3 5 2 2 2 2 2 2" xfId="36400"/>
    <cellStyle name="Normal 4 3 5 2 2 2 2 2 2 2" xfId="36401"/>
    <cellStyle name="Normal 4 3 5 2 2 2 2 2 2 2 2" xfId="36402"/>
    <cellStyle name="Normal 4 3 5 2 2 2 2 2 2 3" xfId="36403"/>
    <cellStyle name="Normal 4 3 5 2 2 2 2 2 3" xfId="36404"/>
    <cellStyle name="Normal 4 3 5 2 2 2 2 2 3 2" xfId="36405"/>
    <cellStyle name="Normal 4 3 5 2 2 2 2 2 4" xfId="36406"/>
    <cellStyle name="Normal 4 3 5 2 2 2 2 3" xfId="36407"/>
    <cellStyle name="Normal 4 3 5 2 2 2 2 3 2" xfId="36408"/>
    <cellStyle name="Normal 4 3 5 2 2 2 2 3 2 2" xfId="36409"/>
    <cellStyle name="Normal 4 3 5 2 2 2 2 3 3" xfId="36410"/>
    <cellStyle name="Normal 4 3 5 2 2 2 2 4" xfId="36411"/>
    <cellStyle name="Normal 4 3 5 2 2 2 2 4 2" xfId="36412"/>
    <cellStyle name="Normal 4 3 5 2 2 2 2 5" xfId="36413"/>
    <cellStyle name="Normal 4 3 5 2 2 2 3" xfId="3902"/>
    <cellStyle name="Normal 4 3 5 2 2 2 3 2" xfId="36414"/>
    <cellStyle name="Normal 4 3 5 2 2 2 3 2 2" xfId="36415"/>
    <cellStyle name="Normal 4 3 5 2 2 2 3 2 2 2" xfId="36416"/>
    <cellStyle name="Normal 4 3 5 2 2 2 3 2 3" xfId="36417"/>
    <cellStyle name="Normal 4 3 5 2 2 2 3 3" xfId="36418"/>
    <cellStyle name="Normal 4 3 5 2 2 2 3 3 2" xfId="36419"/>
    <cellStyle name="Normal 4 3 5 2 2 2 3 4" xfId="36420"/>
    <cellStyle name="Normal 4 3 5 2 2 2 4" xfId="36421"/>
    <cellStyle name="Normal 4 3 5 2 2 2 4 2" xfId="36422"/>
    <cellStyle name="Normal 4 3 5 2 2 2 4 2 2" xfId="36423"/>
    <cellStyle name="Normal 4 3 5 2 2 2 4 3" xfId="36424"/>
    <cellStyle name="Normal 4 3 5 2 2 2 5" xfId="36425"/>
    <cellStyle name="Normal 4 3 5 2 2 2 5 2" xfId="36426"/>
    <cellStyle name="Normal 4 3 5 2 2 2 6" xfId="36427"/>
    <cellStyle name="Normal 4 3 5 2 2 3" xfId="1862"/>
    <cellStyle name="Normal 4 3 5 2 2 3 2" xfId="4582"/>
    <cellStyle name="Normal 4 3 5 2 2 3 2 2" xfId="36428"/>
    <cellStyle name="Normal 4 3 5 2 2 3 2 2 2" xfId="36429"/>
    <cellStyle name="Normal 4 3 5 2 2 3 2 2 2 2" xfId="36430"/>
    <cellStyle name="Normal 4 3 5 2 2 3 2 2 3" xfId="36431"/>
    <cellStyle name="Normal 4 3 5 2 2 3 2 3" xfId="36432"/>
    <cellStyle name="Normal 4 3 5 2 2 3 2 3 2" xfId="36433"/>
    <cellStyle name="Normal 4 3 5 2 2 3 2 4" xfId="36434"/>
    <cellStyle name="Normal 4 3 5 2 2 3 3" xfId="36435"/>
    <cellStyle name="Normal 4 3 5 2 2 3 3 2" xfId="36436"/>
    <cellStyle name="Normal 4 3 5 2 2 3 3 2 2" xfId="36437"/>
    <cellStyle name="Normal 4 3 5 2 2 3 3 3" xfId="36438"/>
    <cellStyle name="Normal 4 3 5 2 2 3 4" xfId="36439"/>
    <cellStyle name="Normal 4 3 5 2 2 3 4 2" xfId="36440"/>
    <cellStyle name="Normal 4 3 5 2 2 3 5" xfId="36441"/>
    <cellStyle name="Normal 4 3 5 2 2 4" xfId="3222"/>
    <cellStyle name="Normal 4 3 5 2 2 4 2" xfId="36442"/>
    <cellStyle name="Normal 4 3 5 2 2 4 2 2" xfId="36443"/>
    <cellStyle name="Normal 4 3 5 2 2 4 2 2 2" xfId="36444"/>
    <cellStyle name="Normal 4 3 5 2 2 4 2 3" xfId="36445"/>
    <cellStyle name="Normal 4 3 5 2 2 4 3" xfId="36446"/>
    <cellStyle name="Normal 4 3 5 2 2 4 3 2" xfId="36447"/>
    <cellStyle name="Normal 4 3 5 2 2 4 4" xfId="36448"/>
    <cellStyle name="Normal 4 3 5 2 2 5" xfId="36449"/>
    <cellStyle name="Normal 4 3 5 2 2 5 2" xfId="36450"/>
    <cellStyle name="Normal 4 3 5 2 2 5 2 2" xfId="36451"/>
    <cellStyle name="Normal 4 3 5 2 2 5 3" xfId="36452"/>
    <cellStyle name="Normal 4 3 5 2 2 6" xfId="36453"/>
    <cellStyle name="Normal 4 3 5 2 2 6 2" xfId="36454"/>
    <cellStyle name="Normal 4 3 5 2 2 7" xfId="36455"/>
    <cellStyle name="Normal 4 3 5 2 3" xfId="910"/>
    <cellStyle name="Normal 4 3 5 2 3 2" xfId="2270"/>
    <cellStyle name="Normal 4 3 5 2 3 2 2" xfId="4990"/>
    <cellStyle name="Normal 4 3 5 2 3 2 2 2" xfId="36456"/>
    <cellStyle name="Normal 4 3 5 2 3 2 2 2 2" xfId="36457"/>
    <cellStyle name="Normal 4 3 5 2 3 2 2 2 2 2" xfId="36458"/>
    <cellStyle name="Normal 4 3 5 2 3 2 2 2 3" xfId="36459"/>
    <cellStyle name="Normal 4 3 5 2 3 2 2 3" xfId="36460"/>
    <cellStyle name="Normal 4 3 5 2 3 2 2 3 2" xfId="36461"/>
    <cellStyle name="Normal 4 3 5 2 3 2 2 4" xfId="36462"/>
    <cellStyle name="Normal 4 3 5 2 3 2 3" xfId="36463"/>
    <cellStyle name="Normal 4 3 5 2 3 2 3 2" xfId="36464"/>
    <cellStyle name="Normal 4 3 5 2 3 2 3 2 2" xfId="36465"/>
    <cellStyle name="Normal 4 3 5 2 3 2 3 3" xfId="36466"/>
    <cellStyle name="Normal 4 3 5 2 3 2 4" xfId="36467"/>
    <cellStyle name="Normal 4 3 5 2 3 2 4 2" xfId="36468"/>
    <cellStyle name="Normal 4 3 5 2 3 2 5" xfId="36469"/>
    <cellStyle name="Normal 4 3 5 2 3 3" xfId="3630"/>
    <cellStyle name="Normal 4 3 5 2 3 3 2" xfId="36470"/>
    <cellStyle name="Normal 4 3 5 2 3 3 2 2" xfId="36471"/>
    <cellStyle name="Normal 4 3 5 2 3 3 2 2 2" xfId="36472"/>
    <cellStyle name="Normal 4 3 5 2 3 3 2 3" xfId="36473"/>
    <cellStyle name="Normal 4 3 5 2 3 3 3" xfId="36474"/>
    <cellStyle name="Normal 4 3 5 2 3 3 3 2" xfId="36475"/>
    <cellStyle name="Normal 4 3 5 2 3 3 4" xfId="36476"/>
    <cellStyle name="Normal 4 3 5 2 3 4" xfId="36477"/>
    <cellStyle name="Normal 4 3 5 2 3 4 2" xfId="36478"/>
    <cellStyle name="Normal 4 3 5 2 3 4 2 2" xfId="36479"/>
    <cellStyle name="Normal 4 3 5 2 3 4 3" xfId="36480"/>
    <cellStyle name="Normal 4 3 5 2 3 5" xfId="36481"/>
    <cellStyle name="Normal 4 3 5 2 3 5 2" xfId="36482"/>
    <cellStyle name="Normal 4 3 5 2 3 6" xfId="36483"/>
    <cellStyle name="Normal 4 3 5 2 4" xfId="1590"/>
    <cellStyle name="Normal 4 3 5 2 4 2" xfId="4310"/>
    <cellStyle name="Normal 4 3 5 2 4 2 2" xfId="36484"/>
    <cellStyle name="Normal 4 3 5 2 4 2 2 2" xfId="36485"/>
    <cellStyle name="Normal 4 3 5 2 4 2 2 2 2" xfId="36486"/>
    <cellStyle name="Normal 4 3 5 2 4 2 2 3" xfId="36487"/>
    <cellStyle name="Normal 4 3 5 2 4 2 3" xfId="36488"/>
    <cellStyle name="Normal 4 3 5 2 4 2 3 2" xfId="36489"/>
    <cellStyle name="Normal 4 3 5 2 4 2 4" xfId="36490"/>
    <cellStyle name="Normal 4 3 5 2 4 3" xfId="36491"/>
    <cellStyle name="Normal 4 3 5 2 4 3 2" xfId="36492"/>
    <cellStyle name="Normal 4 3 5 2 4 3 2 2" xfId="36493"/>
    <cellStyle name="Normal 4 3 5 2 4 3 3" xfId="36494"/>
    <cellStyle name="Normal 4 3 5 2 4 4" xfId="36495"/>
    <cellStyle name="Normal 4 3 5 2 4 4 2" xfId="36496"/>
    <cellStyle name="Normal 4 3 5 2 4 5" xfId="36497"/>
    <cellStyle name="Normal 4 3 5 2 5" xfId="2950"/>
    <cellStyle name="Normal 4 3 5 2 5 2" xfId="36498"/>
    <cellStyle name="Normal 4 3 5 2 5 2 2" xfId="36499"/>
    <cellStyle name="Normal 4 3 5 2 5 2 2 2" xfId="36500"/>
    <cellStyle name="Normal 4 3 5 2 5 2 3" xfId="36501"/>
    <cellStyle name="Normal 4 3 5 2 5 3" xfId="36502"/>
    <cellStyle name="Normal 4 3 5 2 5 3 2" xfId="36503"/>
    <cellStyle name="Normal 4 3 5 2 5 4" xfId="36504"/>
    <cellStyle name="Normal 4 3 5 2 6" xfId="36505"/>
    <cellStyle name="Normal 4 3 5 2 6 2" xfId="36506"/>
    <cellStyle name="Normal 4 3 5 2 6 2 2" xfId="36507"/>
    <cellStyle name="Normal 4 3 5 2 6 3" xfId="36508"/>
    <cellStyle name="Normal 4 3 5 2 7" xfId="36509"/>
    <cellStyle name="Normal 4 3 5 2 7 2" xfId="36510"/>
    <cellStyle name="Normal 4 3 5 2 8" xfId="36511"/>
    <cellStyle name="Normal 4 3 5 3" xfId="366"/>
    <cellStyle name="Normal 4 3 5 3 2" xfId="1046"/>
    <cellStyle name="Normal 4 3 5 3 2 2" xfId="2406"/>
    <cellStyle name="Normal 4 3 5 3 2 2 2" xfId="5126"/>
    <cellStyle name="Normal 4 3 5 3 2 2 2 2" xfId="36512"/>
    <cellStyle name="Normal 4 3 5 3 2 2 2 2 2" xfId="36513"/>
    <cellStyle name="Normal 4 3 5 3 2 2 2 2 2 2" xfId="36514"/>
    <cellStyle name="Normal 4 3 5 3 2 2 2 2 3" xfId="36515"/>
    <cellStyle name="Normal 4 3 5 3 2 2 2 3" xfId="36516"/>
    <cellStyle name="Normal 4 3 5 3 2 2 2 3 2" xfId="36517"/>
    <cellStyle name="Normal 4 3 5 3 2 2 2 4" xfId="36518"/>
    <cellStyle name="Normal 4 3 5 3 2 2 3" xfId="36519"/>
    <cellStyle name="Normal 4 3 5 3 2 2 3 2" xfId="36520"/>
    <cellStyle name="Normal 4 3 5 3 2 2 3 2 2" xfId="36521"/>
    <cellStyle name="Normal 4 3 5 3 2 2 3 3" xfId="36522"/>
    <cellStyle name="Normal 4 3 5 3 2 2 4" xfId="36523"/>
    <cellStyle name="Normal 4 3 5 3 2 2 4 2" xfId="36524"/>
    <cellStyle name="Normal 4 3 5 3 2 2 5" xfId="36525"/>
    <cellStyle name="Normal 4 3 5 3 2 3" xfId="3766"/>
    <cellStyle name="Normal 4 3 5 3 2 3 2" xfId="36526"/>
    <cellStyle name="Normal 4 3 5 3 2 3 2 2" xfId="36527"/>
    <cellStyle name="Normal 4 3 5 3 2 3 2 2 2" xfId="36528"/>
    <cellStyle name="Normal 4 3 5 3 2 3 2 3" xfId="36529"/>
    <cellStyle name="Normal 4 3 5 3 2 3 3" xfId="36530"/>
    <cellStyle name="Normal 4 3 5 3 2 3 3 2" xfId="36531"/>
    <cellStyle name="Normal 4 3 5 3 2 3 4" xfId="36532"/>
    <cellStyle name="Normal 4 3 5 3 2 4" xfId="36533"/>
    <cellStyle name="Normal 4 3 5 3 2 4 2" xfId="36534"/>
    <cellStyle name="Normal 4 3 5 3 2 4 2 2" xfId="36535"/>
    <cellStyle name="Normal 4 3 5 3 2 4 3" xfId="36536"/>
    <cellStyle name="Normal 4 3 5 3 2 5" xfId="36537"/>
    <cellStyle name="Normal 4 3 5 3 2 5 2" xfId="36538"/>
    <cellStyle name="Normal 4 3 5 3 2 6" xfId="36539"/>
    <cellStyle name="Normal 4 3 5 3 3" xfId="1726"/>
    <cellStyle name="Normal 4 3 5 3 3 2" xfId="4446"/>
    <cellStyle name="Normal 4 3 5 3 3 2 2" xfId="36540"/>
    <cellStyle name="Normal 4 3 5 3 3 2 2 2" xfId="36541"/>
    <cellStyle name="Normal 4 3 5 3 3 2 2 2 2" xfId="36542"/>
    <cellStyle name="Normal 4 3 5 3 3 2 2 3" xfId="36543"/>
    <cellStyle name="Normal 4 3 5 3 3 2 3" xfId="36544"/>
    <cellStyle name="Normal 4 3 5 3 3 2 3 2" xfId="36545"/>
    <cellStyle name="Normal 4 3 5 3 3 2 4" xfId="36546"/>
    <cellStyle name="Normal 4 3 5 3 3 3" xfId="36547"/>
    <cellStyle name="Normal 4 3 5 3 3 3 2" xfId="36548"/>
    <cellStyle name="Normal 4 3 5 3 3 3 2 2" xfId="36549"/>
    <cellStyle name="Normal 4 3 5 3 3 3 3" xfId="36550"/>
    <cellStyle name="Normal 4 3 5 3 3 4" xfId="36551"/>
    <cellStyle name="Normal 4 3 5 3 3 4 2" xfId="36552"/>
    <cellStyle name="Normal 4 3 5 3 3 5" xfId="36553"/>
    <cellStyle name="Normal 4 3 5 3 4" xfId="3086"/>
    <cellStyle name="Normal 4 3 5 3 4 2" xfId="36554"/>
    <cellStyle name="Normal 4 3 5 3 4 2 2" xfId="36555"/>
    <cellStyle name="Normal 4 3 5 3 4 2 2 2" xfId="36556"/>
    <cellStyle name="Normal 4 3 5 3 4 2 3" xfId="36557"/>
    <cellStyle name="Normal 4 3 5 3 4 3" xfId="36558"/>
    <cellStyle name="Normal 4 3 5 3 4 3 2" xfId="36559"/>
    <cellStyle name="Normal 4 3 5 3 4 4" xfId="36560"/>
    <cellStyle name="Normal 4 3 5 3 5" xfId="36561"/>
    <cellStyle name="Normal 4 3 5 3 5 2" xfId="36562"/>
    <cellStyle name="Normal 4 3 5 3 5 2 2" xfId="36563"/>
    <cellStyle name="Normal 4 3 5 3 5 3" xfId="36564"/>
    <cellStyle name="Normal 4 3 5 3 6" xfId="36565"/>
    <cellStyle name="Normal 4 3 5 3 6 2" xfId="36566"/>
    <cellStyle name="Normal 4 3 5 3 7" xfId="36567"/>
    <cellStyle name="Normal 4 3 5 4" xfId="638"/>
    <cellStyle name="Normal 4 3 5 4 2" xfId="1318"/>
    <cellStyle name="Normal 4 3 5 4 2 2" xfId="2678"/>
    <cellStyle name="Normal 4 3 5 4 2 2 2" xfId="5398"/>
    <cellStyle name="Normal 4 3 5 4 2 2 2 2" xfId="36568"/>
    <cellStyle name="Normal 4 3 5 4 2 2 2 2 2" xfId="36569"/>
    <cellStyle name="Normal 4 3 5 4 2 2 2 2 2 2" xfId="36570"/>
    <cellStyle name="Normal 4 3 5 4 2 2 2 2 3" xfId="36571"/>
    <cellStyle name="Normal 4 3 5 4 2 2 2 3" xfId="36572"/>
    <cellStyle name="Normal 4 3 5 4 2 2 2 3 2" xfId="36573"/>
    <cellStyle name="Normal 4 3 5 4 2 2 2 4" xfId="36574"/>
    <cellStyle name="Normal 4 3 5 4 2 2 3" xfId="36575"/>
    <cellStyle name="Normal 4 3 5 4 2 2 3 2" xfId="36576"/>
    <cellStyle name="Normal 4 3 5 4 2 2 3 2 2" xfId="36577"/>
    <cellStyle name="Normal 4 3 5 4 2 2 3 3" xfId="36578"/>
    <cellStyle name="Normal 4 3 5 4 2 2 4" xfId="36579"/>
    <cellStyle name="Normal 4 3 5 4 2 2 4 2" xfId="36580"/>
    <cellStyle name="Normal 4 3 5 4 2 2 5" xfId="36581"/>
    <cellStyle name="Normal 4 3 5 4 2 3" xfId="4038"/>
    <cellStyle name="Normal 4 3 5 4 2 3 2" xfId="36582"/>
    <cellStyle name="Normal 4 3 5 4 2 3 2 2" xfId="36583"/>
    <cellStyle name="Normal 4 3 5 4 2 3 2 2 2" xfId="36584"/>
    <cellStyle name="Normal 4 3 5 4 2 3 2 3" xfId="36585"/>
    <cellStyle name="Normal 4 3 5 4 2 3 3" xfId="36586"/>
    <cellStyle name="Normal 4 3 5 4 2 3 3 2" xfId="36587"/>
    <cellStyle name="Normal 4 3 5 4 2 3 4" xfId="36588"/>
    <cellStyle name="Normal 4 3 5 4 2 4" xfId="36589"/>
    <cellStyle name="Normal 4 3 5 4 2 4 2" xfId="36590"/>
    <cellStyle name="Normal 4 3 5 4 2 4 2 2" xfId="36591"/>
    <cellStyle name="Normal 4 3 5 4 2 4 3" xfId="36592"/>
    <cellStyle name="Normal 4 3 5 4 2 5" xfId="36593"/>
    <cellStyle name="Normal 4 3 5 4 2 5 2" xfId="36594"/>
    <cellStyle name="Normal 4 3 5 4 2 6" xfId="36595"/>
    <cellStyle name="Normal 4 3 5 4 3" xfId="1998"/>
    <cellStyle name="Normal 4 3 5 4 3 2" xfId="4718"/>
    <cellStyle name="Normal 4 3 5 4 3 2 2" xfId="36596"/>
    <cellStyle name="Normal 4 3 5 4 3 2 2 2" xfId="36597"/>
    <cellStyle name="Normal 4 3 5 4 3 2 2 2 2" xfId="36598"/>
    <cellStyle name="Normal 4 3 5 4 3 2 2 3" xfId="36599"/>
    <cellStyle name="Normal 4 3 5 4 3 2 3" xfId="36600"/>
    <cellStyle name="Normal 4 3 5 4 3 2 3 2" xfId="36601"/>
    <cellStyle name="Normal 4 3 5 4 3 2 4" xfId="36602"/>
    <cellStyle name="Normal 4 3 5 4 3 3" xfId="36603"/>
    <cellStyle name="Normal 4 3 5 4 3 3 2" xfId="36604"/>
    <cellStyle name="Normal 4 3 5 4 3 3 2 2" xfId="36605"/>
    <cellStyle name="Normal 4 3 5 4 3 3 3" xfId="36606"/>
    <cellStyle name="Normal 4 3 5 4 3 4" xfId="36607"/>
    <cellStyle name="Normal 4 3 5 4 3 4 2" xfId="36608"/>
    <cellStyle name="Normal 4 3 5 4 3 5" xfId="36609"/>
    <cellStyle name="Normal 4 3 5 4 4" xfId="3358"/>
    <cellStyle name="Normal 4 3 5 4 4 2" xfId="36610"/>
    <cellStyle name="Normal 4 3 5 4 4 2 2" xfId="36611"/>
    <cellStyle name="Normal 4 3 5 4 4 2 2 2" xfId="36612"/>
    <cellStyle name="Normal 4 3 5 4 4 2 3" xfId="36613"/>
    <cellStyle name="Normal 4 3 5 4 4 3" xfId="36614"/>
    <cellStyle name="Normal 4 3 5 4 4 3 2" xfId="36615"/>
    <cellStyle name="Normal 4 3 5 4 4 4" xfId="36616"/>
    <cellStyle name="Normal 4 3 5 4 5" xfId="36617"/>
    <cellStyle name="Normal 4 3 5 4 5 2" xfId="36618"/>
    <cellStyle name="Normal 4 3 5 4 5 2 2" xfId="36619"/>
    <cellStyle name="Normal 4 3 5 4 5 3" xfId="36620"/>
    <cellStyle name="Normal 4 3 5 4 6" xfId="36621"/>
    <cellStyle name="Normal 4 3 5 4 6 2" xfId="36622"/>
    <cellStyle name="Normal 4 3 5 4 7" xfId="36623"/>
    <cellStyle name="Normal 4 3 5 5" xfId="774"/>
    <cellStyle name="Normal 4 3 5 5 2" xfId="2134"/>
    <cellStyle name="Normal 4 3 5 5 2 2" xfId="4854"/>
    <cellStyle name="Normal 4 3 5 5 2 2 2" xfId="36624"/>
    <cellStyle name="Normal 4 3 5 5 2 2 2 2" xfId="36625"/>
    <cellStyle name="Normal 4 3 5 5 2 2 2 2 2" xfId="36626"/>
    <cellStyle name="Normal 4 3 5 5 2 2 2 3" xfId="36627"/>
    <cellStyle name="Normal 4 3 5 5 2 2 3" xfId="36628"/>
    <cellStyle name="Normal 4 3 5 5 2 2 3 2" xfId="36629"/>
    <cellStyle name="Normal 4 3 5 5 2 2 4" xfId="36630"/>
    <cellStyle name="Normal 4 3 5 5 2 3" xfId="36631"/>
    <cellStyle name="Normal 4 3 5 5 2 3 2" xfId="36632"/>
    <cellStyle name="Normal 4 3 5 5 2 3 2 2" xfId="36633"/>
    <cellStyle name="Normal 4 3 5 5 2 3 3" xfId="36634"/>
    <cellStyle name="Normal 4 3 5 5 2 4" xfId="36635"/>
    <cellStyle name="Normal 4 3 5 5 2 4 2" xfId="36636"/>
    <cellStyle name="Normal 4 3 5 5 2 5" xfId="36637"/>
    <cellStyle name="Normal 4 3 5 5 3" xfId="3494"/>
    <cellStyle name="Normal 4 3 5 5 3 2" xfId="36638"/>
    <cellStyle name="Normal 4 3 5 5 3 2 2" xfId="36639"/>
    <cellStyle name="Normal 4 3 5 5 3 2 2 2" xfId="36640"/>
    <cellStyle name="Normal 4 3 5 5 3 2 3" xfId="36641"/>
    <cellStyle name="Normal 4 3 5 5 3 3" xfId="36642"/>
    <cellStyle name="Normal 4 3 5 5 3 3 2" xfId="36643"/>
    <cellStyle name="Normal 4 3 5 5 3 4" xfId="36644"/>
    <cellStyle name="Normal 4 3 5 5 4" xfId="36645"/>
    <cellStyle name="Normal 4 3 5 5 4 2" xfId="36646"/>
    <cellStyle name="Normal 4 3 5 5 4 2 2" xfId="36647"/>
    <cellStyle name="Normal 4 3 5 5 4 3" xfId="36648"/>
    <cellStyle name="Normal 4 3 5 5 5" xfId="36649"/>
    <cellStyle name="Normal 4 3 5 5 5 2" xfId="36650"/>
    <cellStyle name="Normal 4 3 5 5 6" xfId="36651"/>
    <cellStyle name="Normal 4 3 5 6" xfId="1454"/>
    <cellStyle name="Normal 4 3 5 6 2" xfId="4174"/>
    <cellStyle name="Normal 4 3 5 6 2 2" xfId="36652"/>
    <cellStyle name="Normal 4 3 5 6 2 2 2" xfId="36653"/>
    <cellStyle name="Normal 4 3 5 6 2 2 2 2" xfId="36654"/>
    <cellStyle name="Normal 4 3 5 6 2 2 3" xfId="36655"/>
    <cellStyle name="Normal 4 3 5 6 2 3" xfId="36656"/>
    <cellStyle name="Normal 4 3 5 6 2 3 2" xfId="36657"/>
    <cellStyle name="Normal 4 3 5 6 2 4" xfId="36658"/>
    <cellStyle name="Normal 4 3 5 6 3" xfId="36659"/>
    <cellStyle name="Normal 4 3 5 6 3 2" xfId="36660"/>
    <cellStyle name="Normal 4 3 5 6 3 2 2" xfId="36661"/>
    <cellStyle name="Normal 4 3 5 6 3 3" xfId="36662"/>
    <cellStyle name="Normal 4 3 5 6 4" xfId="36663"/>
    <cellStyle name="Normal 4 3 5 6 4 2" xfId="36664"/>
    <cellStyle name="Normal 4 3 5 6 5" xfId="36665"/>
    <cellStyle name="Normal 4 3 5 7" xfId="2814"/>
    <cellStyle name="Normal 4 3 5 7 2" xfId="36666"/>
    <cellStyle name="Normal 4 3 5 7 2 2" xfId="36667"/>
    <cellStyle name="Normal 4 3 5 7 2 2 2" xfId="36668"/>
    <cellStyle name="Normal 4 3 5 7 2 3" xfId="36669"/>
    <cellStyle name="Normal 4 3 5 7 3" xfId="36670"/>
    <cellStyle name="Normal 4 3 5 7 3 2" xfId="36671"/>
    <cellStyle name="Normal 4 3 5 7 4" xfId="36672"/>
    <cellStyle name="Normal 4 3 5 8" xfId="36673"/>
    <cellStyle name="Normal 4 3 5 8 2" xfId="36674"/>
    <cellStyle name="Normal 4 3 5 8 2 2" xfId="36675"/>
    <cellStyle name="Normal 4 3 5 8 3" xfId="36676"/>
    <cellStyle name="Normal 4 3 5 9" xfId="36677"/>
    <cellStyle name="Normal 4 3 5 9 2" xfId="36678"/>
    <cellStyle name="Normal 4 3 6" xfId="162"/>
    <cellStyle name="Normal 4 3 6 2" xfId="434"/>
    <cellStyle name="Normal 4 3 6 2 2" xfId="1114"/>
    <cellStyle name="Normal 4 3 6 2 2 2" xfId="2474"/>
    <cellStyle name="Normal 4 3 6 2 2 2 2" xfId="5194"/>
    <cellStyle name="Normal 4 3 6 2 2 2 2 2" xfId="36679"/>
    <cellStyle name="Normal 4 3 6 2 2 2 2 2 2" xfId="36680"/>
    <cellStyle name="Normal 4 3 6 2 2 2 2 2 2 2" xfId="36681"/>
    <cellStyle name="Normal 4 3 6 2 2 2 2 2 3" xfId="36682"/>
    <cellStyle name="Normal 4 3 6 2 2 2 2 3" xfId="36683"/>
    <cellStyle name="Normal 4 3 6 2 2 2 2 3 2" xfId="36684"/>
    <cellStyle name="Normal 4 3 6 2 2 2 2 4" xfId="36685"/>
    <cellStyle name="Normal 4 3 6 2 2 2 3" xfId="36686"/>
    <cellStyle name="Normal 4 3 6 2 2 2 3 2" xfId="36687"/>
    <cellStyle name="Normal 4 3 6 2 2 2 3 2 2" xfId="36688"/>
    <cellStyle name="Normal 4 3 6 2 2 2 3 3" xfId="36689"/>
    <cellStyle name="Normal 4 3 6 2 2 2 4" xfId="36690"/>
    <cellStyle name="Normal 4 3 6 2 2 2 4 2" xfId="36691"/>
    <cellStyle name="Normal 4 3 6 2 2 2 5" xfId="36692"/>
    <cellStyle name="Normal 4 3 6 2 2 3" xfId="3834"/>
    <cellStyle name="Normal 4 3 6 2 2 3 2" xfId="36693"/>
    <cellStyle name="Normal 4 3 6 2 2 3 2 2" xfId="36694"/>
    <cellStyle name="Normal 4 3 6 2 2 3 2 2 2" xfId="36695"/>
    <cellStyle name="Normal 4 3 6 2 2 3 2 3" xfId="36696"/>
    <cellStyle name="Normal 4 3 6 2 2 3 3" xfId="36697"/>
    <cellStyle name="Normal 4 3 6 2 2 3 3 2" xfId="36698"/>
    <cellStyle name="Normal 4 3 6 2 2 3 4" xfId="36699"/>
    <cellStyle name="Normal 4 3 6 2 2 4" xfId="36700"/>
    <cellStyle name="Normal 4 3 6 2 2 4 2" xfId="36701"/>
    <cellStyle name="Normal 4 3 6 2 2 4 2 2" xfId="36702"/>
    <cellStyle name="Normal 4 3 6 2 2 4 3" xfId="36703"/>
    <cellStyle name="Normal 4 3 6 2 2 5" xfId="36704"/>
    <cellStyle name="Normal 4 3 6 2 2 5 2" xfId="36705"/>
    <cellStyle name="Normal 4 3 6 2 2 6" xfId="36706"/>
    <cellStyle name="Normal 4 3 6 2 3" xfId="1794"/>
    <cellStyle name="Normal 4 3 6 2 3 2" xfId="4514"/>
    <cellStyle name="Normal 4 3 6 2 3 2 2" xfId="36707"/>
    <cellStyle name="Normal 4 3 6 2 3 2 2 2" xfId="36708"/>
    <cellStyle name="Normal 4 3 6 2 3 2 2 2 2" xfId="36709"/>
    <cellStyle name="Normal 4 3 6 2 3 2 2 3" xfId="36710"/>
    <cellStyle name="Normal 4 3 6 2 3 2 3" xfId="36711"/>
    <cellStyle name="Normal 4 3 6 2 3 2 3 2" xfId="36712"/>
    <cellStyle name="Normal 4 3 6 2 3 2 4" xfId="36713"/>
    <cellStyle name="Normal 4 3 6 2 3 3" xfId="36714"/>
    <cellStyle name="Normal 4 3 6 2 3 3 2" xfId="36715"/>
    <cellStyle name="Normal 4 3 6 2 3 3 2 2" xfId="36716"/>
    <cellStyle name="Normal 4 3 6 2 3 3 3" xfId="36717"/>
    <cellStyle name="Normal 4 3 6 2 3 4" xfId="36718"/>
    <cellStyle name="Normal 4 3 6 2 3 4 2" xfId="36719"/>
    <cellStyle name="Normal 4 3 6 2 3 5" xfId="36720"/>
    <cellStyle name="Normal 4 3 6 2 4" xfId="3154"/>
    <cellStyle name="Normal 4 3 6 2 4 2" xfId="36721"/>
    <cellStyle name="Normal 4 3 6 2 4 2 2" xfId="36722"/>
    <cellStyle name="Normal 4 3 6 2 4 2 2 2" xfId="36723"/>
    <cellStyle name="Normal 4 3 6 2 4 2 3" xfId="36724"/>
    <cellStyle name="Normal 4 3 6 2 4 3" xfId="36725"/>
    <cellStyle name="Normal 4 3 6 2 4 3 2" xfId="36726"/>
    <cellStyle name="Normal 4 3 6 2 4 4" xfId="36727"/>
    <cellStyle name="Normal 4 3 6 2 5" xfId="36728"/>
    <cellStyle name="Normal 4 3 6 2 5 2" xfId="36729"/>
    <cellStyle name="Normal 4 3 6 2 5 2 2" xfId="36730"/>
    <cellStyle name="Normal 4 3 6 2 5 3" xfId="36731"/>
    <cellStyle name="Normal 4 3 6 2 6" xfId="36732"/>
    <cellStyle name="Normal 4 3 6 2 6 2" xfId="36733"/>
    <cellStyle name="Normal 4 3 6 2 7" xfId="36734"/>
    <cellStyle name="Normal 4 3 6 3" xfId="842"/>
    <cellStyle name="Normal 4 3 6 3 2" xfId="2202"/>
    <cellStyle name="Normal 4 3 6 3 2 2" xfId="4922"/>
    <cellStyle name="Normal 4 3 6 3 2 2 2" xfId="36735"/>
    <cellStyle name="Normal 4 3 6 3 2 2 2 2" xfId="36736"/>
    <cellStyle name="Normal 4 3 6 3 2 2 2 2 2" xfId="36737"/>
    <cellStyle name="Normal 4 3 6 3 2 2 2 3" xfId="36738"/>
    <cellStyle name="Normal 4 3 6 3 2 2 3" xfId="36739"/>
    <cellStyle name="Normal 4 3 6 3 2 2 3 2" xfId="36740"/>
    <cellStyle name="Normal 4 3 6 3 2 2 4" xfId="36741"/>
    <cellStyle name="Normal 4 3 6 3 2 3" xfId="36742"/>
    <cellStyle name="Normal 4 3 6 3 2 3 2" xfId="36743"/>
    <cellStyle name="Normal 4 3 6 3 2 3 2 2" xfId="36744"/>
    <cellStyle name="Normal 4 3 6 3 2 3 3" xfId="36745"/>
    <cellStyle name="Normal 4 3 6 3 2 4" xfId="36746"/>
    <cellStyle name="Normal 4 3 6 3 2 4 2" xfId="36747"/>
    <cellStyle name="Normal 4 3 6 3 2 5" xfId="36748"/>
    <cellStyle name="Normal 4 3 6 3 3" xfId="3562"/>
    <cellStyle name="Normal 4 3 6 3 3 2" xfId="36749"/>
    <cellStyle name="Normal 4 3 6 3 3 2 2" xfId="36750"/>
    <cellStyle name="Normal 4 3 6 3 3 2 2 2" xfId="36751"/>
    <cellStyle name="Normal 4 3 6 3 3 2 3" xfId="36752"/>
    <cellStyle name="Normal 4 3 6 3 3 3" xfId="36753"/>
    <cellStyle name="Normal 4 3 6 3 3 3 2" xfId="36754"/>
    <cellStyle name="Normal 4 3 6 3 3 4" xfId="36755"/>
    <cellStyle name="Normal 4 3 6 3 4" xfId="36756"/>
    <cellStyle name="Normal 4 3 6 3 4 2" xfId="36757"/>
    <cellStyle name="Normal 4 3 6 3 4 2 2" xfId="36758"/>
    <cellStyle name="Normal 4 3 6 3 4 3" xfId="36759"/>
    <cellStyle name="Normal 4 3 6 3 5" xfId="36760"/>
    <cellStyle name="Normal 4 3 6 3 5 2" xfId="36761"/>
    <cellStyle name="Normal 4 3 6 3 6" xfId="36762"/>
    <cellStyle name="Normal 4 3 6 4" xfId="1522"/>
    <cellStyle name="Normal 4 3 6 4 2" xfId="4242"/>
    <cellStyle name="Normal 4 3 6 4 2 2" xfId="36763"/>
    <cellStyle name="Normal 4 3 6 4 2 2 2" xfId="36764"/>
    <cellStyle name="Normal 4 3 6 4 2 2 2 2" xfId="36765"/>
    <cellStyle name="Normal 4 3 6 4 2 2 3" xfId="36766"/>
    <cellStyle name="Normal 4 3 6 4 2 3" xfId="36767"/>
    <cellStyle name="Normal 4 3 6 4 2 3 2" xfId="36768"/>
    <cellStyle name="Normal 4 3 6 4 2 4" xfId="36769"/>
    <cellStyle name="Normal 4 3 6 4 3" xfId="36770"/>
    <cellStyle name="Normal 4 3 6 4 3 2" xfId="36771"/>
    <cellStyle name="Normal 4 3 6 4 3 2 2" xfId="36772"/>
    <cellStyle name="Normal 4 3 6 4 3 3" xfId="36773"/>
    <cellStyle name="Normal 4 3 6 4 4" xfId="36774"/>
    <cellStyle name="Normal 4 3 6 4 4 2" xfId="36775"/>
    <cellStyle name="Normal 4 3 6 4 5" xfId="36776"/>
    <cellStyle name="Normal 4 3 6 5" xfId="2882"/>
    <cellStyle name="Normal 4 3 6 5 2" xfId="36777"/>
    <cellStyle name="Normal 4 3 6 5 2 2" xfId="36778"/>
    <cellStyle name="Normal 4 3 6 5 2 2 2" xfId="36779"/>
    <cellStyle name="Normal 4 3 6 5 2 3" xfId="36780"/>
    <cellStyle name="Normal 4 3 6 5 3" xfId="36781"/>
    <cellStyle name="Normal 4 3 6 5 3 2" xfId="36782"/>
    <cellStyle name="Normal 4 3 6 5 4" xfId="36783"/>
    <cellStyle name="Normal 4 3 6 6" xfId="36784"/>
    <cellStyle name="Normal 4 3 6 6 2" xfId="36785"/>
    <cellStyle name="Normal 4 3 6 6 2 2" xfId="36786"/>
    <cellStyle name="Normal 4 3 6 6 3" xfId="36787"/>
    <cellStyle name="Normal 4 3 6 7" xfId="36788"/>
    <cellStyle name="Normal 4 3 6 7 2" xfId="36789"/>
    <cellStyle name="Normal 4 3 6 8" xfId="36790"/>
    <cellStyle name="Normal 4 3 7" xfId="298"/>
    <cellStyle name="Normal 4 3 7 2" xfId="978"/>
    <cellStyle name="Normal 4 3 7 2 2" xfId="2338"/>
    <cellStyle name="Normal 4 3 7 2 2 2" xfId="5058"/>
    <cellStyle name="Normal 4 3 7 2 2 2 2" xfId="36791"/>
    <cellStyle name="Normal 4 3 7 2 2 2 2 2" xfId="36792"/>
    <cellStyle name="Normal 4 3 7 2 2 2 2 2 2" xfId="36793"/>
    <cellStyle name="Normal 4 3 7 2 2 2 2 3" xfId="36794"/>
    <cellStyle name="Normal 4 3 7 2 2 2 3" xfId="36795"/>
    <cellStyle name="Normal 4 3 7 2 2 2 3 2" xfId="36796"/>
    <cellStyle name="Normal 4 3 7 2 2 2 4" xfId="36797"/>
    <cellStyle name="Normal 4 3 7 2 2 3" xfId="36798"/>
    <cellStyle name="Normal 4 3 7 2 2 3 2" xfId="36799"/>
    <cellStyle name="Normal 4 3 7 2 2 3 2 2" xfId="36800"/>
    <cellStyle name="Normal 4 3 7 2 2 3 3" xfId="36801"/>
    <cellStyle name="Normal 4 3 7 2 2 4" xfId="36802"/>
    <cellStyle name="Normal 4 3 7 2 2 4 2" xfId="36803"/>
    <cellStyle name="Normal 4 3 7 2 2 5" xfId="36804"/>
    <cellStyle name="Normal 4 3 7 2 3" xfId="3698"/>
    <cellStyle name="Normal 4 3 7 2 3 2" xfId="36805"/>
    <cellStyle name="Normal 4 3 7 2 3 2 2" xfId="36806"/>
    <cellStyle name="Normal 4 3 7 2 3 2 2 2" xfId="36807"/>
    <cellStyle name="Normal 4 3 7 2 3 2 3" xfId="36808"/>
    <cellStyle name="Normal 4 3 7 2 3 3" xfId="36809"/>
    <cellStyle name="Normal 4 3 7 2 3 3 2" xfId="36810"/>
    <cellStyle name="Normal 4 3 7 2 3 4" xfId="36811"/>
    <cellStyle name="Normal 4 3 7 2 4" xfId="36812"/>
    <cellStyle name="Normal 4 3 7 2 4 2" xfId="36813"/>
    <cellStyle name="Normal 4 3 7 2 4 2 2" xfId="36814"/>
    <cellStyle name="Normal 4 3 7 2 4 3" xfId="36815"/>
    <cellStyle name="Normal 4 3 7 2 5" xfId="36816"/>
    <cellStyle name="Normal 4 3 7 2 5 2" xfId="36817"/>
    <cellStyle name="Normal 4 3 7 2 6" xfId="36818"/>
    <cellStyle name="Normal 4 3 7 3" xfId="1658"/>
    <cellStyle name="Normal 4 3 7 3 2" xfId="4378"/>
    <cellStyle name="Normal 4 3 7 3 2 2" xfId="36819"/>
    <cellStyle name="Normal 4 3 7 3 2 2 2" xfId="36820"/>
    <cellStyle name="Normal 4 3 7 3 2 2 2 2" xfId="36821"/>
    <cellStyle name="Normal 4 3 7 3 2 2 3" xfId="36822"/>
    <cellStyle name="Normal 4 3 7 3 2 3" xfId="36823"/>
    <cellStyle name="Normal 4 3 7 3 2 3 2" xfId="36824"/>
    <cellStyle name="Normal 4 3 7 3 2 4" xfId="36825"/>
    <cellStyle name="Normal 4 3 7 3 3" xfId="36826"/>
    <cellStyle name="Normal 4 3 7 3 3 2" xfId="36827"/>
    <cellStyle name="Normal 4 3 7 3 3 2 2" xfId="36828"/>
    <cellStyle name="Normal 4 3 7 3 3 3" xfId="36829"/>
    <cellStyle name="Normal 4 3 7 3 4" xfId="36830"/>
    <cellStyle name="Normal 4 3 7 3 4 2" xfId="36831"/>
    <cellStyle name="Normal 4 3 7 3 5" xfId="36832"/>
    <cellStyle name="Normal 4 3 7 4" xfId="3018"/>
    <cellStyle name="Normal 4 3 7 4 2" xfId="36833"/>
    <cellStyle name="Normal 4 3 7 4 2 2" xfId="36834"/>
    <cellStyle name="Normal 4 3 7 4 2 2 2" xfId="36835"/>
    <cellStyle name="Normal 4 3 7 4 2 3" xfId="36836"/>
    <cellStyle name="Normal 4 3 7 4 3" xfId="36837"/>
    <cellStyle name="Normal 4 3 7 4 3 2" xfId="36838"/>
    <cellStyle name="Normal 4 3 7 4 4" xfId="36839"/>
    <cellStyle name="Normal 4 3 7 5" xfId="36840"/>
    <cellStyle name="Normal 4 3 7 5 2" xfId="36841"/>
    <cellStyle name="Normal 4 3 7 5 2 2" xfId="36842"/>
    <cellStyle name="Normal 4 3 7 5 3" xfId="36843"/>
    <cellStyle name="Normal 4 3 7 6" xfId="36844"/>
    <cellStyle name="Normal 4 3 7 6 2" xfId="36845"/>
    <cellStyle name="Normal 4 3 7 7" xfId="36846"/>
    <cellStyle name="Normal 4 3 8" xfId="570"/>
    <cellStyle name="Normal 4 3 8 2" xfId="1250"/>
    <cellStyle name="Normal 4 3 8 2 2" xfId="2610"/>
    <cellStyle name="Normal 4 3 8 2 2 2" xfId="5330"/>
    <cellStyle name="Normal 4 3 8 2 2 2 2" xfId="36847"/>
    <cellStyle name="Normal 4 3 8 2 2 2 2 2" xfId="36848"/>
    <cellStyle name="Normal 4 3 8 2 2 2 2 2 2" xfId="36849"/>
    <cellStyle name="Normal 4 3 8 2 2 2 2 3" xfId="36850"/>
    <cellStyle name="Normal 4 3 8 2 2 2 3" xfId="36851"/>
    <cellStyle name="Normal 4 3 8 2 2 2 3 2" xfId="36852"/>
    <cellStyle name="Normal 4 3 8 2 2 2 4" xfId="36853"/>
    <cellStyle name="Normal 4 3 8 2 2 3" xfId="36854"/>
    <cellStyle name="Normal 4 3 8 2 2 3 2" xfId="36855"/>
    <cellStyle name="Normal 4 3 8 2 2 3 2 2" xfId="36856"/>
    <cellStyle name="Normal 4 3 8 2 2 3 3" xfId="36857"/>
    <cellStyle name="Normal 4 3 8 2 2 4" xfId="36858"/>
    <cellStyle name="Normal 4 3 8 2 2 4 2" xfId="36859"/>
    <cellStyle name="Normal 4 3 8 2 2 5" xfId="36860"/>
    <cellStyle name="Normal 4 3 8 2 3" xfId="3970"/>
    <cellStyle name="Normal 4 3 8 2 3 2" xfId="36861"/>
    <cellStyle name="Normal 4 3 8 2 3 2 2" xfId="36862"/>
    <cellStyle name="Normal 4 3 8 2 3 2 2 2" xfId="36863"/>
    <cellStyle name="Normal 4 3 8 2 3 2 3" xfId="36864"/>
    <cellStyle name="Normal 4 3 8 2 3 3" xfId="36865"/>
    <cellStyle name="Normal 4 3 8 2 3 3 2" xfId="36866"/>
    <cellStyle name="Normal 4 3 8 2 3 4" xfId="36867"/>
    <cellStyle name="Normal 4 3 8 2 4" xfId="36868"/>
    <cellStyle name="Normal 4 3 8 2 4 2" xfId="36869"/>
    <cellStyle name="Normal 4 3 8 2 4 2 2" xfId="36870"/>
    <cellStyle name="Normal 4 3 8 2 4 3" xfId="36871"/>
    <cellStyle name="Normal 4 3 8 2 5" xfId="36872"/>
    <cellStyle name="Normal 4 3 8 2 5 2" xfId="36873"/>
    <cellStyle name="Normal 4 3 8 2 6" xfId="36874"/>
    <cellStyle name="Normal 4 3 8 3" xfId="1930"/>
    <cellStyle name="Normal 4 3 8 3 2" xfId="4650"/>
    <cellStyle name="Normal 4 3 8 3 2 2" xfId="36875"/>
    <cellStyle name="Normal 4 3 8 3 2 2 2" xfId="36876"/>
    <cellStyle name="Normal 4 3 8 3 2 2 2 2" xfId="36877"/>
    <cellStyle name="Normal 4 3 8 3 2 2 3" xfId="36878"/>
    <cellStyle name="Normal 4 3 8 3 2 3" xfId="36879"/>
    <cellStyle name="Normal 4 3 8 3 2 3 2" xfId="36880"/>
    <cellStyle name="Normal 4 3 8 3 2 4" xfId="36881"/>
    <cellStyle name="Normal 4 3 8 3 3" xfId="36882"/>
    <cellStyle name="Normal 4 3 8 3 3 2" xfId="36883"/>
    <cellStyle name="Normal 4 3 8 3 3 2 2" xfId="36884"/>
    <cellStyle name="Normal 4 3 8 3 3 3" xfId="36885"/>
    <cellStyle name="Normal 4 3 8 3 4" xfId="36886"/>
    <cellStyle name="Normal 4 3 8 3 4 2" xfId="36887"/>
    <cellStyle name="Normal 4 3 8 3 5" xfId="36888"/>
    <cellStyle name="Normal 4 3 8 4" xfId="3290"/>
    <cellStyle name="Normal 4 3 8 4 2" xfId="36889"/>
    <cellStyle name="Normal 4 3 8 4 2 2" xfId="36890"/>
    <cellStyle name="Normal 4 3 8 4 2 2 2" xfId="36891"/>
    <cellStyle name="Normal 4 3 8 4 2 3" xfId="36892"/>
    <cellStyle name="Normal 4 3 8 4 3" xfId="36893"/>
    <cellStyle name="Normal 4 3 8 4 3 2" xfId="36894"/>
    <cellStyle name="Normal 4 3 8 4 4" xfId="36895"/>
    <cellStyle name="Normal 4 3 8 5" xfId="36896"/>
    <cellStyle name="Normal 4 3 8 5 2" xfId="36897"/>
    <cellStyle name="Normal 4 3 8 5 2 2" xfId="36898"/>
    <cellStyle name="Normal 4 3 8 5 3" xfId="36899"/>
    <cellStyle name="Normal 4 3 8 6" xfId="36900"/>
    <cellStyle name="Normal 4 3 8 6 2" xfId="36901"/>
    <cellStyle name="Normal 4 3 8 7" xfId="36902"/>
    <cellStyle name="Normal 4 3 9" xfId="706"/>
    <cellStyle name="Normal 4 3 9 2" xfId="2066"/>
    <cellStyle name="Normal 4 3 9 2 2" xfId="4786"/>
    <cellStyle name="Normal 4 3 9 2 2 2" xfId="36903"/>
    <cellStyle name="Normal 4 3 9 2 2 2 2" xfId="36904"/>
    <cellStyle name="Normal 4 3 9 2 2 2 2 2" xfId="36905"/>
    <cellStyle name="Normal 4 3 9 2 2 2 3" xfId="36906"/>
    <cellStyle name="Normal 4 3 9 2 2 3" xfId="36907"/>
    <cellStyle name="Normal 4 3 9 2 2 3 2" xfId="36908"/>
    <cellStyle name="Normal 4 3 9 2 2 4" xfId="36909"/>
    <cellStyle name="Normal 4 3 9 2 3" xfId="36910"/>
    <cellStyle name="Normal 4 3 9 2 3 2" xfId="36911"/>
    <cellStyle name="Normal 4 3 9 2 3 2 2" xfId="36912"/>
    <cellStyle name="Normal 4 3 9 2 3 3" xfId="36913"/>
    <cellStyle name="Normal 4 3 9 2 4" xfId="36914"/>
    <cellStyle name="Normal 4 3 9 2 4 2" xfId="36915"/>
    <cellStyle name="Normal 4 3 9 2 5" xfId="36916"/>
    <cellStyle name="Normal 4 3 9 3" xfId="3426"/>
    <cellStyle name="Normal 4 3 9 3 2" xfId="36917"/>
    <cellStyle name="Normal 4 3 9 3 2 2" xfId="36918"/>
    <cellStyle name="Normal 4 3 9 3 2 2 2" xfId="36919"/>
    <cellStyle name="Normal 4 3 9 3 2 3" xfId="36920"/>
    <cellStyle name="Normal 4 3 9 3 3" xfId="36921"/>
    <cellStyle name="Normal 4 3 9 3 3 2" xfId="36922"/>
    <cellStyle name="Normal 4 3 9 3 4" xfId="36923"/>
    <cellStyle name="Normal 4 3 9 4" xfId="36924"/>
    <cellStyle name="Normal 4 3 9 4 2" xfId="36925"/>
    <cellStyle name="Normal 4 3 9 4 2 2" xfId="36926"/>
    <cellStyle name="Normal 4 3 9 4 3" xfId="36927"/>
    <cellStyle name="Normal 4 3 9 5" xfId="36928"/>
    <cellStyle name="Normal 4 3 9 5 2" xfId="36929"/>
    <cellStyle name="Normal 4 3 9 6" xfId="36930"/>
    <cellStyle name="Normal 4 4" xfId="15"/>
    <cellStyle name="Normal 4 5" xfId="35"/>
    <cellStyle name="Normal 4 5 10" xfId="36931"/>
    <cellStyle name="Normal 4 5 10 2" xfId="36932"/>
    <cellStyle name="Normal 4 5 10 2 2" xfId="36933"/>
    <cellStyle name="Normal 4 5 10 3" xfId="36934"/>
    <cellStyle name="Normal 4 5 11" xfId="36935"/>
    <cellStyle name="Normal 4 5 11 2" xfId="36936"/>
    <cellStyle name="Normal 4 5 12" xfId="36937"/>
    <cellStyle name="Normal 4 5 2" xfId="70"/>
    <cellStyle name="Normal 4 5 2 10" xfId="36938"/>
    <cellStyle name="Normal 4 5 2 10 2" xfId="36939"/>
    <cellStyle name="Normal 4 5 2 11" xfId="36940"/>
    <cellStyle name="Normal 4 5 2 2" xfId="138"/>
    <cellStyle name="Normal 4 5 2 2 10" xfId="36941"/>
    <cellStyle name="Normal 4 5 2 2 2" xfId="275"/>
    <cellStyle name="Normal 4 5 2 2 2 2" xfId="547"/>
    <cellStyle name="Normal 4 5 2 2 2 2 2" xfId="1227"/>
    <cellStyle name="Normal 4 5 2 2 2 2 2 2" xfId="2587"/>
    <cellStyle name="Normal 4 5 2 2 2 2 2 2 2" xfId="5307"/>
    <cellStyle name="Normal 4 5 2 2 2 2 2 2 2 2" xfId="36942"/>
    <cellStyle name="Normal 4 5 2 2 2 2 2 2 2 2 2" xfId="36943"/>
    <cellStyle name="Normal 4 5 2 2 2 2 2 2 2 2 2 2" xfId="36944"/>
    <cellStyle name="Normal 4 5 2 2 2 2 2 2 2 2 3" xfId="36945"/>
    <cellStyle name="Normal 4 5 2 2 2 2 2 2 2 3" xfId="36946"/>
    <cellStyle name="Normal 4 5 2 2 2 2 2 2 2 3 2" xfId="36947"/>
    <cellStyle name="Normal 4 5 2 2 2 2 2 2 2 4" xfId="36948"/>
    <cellStyle name="Normal 4 5 2 2 2 2 2 2 3" xfId="36949"/>
    <cellStyle name="Normal 4 5 2 2 2 2 2 2 3 2" xfId="36950"/>
    <cellStyle name="Normal 4 5 2 2 2 2 2 2 3 2 2" xfId="36951"/>
    <cellStyle name="Normal 4 5 2 2 2 2 2 2 3 3" xfId="36952"/>
    <cellStyle name="Normal 4 5 2 2 2 2 2 2 4" xfId="36953"/>
    <cellStyle name="Normal 4 5 2 2 2 2 2 2 4 2" xfId="36954"/>
    <cellStyle name="Normal 4 5 2 2 2 2 2 2 5" xfId="36955"/>
    <cellStyle name="Normal 4 5 2 2 2 2 2 3" xfId="3947"/>
    <cellStyle name="Normal 4 5 2 2 2 2 2 3 2" xfId="36956"/>
    <cellStyle name="Normal 4 5 2 2 2 2 2 3 2 2" xfId="36957"/>
    <cellStyle name="Normal 4 5 2 2 2 2 2 3 2 2 2" xfId="36958"/>
    <cellStyle name="Normal 4 5 2 2 2 2 2 3 2 3" xfId="36959"/>
    <cellStyle name="Normal 4 5 2 2 2 2 2 3 3" xfId="36960"/>
    <cellStyle name="Normal 4 5 2 2 2 2 2 3 3 2" xfId="36961"/>
    <cellStyle name="Normal 4 5 2 2 2 2 2 3 4" xfId="36962"/>
    <cellStyle name="Normal 4 5 2 2 2 2 2 4" xfId="36963"/>
    <cellStyle name="Normal 4 5 2 2 2 2 2 4 2" xfId="36964"/>
    <cellStyle name="Normal 4 5 2 2 2 2 2 4 2 2" xfId="36965"/>
    <cellStyle name="Normal 4 5 2 2 2 2 2 4 3" xfId="36966"/>
    <cellStyle name="Normal 4 5 2 2 2 2 2 5" xfId="36967"/>
    <cellStyle name="Normal 4 5 2 2 2 2 2 5 2" xfId="36968"/>
    <cellStyle name="Normal 4 5 2 2 2 2 2 6" xfId="36969"/>
    <cellStyle name="Normal 4 5 2 2 2 2 3" xfId="1907"/>
    <cellStyle name="Normal 4 5 2 2 2 2 3 2" xfId="4627"/>
    <cellStyle name="Normal 4 5 2 2 2 2 3 2 2" xfId="36970"/>
    <cellStyle name="Normal 4 5 2 2 2 2 3 2 2 2" xfId="36971"/>
    <cellStyle name="Normal 4 5 2 2 2 2 3 2 2 2 2" xfId="36972"/>
    <cellStyle name="Normal 4 5 2 2 2 2 3 2 2 3" xfId="36973"/>
    <cellStyle name="Normal 4 5 2 2 2 2 3 2 3" xfId="36974"/>
    <cellStyle name="Normal 4 5 2 2 2 2 3 2 3 2" xfId="36975"/>
    <cellStyle name="Normal 4 5 2 2 2 2 3 2 4" xfId="36976"/>
    <cellStyle name="Normal 4 5 2 2 2 2 3 3" xfId="36977"/>
    <cellStyle name="Normal 4 5 2 2 2 2 3 3 2" xfId="36978"/>
    <cellStyle name="Normal 4 5 2 2 2 2 3 3 2 2" xfId="36979"/>
    <cellStyle name="Normal 4 5 2 2 2 2 3 3 3" xfId="36980"/>
    <cellStyle name="Normal 4 5 2 2 2 2 3 4" xfId="36981"/>
    <cellStyle name="Normal 4 5 2 2 2 2 3 4 2" xfId="36982"/>
    <cellStyle name="Normal 4 5 2 2 2 2 3 5" xfId="36983"/>
    <cellStyle name="Normal 4 5 2 2 2 2 4" xfId="3267"/>
    <cellStyle name="Normal 4 5 2 2 2 2 4 2" xfId="36984"/>
    <cellStyle name="Normal 4 5 2 2 2 2 4 2 2" xfId="36985"/>
    <cellStyle name="Normal 4 5 2 2 2 2 4 2 2 2" xfId="36986"/>
    <cellStyle name="Normal 4 5 2 2 2 2 4 2 3" xfId="36987"/>
    <cellStyle name="Normal 4 5 2 2 2 2 4 3" xfId="36988"/>
    <cellStyle name="Normal 4 5 2 2 2 2 4 3 2" xfId="36989"/>
    <cellStyle name="Normal 4 5 2 2 2 2 4 4" xfId="36990"/>
    <cellStyle name="Normal 4 5 2 2 2 2 5" xfId="36991"/>
    <cellStyle name="Normal 4 5 2 2 2 2 5 2" xfId="36992"/>
    <cellStyle name="Normal 4 5 2 2 2 2 5 2 2" xfId="36993"/>
    <cellStyle name="Normal 4 5 2 2 2 2 5 3" xfId="36994"/>
    <cellStyle name="Normal 4 5 2 2 2 2 6" xfId="36995"/>
    <cellStyle name="Normal 4 5 2 2 2 2 6 2" xfId="36996"/>
    <cellStyle name="Normal 4 5 2 2 2 2 7" xfId="36997"/>
    <cellStyle name="Normal 4 5 2 2 2 3" xfId="955"/>
    <cellStyle name="Normal 4 5 2 2 2 3 2" xfId="2315"/>
    <cellStyle name="Normal 4 5 2 2 2 3 2 2" xfId="5035"/>
    <cellStyle name="Normal 4 5 2 2 2 3 2 2 2" xfId="36998"/>
    <cellStyle name="Normal 4 5 2 2 2 3 2 2 2 2" xfId="36999"/>
    <cellStyle name="Normal 4 5 2 2 2 3 2 2 2 2 2" xfId="37000"/>
    <cellStyle name="Normal 4 5 2 2 2 3 2 2 2 3" xfId="37001"/>
    <cellStyle name="Normal 4 5 2 2 2 3 2 2 3" xfId="37002"/>
    <cellStyle name="Normal 4 5 2 2 2 3 2 2 3 2" xfId="37003"/>
    <cellStyle name="Normal 4 5 2 2 2 3 2 2 4" xfId="37004"/>
    <cellStyle name="Normal 4 5 2 2 2 3 2 3" xfId="37005"/>
    <cellStyle name="Normal 4 5 2 2 2 3 2 3 2" xfId="37006"/>
    <cellStyle name="Normal 4 5 2 2 2 3 2 3 2 2" xfId="37007"/>
    <cellStyle name="Normal 4 5 2 2 2 3 2 3 3" xfId="37008"/>
    <cellStyle name="Normal 4 5 2 2 2 3 2 4" xfId="37009"/>
    <cellStyle name="Normal 4 5 2 2 2 3 2 4 2" xfId="37010"/>
    <cellStyle name="Normal 4 5 2 2 2 3 2 5" xfId="37011"/>
    <cellStyle name="Normal 4 5 2 2 2 3 3" xfId="3675"/>
    <cellStyle name="Normal 4 5 2 2 2 3 3 2" xfId="37012"/>
    <cellStyle name="Normal 4 5 2 2 2 3 3 2 2" xfId="37013"/>
    <cellStyle name="Normal 4 5 2 2 2 3 3 2 2 2" xfId="37014"/>
    <cellStyle name="Normal 4 5 2 2 2 3 3 2 3" xfId="37015"/>
    <cellStyle name="Normal 4 5 2 2 2 3 3 3" xfId="37016"/>
    <cellStyle name="Normal 4 5 2 2 2 3 3 3 2" xfId="37017"/>
    <cellStyle name="Normal 4 5 2 2 2 3 3 4" xfId="37018"/>
    <cellStyle name="Normal 4 5 2 2 2 3 4" xfId="37019"/>
    <cellStyle name="Normal 4 5 2 2 2 3 4 2" xfId="37020"/>
    <cellStyle name="Normal 4 5 2 2 2 3 4 2 2" xfId="37021"/>
    <cellStyle name="Normal 4 5 2 2 2 3 4 3" xfId="37022"/>
    <cellStyle name="Normal 4 5 2 2 2 3 5" xfId="37023"/>
    <cellStyle name="Normal 4 5 2 2 2 3 5 2" xfId="37024"/>
    <cellStyle name="Normal 4 5 2 2 2 3 6" xfId="37025"/>
    <cellStyle name="Normal 4 5 2 2 2 4" xfId="1635"/>
    <cellStyle name="Normal 4 5 2 2 2 4 2" xfId="4355"/>
    <cellStyle name="Normal 4 5 2 2 2 4 2 2" xfId="37026"/>
    <cellStyle name="Normal 4 5 2 2 2 4 2 2 2" xfId="37027"/>
    <cellStyle name="Normal 4 5 2 2 2 4 2 2 2 2" xfId="37028"/>
    <cellStyle name="Normal 4 5 2 2 2 4 2 2 3" xfId="37029"/>
    <cellStyle name="Normal 4 5 2 2 2 4 2 3" xfId="37030"/>
    <cellStyle name="Normal 4 5 2 2 2 4 2 3 2" xfId="37031"/>
    <cellStyle name="Normal 4 5 2 2 2 4 2 4" xfId="37032"/>
    <cellStyle name="Normal 4 5 2 2 2 4 3" xfId="37033"/>
    <cellStyle name="Normal 4 5 2 2 2 4 3 2" xfId="37034"/>
    <cellStyle name="Normal 4 5 2 2 2 4 3 2 2" xfId="37035"/>
    <cellStyle name="Normal 4 5 2 2 2 4 3 3" xfId="37036"/>
    <cellStyle name="Normal 4 5 2 2 2 4 4" xfId="37037"/>
    <cellStyle name="Normal 4 5 2 2 2 4 4 2" xfId="37038"/>
    <cellStyle name="Normal 4 5 2 2 2 4 5" xfId="37039"/>
    <cellStyle name="Normal 4 5 2 2 2 5" xfId="2995"/>
    <cellStyle name="Normal 4 5 2 2 2 5 2" xfId="37040"/>
    <cellStyle name="Normal 4 5 2 2 2 5 2 2" xfId="37041"/>
    <cellStyle name="Normal 4 5 2 2 2 5 2 2 2" xfId="37042"/>
    <cellStyle name="Normal 4 5 2 2 2 5 2 3" xfId="37043"/>
    <cellStyle name="Normal 4 5 2 2 2 5 3" xfId="37044"/>
    <cellStyle name="Normal 4 5 2 2 2 5 3 2" xfId="37045"/>
    <cellStyle name="Normal 4 5 2 2 2 5 4" xfId="37046"/>
    <cellStyle name="Normal 4 5 2 2 2 6" xfId="37047"/>
    <cellStyle name="Normal 4 5 2 2 2 6 2" xfId="37048"/>
    <cellStyle name="Normal 4 5 2 2 2 6 2 2" xfId="37049"/>
    <cellStyle name="Normal 4 5 2 2 2 6 3" xfId="37050"/>
    <cellStyle name="Normal 4 5 2 2 2 7" xfId="37051"/>
    <cellStyle name="Normal 4 5 2 2 2 7 2" xfId="37052"/>
    <cellStyle name="Normal 4 5 2 2 2 8" xfId="37053"/>
    <cellStyle name="Normal 4 5 2 2 3" xfId="411"/>
    <cellStyle name="Normal 4 5 2 2 3 2" xfId="1091"/>
    <cellStyle name="Normal 4 5 2 2 3 2 2" xfId="2451"/>
    <cellStyle name="Normal 4 5 2 2 3 2 2 2" xfId="5171"/>
    <cellStyle name="Normal 4 5 2 2 3 2 2 2 2" xfId="37054"/>
    <cellStyle name="Normal 4 5 2 2 3 2 2 2 2 2" xfId="37055"/>
    <cellStyle name="Normal 4 5 2 2 3 2 2 2 2 2 2" xfId="37056"/>
    <cellStyle name="Normal 4 5 2 2 3 2 2 2 2 3" xfId="37057"/>
    <cellStyle name="Normal 4 5 2 2 3 2 2 2 3" xfId="37058"/>
    <cellStyle name="Normal 4 5 2 2 3 2 2 2 3 2" xfId="37059"/>
    <cellStyle name="Normal 4 5 2 2 3 2 2 2 4" xfId="37060"/>
    <cellStyle name="Normal 4 5 2 2 3 2 2 3" xfId="37061"/>
    <cellStyle name="Normal 4 5 2 2 3 2 2 3 2" xfId="37062"/>
    <cellStyle name="Normal 4 5 2 2 3 2 2 3 2 2" xfId="37063"/>
    <cellStyle name="Normal 4 5 2 2 3 2 2 3 3" xfId="37064"/>
    <cellStyle name="Normal 4 5 2 2 3 2 2 4" xfId="37065"/>
    <cellStyle name="Normal 4 5 2 2 3 2 2 4 2" xfId="37066"/>
    <cellStyle name="Normal 4 5 2 2 3 2 2 5" xfId="37067"/>
    <cellStyle name="Normal 4 5 2 2 3 2 3" xfId="3811"/>
    <cellStyle name="Normal 4 5 2 2 3 2 3 2" xfId="37068"/>
    <cellStyle name="Normal 4 5 2 2 3 2 3 2 2" xfId="37069"/>
    <cellStyle name="Normal 4 5 2 2 3 2 3 2 2 2" xfId="37070"/>
    <cellStyle name="Normal 4 5 2 2 3 2 3 2 3" xfId="37071"/>
    <cellStyle name="Normal 4 5 2 2 3 2 3 3" xfId="37072"/>
    <cellStyle name="Normal 4 5 2 2 3 2 3 3 2" xfId="37073"/>
    <cellStyle name="Normal 4 5 2 2 3 2 3 4" xfId="37074"/>
    <cellStyle name="Normal 4 5 2 2 3 2 4" xfId="37075"/>
    <cellStyle name="Normal 4 5 2 2 3 2 4 2" xfId="37076"/>
    <cellStyle name="Normal 4 5 2 2 3 2 4 2 2" xfId="37077"/>
    <cellStyle name="Normal 4 5 2 2 3 2 4 3" xfId="37078"/>
    <cellStyle name="Normal 4 5 2 2 3 2 5" xfId="37079"/>
    <cellStyle name="Normal 4 5 2 2 3 2 5 2" xfId="37080"/>
    <cellStyle name="Normal 4 5 2 2 3 2 6" xfId="37081"/>
    <cellStyle name="Normal 4 5 2 2 3 3" xfId="1771"/>
    <cellStyle name="Normal 4 5 2 2 3 3 2" xfId="4491"/>
    <cellStyle name="Normal 4 5 2 2 3 3 2 2" xfId="37082"/>
    <cellStyle name="Normal 4 5 2 2 3 3 2 2 2" xfId="37083"/>
    <cellStyle name="Normal 4 5 2 2 3 3 2 2 2 2" xfId="37084"/>
    <cellStyle name="Normal 4 5 2 2 3 3 2 2 3" xfId="37085"/>
    <cellStyle name="Normal 4 5 2 2 3 3 2 3" xfId="37086"/>
    <cellStyle name="Normal 4 5 2 2 3 3 2 3 2" xfId="37087"/>
    <cellStyle name="Normal 4 5 2 2 3 3 2 4" xfId="37088"/>
    <cellStyle name="Normal 4 5 2 2 3 3 3" xfId="37089"/>
    <cellStyle name="Normal 4 5 2 2 3 3 3 2" xfId="37090"/>
    <cellStyle name="Normal 4 5 2 2 3 3 3 2 2" xfId="37091"/>
    <cellStyle name="Normal 4 5 2 2 3 3 3 3" xfId="37092"/>
    <cellStyle name="Normal 4 5 2 2 3 3 4" xfId="37093"/>
    <cellStyle name="Normal 4 5 2 2 3 3 4 2" xfId="37094"/>
    <cellStyle name="Normal 4 5 2 2 3 3 5" xfId="37095"/>
    <cellStyle name="Normal 4 5 2 2 3 4" xfId="3131"/>
    <cellStyle name="Normal 4 5 2 2 3 4 2" xfId="37096"/>
    <cellStyle name="Normal 4 5 2 2 3 4 2 2" xfId="37097"/>
    <cellStyle name="Normal 4 5 2 2 3 4 2 2 2" xfId="37098"/>
    <cellStyle name="Normal 4 5 2 2 3 4 2 3" xfId="37099"/>
    <cellStyle name="Normal 4 5 2 2 3 4 3" xfId="37100"/>
    <cellStyle name="Normal 4 5 2 2 3 4 3 2" xfId="37101"/>
    <cellStyle name="Normal 4 5 2 2 3 4 4" xfId="37102"/>
    <cellStyle name="Normal 4 5 2 2 3 5" xfId="37103"/>
    <cellStyle name="Normal 4 5 2 2 3 5 2" xfId="37104"/>
    <cellStyle name="Normal 4 5 2 2 3 5 2 2" xfId="37105"/>
    <cellStyle name="Normal 4 5 2 2 3 5 3" xfId="37106"/>
    <cellStyle name="Normal 4 5 2 2 3 6" xfId="37107"/>
    <cellStyle name="Normal 4 5 2 2 3 6 2" xfId="37108"/>
    <cellStyle name="Normal 4 5 2 2 3 7" xfId="37109"/>
    <cellStyle name="Normal 4 5 2 2 4" xfId="683"/>
    <cellStyle name="Normal 4 5 2 2 4 2" xfId="1363"/>
    <cellStyle name="Normal 4 5 2 2 4 2 2" xfId="2723"/>
    <cellStyle name="Normal 4 5 2 2 4 2 2 2" xfId="5443"/>
    <cellStyle name="Normal 4 5 2 2 4 2 2 2 2" xfId="37110"/>
    <cellStyle name="Normal 4 5 2 2 4 2 2 2 2 2" xfId="37111"/>
    <cellStyle name="Normal 4 5 2 2 4 2 2 2 2 2 2" xfId="37112"/>
    <cellStyle name="Normal 4 5 2 2 4 2 2 2 2 3" xfId="37113"/>
    <cellStyle name="Normal 4 5 2 2 4 2 2 2 3" xfId="37114"/>
    <cellStyle name="Normal 4 5 2 2 4 2 2 2 3 2" xfId="37115"/>
    <cellStyle name="Normal 4 5 2 2 4 2 2 2 4" xfId="37116"/>
    <cellStyle name="Normal 4 5 2 2 4 2 2 3" xfId="37117"/>
    <cellStyle name="Normal 4 5 2 2 4 2 2 3 2" xfId="37118"/>
    <cellStyle name="Normal 4 5 2 2 4 2 2 3 2 2" xfId="37119"/>
    <cellStyle name="Normal 4 5 2 2 4 2 2 3 3" xfId="37120"/>
    <cellStyle name="Normal 4 5 2 2 4 2 2 4" xfId="37121"/>
    <cellStyle name="Normal 4 5 2 2 4 2 2 4 2" xfId="37122"/>
    <cellStyle name="Normal 4 5 2 2 4 2 2 5" xfId="37123"/>
    <cellStyle name="Normal 4 5 2 2 4 2 3" xfId="4083"/>
    <cellStyle name="Normal 4 5 2 2 4 2 3 2" xfId="37124"/>
    <cellStyle name="Normal 4 5 2 2 4 2 3 2 2" xfId="37125"/>
    <cellStyle name="Normal 4 5 2 2 4 2 3 2 2 2" xfId="37126"/>
    <cellStyle name="Normal 4 5 2 2 4 2 3 2 3" xfId="37127"/>
    <cellStyle name="Normal 4 5 2 2 4 2 3 3" xfId="37128"/>
    <cellStyle name="Normal 4 5 2 2 4 2 3 3 2" xfId="37129"/>
    <cellStyle name="Normal 4 5 2 2 4 2 3 4" xfId="37130"/>
    <cellStyle name="Normal 4 5 2 2 4 2 4" xfId="37131"/>
    <cellStyle name="Normal 4 5 2 2 4 2 4 2" xfId="37132"/>
    <cellStyle name="Normal 4 5 2 2 4 2 4 2 2" xfId="37133"/>
    <cellStyle name="Normal 4 5 2 2 4 2 4 3" xfId="37134"/>
    <cellStyle name="Normal 4 5 2 2 4 2 5" xfId="37135"/>
    <cellStyle name="Normal 4 5 2 2 4 2 5 2" xfId="37136"/>
    <cellStyle name="Normal 4 5 2 2 4 2 6" xfId="37137"/>
    <cellStyle name="Normal 4 5 2 2 4 3" xfId="2043"/>
    <cellStyle name="Normal 4 5 2 2 4 3 2" xfId="4763"/>
    <cellStyle name="Normal 4 5 2 2 4 3 2 2" xfId="37138"/>
    <cellStyle name="Normal 4 5 2 2 4 3 2 2 2" xfId="37139"/>
    <cellStyle name="Normal 4 5 2 2 4 3 2 2 2 2" xfId="37140"/>
    <cellStyle name="Normal 4 5 2 2 4 3 2 2 3" xfId="37141"/>
    <cellStyle name="Normal 4 5 2 2 4 3 2 3" xfId="37142"/>
    <cellStyle name="Normal 4 5 2 2 4 3 2 3 2" xfId="37143"/>
    <cellStyle name="Normal 4 5 2 2 4 3 2 4" xfId="37144"/>
    <cellStyle name="Normal 4 5 2 2 4 3 3" xfId="37145"/>
    <cellStyle name="Normal 4 5 2 2 4 3 3 2" xfId="37146"/>
    <cellStyle name="Normal 4 5 2 2 4 3 3 2 2" xfId="37147"/>
    <cellStyle name="Normal 4 5 2 2 4 3 3 3" xfId="37148"/>
    <cellStyle name="Normal 4 5 2 2 4 3 4" xfId="37149"/>
    <cellStyle name="Normal 4 5 2 2 4 3 4 2" xfId="37150"/>
    <cellStyle name="Normal 4 5 2 2 4 3 5" xfId="37151"/>
    <cellStyle name="Normal 4 5 2 2 4 4" xfId="3403"/>
    <cellStyle name="Normal 4 5 2 2 4 4 2" xfId="37152"/>
    <cellStyle name="Normal 4 5 2 2 4 4 2 2" xfId="37153"/>
    <cellStyle name="Normal 4 5 2 2 4 4 2 2 2" xfId="37154"/>
    <cellStyle name="Normal 4 5 2 2 4 4 2 3" xfId="37155"/>
    <cellStyle name="Normal 4 5 2 2 4 4 3" xfId="37156"/>
    <cellStyle name="Normal 4 5 2 2 4 4 3 2" xfId="37157"/>
    <cellStyle name="Normal 4 5 2 2 4 4 4" xfId="37158"/>
    <cellStyle name="Normal 4 5 2 2 4 5" xfId="37159"/>
    <cellStyle name="Normal 4 5 2 2 4 5 2" xfId="37160"/>
    <cellStyle name="Normal 4 5 2 2 4 5 2 2" xfId="37161"/>
    <cellStyle name="Normal 4 5 2 2 4 5 3" xfId="37162"/>
    <cellStyle name="Normal 4 5 2 2 4 6" xfId="37163"/>
    <cellStyle name="Normal 4 5 2 2 4 6 2" xfId="37164"/>
    <cellStyle name="Normal 4 5 2 2 4 7" xfId="37165"/>
    <cellStyle name="Normal 4 5 2 2 5" xfId="819"/>
    <cellStyle name="Normal 4 5 2 2 5 2" xfId="2179"/>
    <cellStyle name="Normal 4 5 2 2 5 2 2" xfId="4899"/>
    <cellStyle name="Normal 4 5 2 2 5 2 2 2" xfId="37166"/>
    <cellStyle name="Normal 4 5 2 2 5 2 2 2 2" xfId="37167"/>
    <cellStyle name="Normal 4 5 2 2 5 2 2 2 2 2" xfId="37168"/>
    <cellStyle name="Normal 4 5 2 2 5 2 2 2 3" xfId="37169"/>
    <cellStyle name="Normal 4 5 2 2 5 2 2 3" xfId="37170"/>
    <cellStyle name="Normal 4 5 2 2 5 2 2 3 2" xfId="37171"/>
    <cellStyle name="Normal 4 5 2 2 5 2 2 4" xfId="37172"/>
    <cellStyle name="Normal 4 5 2 2 5 2 3" xfId="37173"/>
    <cellStyle name="Normal 4 5 2 2 5 2 3 2" xfId="37174"/>
    <cellStyle name="Normal 4 5 2 2 5 2 3 2 2" xfId="37175"/>
    <cellStyle name="Normal 4 5 2 2 5 2 3 3" xfId="37176"/>
    <cellStyle name="Normal 4 5 2 2 5 2 4" xfId="37177"/>
    <cellStyle name="Normal 4 5 2 2 5 2 4 2" xfId="37178"/>
    <cellStyle name="Normal 4 5 2 2 5 2 5" xfId="37179"/>
    <cellStyle name="Normal 4 5 2 2 5 3" xfId="3539"/>
    <cellStyle name="Normal 4 5 2 2 5 3 2" xfId="37180"/>
    <cellStyle name="Normal 4 5 2 2 5 3 2 2" xfId="37181"/>
    <cellStyle name="Normal 4 5 2 2 5 3 2 2 2" xfId="37182"/>
    <cellStyle name="Normal 4 5 2 2 5 3 2 3" xfId="37183"/>
    <cellStyle name="Normal 4 5 2 2 5 3 3" xfId="37184"/>
    <cellStyle name="Normal 4 5 2 2 5 3 3 2" xfId="37185"/>
    <cellStyle name="Normal 4 5 2 2 5 3 4" xfId="37186"/>
    <cellStyle name="Normal 4 5 2 2 5 4" xfId="37187"/>
    <cellStyle name="Normal 4 5 2 2 5 4 2" xfId="37188"/>
    <cellStyle name="Normal 4 5 2 2 5 4 2 2" xfId="37189"/>
    <cellStyle name="Normal 4 5 2 2 5 4 3" xfId="37190"/>
    <cellStyle name="Normal 4 5 2 2 5 5" xfId="37191"/>
    <cellStyle name="Normal 4 5 2 2 5 5 2" xfId="37192"/>
    <cellStyle name="Normal 4 5 2 2 5 6" xfId="37193"/>
    <cellStyle name="Normal 4 5 2 2 6" xfId="1499"/>
    <cellStyle name="Normal 4 5 2 2 6 2" xfId="4219"/>
    <cellStyle name="Normal 4 5 2 2 6 2 2" xfId="37194"/>
    <cellStyle name="Normal 4 5 2 2 6 2 2 2" xfId="37195"/>
    <cellStyle name="Normal 4 5 2 2 6 2 2 2 2" xfId="37196"/>
    <cellStyle name="Normal 4 5 2 2 6 2 2 3" xfId="37197"/>
    <cellStyle name="Normal 4 5 2 2 6 2 3" xfId="37198"/>
    <cellStyle name="Normal 4 5 2 2 6 2 3 2" xfId="37199"/>
    <cellStyle name="Normal 4 5 2 2 6 2 4" xfId="37200"/>
    <cellStyle name="Normal 4 5 2 2 6 3" xfId="37201"/>
    <cellStyle name="Normal 4 5 2 2 6 3 2" xfId="37202"/>
    <cellStyle name="Normal 4 5 2 2 6 3 2 2" xfId="37203"/>
    <cellStyle name="Normal 4 5 2 2 6 3 3" xfId="37204"/>
    <cellStyle name="Normal 4 5 2 2 6 4" xfId="37205"/>
    <cellStyle name="Normal 4 5 2 2 6 4 2" xfId="37206"/>
    <cellStyle name="Normal 4 5 2 2 6 5" xfId="37207"/>
    <cellStyle name="Normal 4 5 2 2 7" xfId="2859"/>
    <cellStyle name="Normal 4 5 2 2 7 2" xfId="37208"/>
    <cellStyle name="Normal 4 5 2 2 7 2 2" xfId="37209"/>
    <cellStyle name="Normal 4 5 2 2 7 2 2 2" xfId="37210"/>
    <cellStyle name="Normal 4 5 2 2 7 2 3" xfId="37211"/>
    <cellStyle name="Normal 4 5 2 2 7 3" xfId="37212"/>
    <cellStyle name="Normal 4 5 2 2 7 3 2" xfId="37213"/>
    <cellStyle name="Normal 4 5 2 2 7 4" xfId="37214"/>
    <cellStyle name="Normal 4 5 2 2 8" xfId="37215"/>
    <cellStyle name="Normal 4 5 2 2 8 2" xfId="37216"/>
    <cellStyle name="Normal 4 5 2 2 8 2 2" xfId="37217"/>
    <cellStyle name="Normal 4 5 2 2 8 3" xfId="37218"/>
    <cellStyle name="Normal 4 5 2 2 9" xfId="37219"/>
    <cellStyle name="Normal 4 5 2 2 9 2" xfId="37220"/>
    <cellStyle name="Normal 4 5 2 3" xfId="207"/>
    <cellStyle name="Normal 4 5 2 3 2" xfId="479"/>
    <cellStyle name="Normal 4 5 2 3 2 2" xfId="1159"/>
    <cellStyle name="Normal 4 5 2 3 2 2 2" xfId="2519"/>
    <cellStyle name="Normal 4 5 2 3 2 2 2 2" xfId="5239"/>
    <cellStyle name="Normal 4 5 2 3 2 2 2 2 2" xfId="37221"/>
    <cellStyle name="Normal 4 5 2 3 2 2 2 2 2 2" xfId="37222"/>
    <cellStyle name="Normal 4 5 2 3 2 2 2 2 2 2 2" xfId="37223"/>
    <cellStyle name="Normal 4 5 2 3 2 2 2 2 2 3" xfId="37224"/>
    <cellStyle name="Normal 4 5 2 3 2 2 2 2 3" xfId="37225"/>
    <cellStyle name="Normal 4 5 2 3 2 2 2 2 3 2" xfId="37226"/>
    <cellStyle name="Normal 4 5 2 3 2 2 2 2 4" xfId="37227"/>
    <cellStyle name="Normal 4 5 2 3 2 2 2 3" xfId="37228"/>
    <cellStyle name="Normal 4 5 2 3 2 2 2 3 2" xfId="37229"/>
    <cellStyle name="Normal 4 5 2 3 2 2 2 3 2 2" xfId="37230"/>
    <cellStyle name="Normal 4 5 2 3 2 2 2 3 3" xfId="37231"/>
    <cellStyle name="Normal 4 5 2 3 2 2 2 4" xfId="37232"/>
    <cellStyle name="Normal 4 5 2 3 2 2 2 4 2" xfId="37233"/>
    <cellStyle name="Normal 4 5 2 3 2 2 2 5" xfId="37234"/>
    <cellStyle name="Normal 4 5 2 3 2 2 3" xfId="3879"/>
    <cellStyle name="Normal 4 5 2 3 2 2 3 2" xfId="37235"/>
    <cellStyle name="Normal 4 5 2 3 2 2 3 2 2" xfId="37236"/>
    <cellStyle name="Normal 4 5 2 3 2 2 3 2 2 2" xfId="37237"/>
    <cellStyle name="Normal 4 5 2 3 2 2 3 2 3" xfId="37238"/>
    <cellStyle name="Normal 4 5 2 3 2 2 3 3" xfId="37239"/>
    <cellStyle name="Normal 4 5 2 3 2 2 3 3 2" xfId="37240"/>
    <cellStyle name="Normal 4 5 2 3 2 2 3 4" xfId="37241"/>
    <cellStyle name="Normal 4 5 2 3 2 2 4" xfId="37242"/>
    <cellStyle name="Normal 4 5 2 3 2 2 4 2" xfId="37243"/>
    <cellStyle name="Normal 4 5 2 3 2 2 4 2 2" xfId="37244"/>
    <cellStyle name="Normal 4 5 2 3 2 2 4 3" xfId="37245"/>
    <cellStyle name="Normal 4 5 2 3 2 2 5" xfId="37246"/>
    <cellStyle name="Normal 4 5 2 3 2 2 5 2" xfId="37247"/>
    <cellStyle name="Normal 4 5 2 3 2 2 6" xfId="37248"/>
    <cellStyle name="Normal 4 5 2 3 2 3" xfId="1839"/>
    <cellStyle name="Normal 4 5 2 3 2 3 2" xfId="4559"/>
    <cellStyle name="Normal 4 5 2 3 2 3 2 2" xfId="37249"/>
    <cellStyle name="Normal 4 5 2 3 2 3 2 2 2" xfId="37250"/>
    <cellStyle name="Normal 4 5 2 3 2 3 2 2 2 2" xfId="37251"/>
    <cellStyle name="Normal 4 5 2 3 2 3 2 2 3" xfId="37252"/>
    <cellStyle name="Normal 4 5 2 3 2 3 2 3" xfId="37253"/>
    <cellStyle name="Normal 4 5 2 3 2 3 2 3 2" xfId="37254"/>
    <cellStyle name="Normal 4 5 2 3 2 3 2 4" xfId="37255"/>
    <cellStyle name="Normal 4 5 2 3 2 3 3" xfId="37256"/>
    <cellStyle name="Normal 4 5 2 3 2 3 3 2" xfId="37257"/>
    <cellStyle name="Normal 4 5 2 3 2 3 3 2 2" xfId="37258"/>
    <cellStyle name="Normal 4 5 2 3 2 3 3 3" xfId="37259"/>
    <cellStyle name="Normal 4 5 2 3 2 3 4" xfId="37260"/>
    <cellStyle name="Normal 4 5 2 3 2 3 4 2" xfId="37261"/>
    <cellStyle name="Normal 4 5 2 3 2 3 5" xfId="37262"/>
    <cellStyle name="Normal 4 5 2 3 2 4" xfId="3199"/>
    <cellStyle name="Normal 4 5 2 3 2 4 2" xfId="37263"/>
    <cellStyle name="Normal 4 5 2 3 2 4 2 2" xfId="37264"/>
    <cellStyle name="Normal 4 5 2 3 2 4 2 2 2" xfId="37265"/>
    <cellStyle name="Normal 4 5 2 3 2 4 2 3" xfId="37266"/>
    <cellStyle name="Normal 4 5 2 3 2 4 3" xfId="37267"/>
    <cellStyle name="Normal 4 5 2 3 2 4 3 2" xfId="37268"/>
    <cellStyle name="Normal 4 5 2 3 2 4 4" xfId="37269"/>
    <cellStyle name="Normal 4 5 2 3 2 5" xfId="37270"/>
    <cellStyle name="Normal 4 5 2 3 2 5 2" xfId="37271"/>
    <cellStyle name="Normal 4 5 2 3 2 5 2 2" xfId="37272"/>
    <cellStyle name="Normal 4 5 2 3 2 5 3" xfId="37273"/>
    <cellStyle name="Normal 4 5 2 3 2 6" xfId="37274"/>
    <cellStyle name="Normal 4 5 2 3 2 6 2" xfId="37275"/>
    <cellStyle name="Normal 4 5 2 3 2 7" xfId="37276"/>
    <cellStyle name="Normal 4 5 2 3 3" xfId="887"/>
    <cellStyle name="Normal 4 5 2 3 3 2" xfId="2247"/>
    <cellStyle name="Normal 4 5 2 3 3 2 2" xfId="4967"/>
    <cellStyle name="Normal 4 5 2 3 3 2 2 2" xfId="37277"/>
    <cellStyle name="Normal 4 5 2 3 3 2 2 2 2" xfId="37278"/>
    <cellStyle name="Normal 4 5 2 3 3 2 2 2 2 2" xfId="37279"/>
    <cellStyle name="Normal 4 5 2 3 3 2 2 2 3" xfId="37280"/>
    <cellStyle name="Normal 4 5 2 3 3 2 2 3" xfId="37281"/>
    <cellStyle name="Normal 4 5 2 3 3 2 2 3 2" xfId="37282"/>
    <cellStyle name="Normal 4 5 2 3 3 2 2 4" xfId="37283"/>
    <cellStyle name="Normal 4 5 2 3 3 2 3" xfId="37284"/>
    <cellStyle name="Normal 4 5 2 3 3 2 3 2" xfId="37285"/>
    <cellStyle name="Normal 4 5 2 3 3 2 3 2 2" xfId="37286"/>
    <cellStyle name="Normal 4 5 2 3 3 2 3 3" xfId="37287"/>
    <cellStyle name="Normal 4 5 2 3 3 2 4" xfId="37288"/>
    <cellStyle name="Normal 4 5 2 3 3 2 4 2" xfId="37289"/>
    <cellStyle name="Normal 4 5 2 3 3 2 5" xfId="37290"/>
    <cellStyle name="Normal 4 5 2 3 3 3" xfId="3607"/>
    <cellStyle name="Normal 4 5 2 3 3 3 2" xfId="37291"/>
    <cellStyle name="Normal 4 5 2 3 3 3 2 2" xfId="37292"/>
    <cellStyle name="Normal 4 5 2 3 3 3 2 2 2" xfId="37293"/>
    <cellStyle name="Normal 4 5 2 3 3 3 2 3" xfId="37294"/>
    <cellStyle name="Normal 4 5 2 3 3 3 3" xfId="37295"/>
    <cellStyle name="Normal 4 5 2 3 3 3 3 2" xfId="37296"/>
    <cellStyle name="Normal 4 5 2 3 3 3 4" xfId="37297"/>
    <cellStyle name="Normal 4 5 2 3 3 4" xfId="37298"/>
    <cellStyle name="Normal 4 5 2 3 3 4 2" xfId="37299"/>
    <cellStyle name="Normal 4 5 2 3 3 4 2 2" xfId="37300"/>
    <cellStyle name="Normal 4 5 2 3 3 4 3" xfId="37301"/>
    <cellStyle name="Normal 4 5 2 3 3 5" xfId="37302"/>
    <cellStyle name="Normal 4 5 2 3 3 5 2" xfId="37303"/>
    <cellStyle name="Normal 4 5 2 3 3 6" xfId="37304"/>
    <cellStyle name="Normal 4 5 2 3 4" xfId="1567"/>
    <cellStyle name="Normal 4 5 2 3 4 2" xfId="4287"/>
    <cellStyle name="Normal 4 5 2 3 4 2 2" xfId="37305"/>
    <cellStyle name="Normal 4 5 2 3 4 2 2 2" xfId="37306"/>
    <cellStyle name="Normal 4 5 2 3 4 2 2 2 2" xfId="37307"/>
    <cellStyle name="Normal 4 5 2 3 4 2 2 3" xfId="37308"/>
    <cellStyle name="Normal 4 5 2 3 4 2 3" xfId="37309"/>
    <cellStyle name="Normal 4 5 2 3 4 2 3 2" xfId="37310"/>
    <cellStyle name="Normal 4 5 2 3 4 2 4" xfId="37311"/>
    <cellStyle name="Normal 4 5 2 3 4 3" xfId="37312"/>
    <cellStyle name="Normal 4 5 2 3 4 3 2" xfId="37313"/>
    <cellStyle name="Normal 4 5 2 3 4 3 2 2" xfId="37314"/>
    <cellStyle name="Normal 4 5 2 3 4 3 3" xfId="37315"/>
    <cellStyle name="Normal 4 5 2 3 4 4" xfId="37316"/>
    <cellStyle name="Normal 4 5 2 3 4 4 2" xfId="37317"/>
    <cellStyle name="Normal 4 5 2 3 4 5" xfId="37318"/>
    <cellStyle name="Normal 4 5 2 3 5" xfId="2927"/>
    <cellStyle name="Normal 4 5 2 3 5 2" xfId="37319"/>
    <cellStyle name="Normal 4 5 2 3 5 2 2" xfId="37320"/>
    <cellStyle name="Normal 4 5 2 3 5 2 2 2" xfId="37321"/>
    <cellStyle name="Normal 4 5 2 3 5 2 3" xfId="37322"/>
    <cellStyle name="Normal 4 5 2 3 5 3" xfId="37323"/>
    <cellStyle name="Normal 4 5 2 3 5 3 2" xfId="37324"/>
    <cellStyle name="Normal 4 5 2 3 5 4" xfId="37325"/>
    <cellStyle name="Normal 4 5 2 3 6" xfId="37326"/>
    <cellStyle name="Normal 4 5 2 3 6 2" xfId="37327"/>
    <cellStyle name="Normal 4 5 2 3 6 2 2" xfId="37328"/>
    <cellStyle name="Normal 4 5 2 3 6 3" xfId="37329"/>
    <cellStyle name="Normal 4 5 2 3 7" xfId="37330"/>
    <cellStyle name="Normal 4 5 2 3 7 2" xfId="37331"/>
    <cellStyle name="Normal 4 5 2 3 8" xfId="37332"/>
    <cellStyle name="Normal 4 5 2 4" xfId="343"/>
    <cellStyle name="Normal 4 5 2 4 2" xfId="1023"/>
    <cellStyle name="Normal 4 5 2 4 2 2" xfId="2383"/>
    <cellStyle name="Normal 4 5 2 4 2 2 2" xfId="5103"/>
    <cellStyle name="Normal 4 5 2 4 2 2 2 2" xfId="37333"/>
    <cellStyle name="Normal 4 5 2 4 2 2 2 2 2" xfId="37334"/>
    <cellStyle name="Normal 4 5 2 4 2 2 2 2 2 2" xfId="37335"/>
    <cellStyle name="Normal 4 5 2 4 2 2 2 2 3" xfId="37336"/>
    <cellStyle name="Normal 4 5 2 4 2 2 2 3" xfId="37337"/>
    <cellStyle name="Normal 4 5 2 4 2 2 2 3 2" xfId="37338"/>
    <cellStyle name="Normal 4 5 2 4 2 2 2 4" xfId="37339"/>
    <cellStyle name="Normal 4 5 2 4 2 2 3" xfId="37340"/>
    <cellStyle name="Normal 4 5 2 4 2 2 3 2" xfId="37341"/>
    <cellStyle name="Normal 4 5 2 4 2 2 3 2 2" xfId="37342"/>
    <cellStyle name="Normal 4 5 2 4 2 2 3 3" xfId="37343"/>
    <cellStyle name="Normal 4 5 2 4 2 2 4" xfId="37344"/>
    <cellStyle name="Normal 4 5 2 4 2 2 4 2" xfId="37345"/>
    <cellStyle name="Normal 4 5 2 4 2 2 5" xfId="37346"/>
    <cellStyle name="Normal 4 5 2 4 2 3" xfId="3743"/>
    <cellStyle name="Normal 4 5 2 4 2 3 2" xfId="37347"/>
    <cellStyle name="Normal 4 5 2 4 2 3 2 2" xfId="37348"/>
    <cellStyle name="Normal 4 5 2 4 2 3 2 2 2" xfId="37349"/>
    <cellStyle name="Normal 4 5 2 4 2 3 2 3" xfId="37350"/>
    <cellStyle name="Normal 4 5 2 4 2 3 3" xfId="37351"/>
    <cellStyle name="Normal 4 5 2 4 2 3 3 2" xfId="37352"/>
    <cellStyle name="Normal 4 5 2 4 2 3 4" xfId="37353"/>
    <cellStyle name="Normal 4 5 2 4 2 4" xfId="37354"/>
    <cellStyle name="Normal 4 5 2 4 2 4 2" xfId="37355"/>
    <cellStyle name="Normal 4 5 2 4 2 4 2 2" xfId="37356"/>
    <cellStyle name="Normal 4 5 2 4 2 4 3" xfId="37357"/>
    <cellStyle name="Normal 4 5 2 4 2 5" xfId="37358"/>
    <cellStyle name="Normal 4 5 2 4 2 5 2" xfId="37359"/>
    <cellStyle name="Normal 4 5 2 4 2 6" xfId="37360"/>
    <cellStyle name="Normal 4 5 2 4 3" xfId="1703"/>
    <cellStyle name="Normal 4 5 2 4 3 2" xfId="4423"/>
    <cellStyle name="Normal 4 5 2 4 3 2 2" xfId="37361"/>
    <cellStyle name="Normal 4 5 2 4 3 2 2 2" xfId="37362"/>
    <cellStyle name="Normal 4 5 2 4 3 2 2 2 2" xfId="37363"/>
    <cellStyle name="Normal 4 5 2 4 3 2 2 3" xfId="37364"/>
    <cellStyle name="Normal 4 5 2 4 3 2 3" xfId="37365"/>
    <cellStyle name="Normal 4 5 2 4 3 2 3 2" xfId="37366"/>
    <cellStyle name="Normal 4 5 2 4 3 2 4" xfId="37367"/>
    <cellStyle name="Normal 4 5 2 4 3 3" xfId="37368"/>
    <cellStyle name="Normal 4 5 2 4 3 3 2" xfId="37369"/>
    <cellStyle name="Normal 4 5 2 4 3 3 2 2" xfId="37370"/>
    <cellStyle name="Normal 4 5 2 4 3 3 3" xfId="37371"/>
    <cellStyle name="Normal 4 5 2 4 3 4" xfId="37372"/>
    <cellStyle name="Normal 4 5 2 4 3 4 2" xfId="37373"/>
    <cellStyle name="Normal 4 5 2 4 3 5" xfId="37374"/>
    <cellStyle name="Normal 4 5 2 4 4" xfId="3063"/>
    <cellStyle name="Normal 4 5 2 4 4 2" xfId="37375"/>
    <cellStyle name="Normal 4 5 2 4 4 2 2" xfId="37376"/>
    <cellStyle name="Normal 4 5 2 4 4 2 2 2" xfId="37377"/>
    <cellStyle name="Normal 4 5 2 4 4 2 3" xfId="37378"/>
    <cellStyle name="Normal 4 5 2 4 4 3" xfId="37379"/>
    <cellStyle name="Normal 4 5 2 4 4 3 2" xfId="37380"/>
    <cellStyle name="Normal 4 5 2 4 4 4" xfId="37381"/>
    <cellStyle name="Normal 4 5 2 4 5" xfId="37382"/>
    <cellStyle name="Normal 4 5 2 4 5 2" xfId="37383"/>
    <cellStyle name="Normal 4 5 2 4 5 2 2" xfId="37384"/>
    <cellStyle name="Normal 4 5 2 4 5 3" xfId="37385"/>
    <cellStyle name="Normal 4 5 2 4 6" xfId="37386"/>
    <cellStyle name="Normal 4 5 2 4 6 2" xfId="37387"/>
    <cellStyle name="Normal 4 5 2 4 7" xfId="37388"/>
    <cellStyle name="Normal 4 5 2 5" xfId="615"/>
    <cellStyle name="Normal 4 5 2 5 2" xfId="1295"/>
    <cellStyle name="Normal 4 5 2 5 2 2" xfId="2655"/>
    <cellStyle name="Normal 4 5 2 5 2 2 2" xfId="5375"/>
    <cellStyle name="Normal 4 5 2 5 2 2 2 2" xfId="37389"/>
    <cellStyle name="Normal 4 5 2 5 2 2 2 2 2" xfId="37390"/>
    <cellStyle name="Normal 4 5 2 5 2 2 2 2 2 2" xfId="37391"/>
    <cellStyle name="Normal 4 5 2 5 2 2 2 2 3" xfId="37392"/>
    <cellStyle name="Normal 4 5 2 5 2 2 2 3" xfId="37393"/>
    <cellStyle name="Normal 4 5 2 5 2 2 2 3 2" xfId="37394"/>
    <cellStyle name="Normal 4 5 2 5 2 2 2 4" xfId="37395"/>
    <cellStyle name="Normal 4 5 2 5 2 2 3" xfId="37396"/>
    <cellStyle name="Normal 4 5 2 5 2 2 3 2" xfId="37397"/>
    <cellStyle name="Normal 4 5 2 5 2 2 3 2 2" xfId="37398"/>
    <cellStyle name="Normal 4 5 2 5 2 2 3 3" xfId="37399"/>
    <cellStyle name="Normal 4 5 2 5 2 2 4" xfId="37400"/>
    <cellStyle name="Normal 4 5 2 5 2 2 4 2" xfId="37401"/>
    <cellStyle name="Normal 4 5 2 5 2 2 5" xfId="37402"/>
    <cellStyle name="Normal 4 5 2 5 2 3" xfId="4015"/>
    <cellStyle name="Normal 4 5 2 5 2 3 2" xfId="37403"/>
    <cellStyle name="Normal 4 5 2 5 2 3 2 2" xfId="37404"/>
    <cellStyle name="Normal 4 5 2 5 2 3 2 2 2" xfId="37405"/>
    <cellStyle name="Normal 4 5 2 5 2 3 2 3" xfId="37406"/>
    <cellStyle name="Normal 4 5 2 5 2 3 3" xfId="37407"/>
    <cellStyle name="Normal 4 5 2 5 2 3 3 2" xfId="37408"/>
    <cellStyle name="Normal 4 5 2 5 2 3 4" xfId="37409"/>
    <cellStyle name="Normal 4 5 2 5 2 4" xfId="37410"/>
    <cellStyle name="Normal 4 5 2 5 2 4 2" xfId="37411"/>
    <cellStyle name="Normal 4 5 2 5 2 4 2 2" xfId="37412"/>
    <cellStyle name="Normal 4 5 2 5 2 4 3" xfId="37413"/>
    <cellStyle name="Normal 4 5 2 5 2 5" xfId="37414"/>
    <cellStyle name="Normal 4 5 2 5 2 5 2" xfId="37415"/>
    <cellStyle name="Normal 4 5 2 5 2 6" xfId="37416"/>
    <cellStyle name="Normal 4 5 2 5 3" xfId="1975"/>
    <cellStyle name="Normal 4 5 2 5 3 2" xfId="4695"/>
    <cellStyle name="Normal 4 5 2 5 3 2 2" xfId="37417"/>
    <cellStyle name="Normal 4 5 2 5 3 2 2 2" xfId="37418"/>
    <cellStyle name="Normal 4 5 2 5 3 2 2 2 2" xfId="37419"/>
    <cellStyle name="Normal 4 5 2 5 3 2 2 3" xfId="37420"/>
    <cellStyle name="Normal 4 5 2 5 3 2 3" xfId="37421"/>
    <cellStyle name="Normal 4 5 2 5 3 2 3 2" xfId="37422"/>
    <cellStyle name="Normal 4 5 2 5 3 2 4" xfId="37423"/>
    <cellStyle name="Normal 4 5 2 5 3 3" xfId="37424"/>
    <cellStyle name="Normal 4 5 2 5 3 3 2" xfId="37425"/>
    <cellStyle name="Normal 4 5 2 5 3 3 2 2" xfId="37426"/>
    <cellStyle name="Normal 4 5 2 5 3 3 3" xfId="37427"/>
    <cellStyle name="Normal 4 5 2 5 3 4" xfId="37428"/>
    <cellStyle name="Normal 4 5 2 5 3 4 2" xfId="37429"/>
    <cellStyle name="Normal 4 5 2 5 3 5" xfId="37430"/>
    <cellStyle name="Normal 4 5 2 5 4" xfId="3335"/>
    <cellStyle name="Normal 4 5 2 5 4 2" xfId="37431"/>
    <cellStyle name="Normal 4 5 2 5 4 2 2" xfId="37432"/>
    <cellStyle name="Normal 4 5 2 5 4 2 2 2" xfId="37433"/>
    <cellStyle name="Normal 4 5 2 5 4 2 3" xfId="37434"/>
    <cellStyle name="Normal 4 5 2 5 4 3" xfId="37435"/>
    <cellStyle name="Normal 4 5 2 5 4 3 2" xfId="37436"/>
    <cellStyle name="Normal 4 5 2 5 4 4" xfId="37437"/>
    <cellStyle name="Normal 4 5 2 5 5" xfId="37438"/>
    <cellStyle name="Normal 4 5 2 5 5 2" xfId="37439"/>
    <cellStyle name="Normal 4 5 2 5 5 2 2" xfId="37440"/>
    <cellStyle name="Normal 4 5 2 5 5 3" xfId="37441"/>
    <cellStyle name="Normal 4 5 2 5 6" xfId="37442"/>
    <cellStyle name="Normal 4 5 2 5 6 2" xfId="37443"/>
    <cellStyle name="Normal 4 5 2 5 7" xfId="37444"/>
    <cellStyle name="Normal 4 5 2 6" xfId="751"/>
    <cellStyle name="Normal 4 5 2 6 2" xfId="2111"/>
    <cellStyle name="Normal 4 5 2 6 2 2" xfId="4831"/>
    <cellStyle name="Normal 4 5 2 6 2 2 2" xfId="37445"/>
    <cellStyle name="Normal 4 5 2 6 2 2 2 2" xfId="37446"/>
    <cellStyle name="Normal 4 5 2 6 2 2 2 2 2" xfId="37447"/>
    <cellStyle name="Normal 4 5 2 6 2 2 2 3" xfId="37448"/>
    <cellStyle name="Normal 4 5 2 6 2 2 3" xfId="37449"/>
    <cellStyle name="Normal 4 5 2 6 2 2 3 2" xfId="37450"/>
    <cellStyle name="Normal 4 5 2 6 2 2 4" xfId="37451"/>
    <cellStyle name="Normal 4 5 2 6 2 3" xfId="37452"/>
    <cellStyle name="Normal 4 5 2 6 2 3 2" xfId="37453"/>
    <cellStyle name="Normal 4 5 2 6 2 3 2 2" xfId="37454"/>
    <cellStyle name="Normal 4 5 2 6 2 3 3" xfId="37455"/>
    <cellStyle name="Normal 4 5 2 6 2 4" xfId="37456"/>
    <cellStyle name="Normal 4 5 2 6 2 4 2" xfId="37457"/>
    <cellStyle name="Normal 4 5 2 6 2 5" xfId="37458"/>
    <cellStyle name="Normal 4 5 2 6 3" xfId="3471"/>
    <cellStyle name="Normal 4 5 2 6 3 2" xfId="37459"/>
    <cellStyle name="Normal 4 5 2 6 3 2 2" xfId="37460"/>
    <cellStyle name="Normal 4 5 2 6 3 2 2 2" xfId="37461"/>
    <cellStyle name="Normal 4 5 2 6 3 2 3" xfId="37462"/>
    <cellStyle name="Normal 4 5 2 6 3 3" xfId="37463"/>
    <cellStyle name="Normal 4 5 2 6 3 3 2" xfId="37464"/>
    <cellStyle name="Normal 4 5 2 6 3 4" xfId="37465"/>
    <cellStyle name="Normal 4 5 2 6 4" xfId="37466"/>
    <cellStyle name="Normal 4 5 2 6 4 2" xfId="37467"/>
    <cellStyle name="Normal 4 5 2 6 4 2 2" xfId="37468"/>
    <cellStyle name="Normal 4 5 2 6 4 3" xfId="37469"/>
    <cellStyle name="Normal 4 5 2 6 5" xfId="37470"/>
    <cellStyle name="Normal 4 5 2 6 5 2" xfId="37471"/>
    <cellStyle name="Normal 4 5 2 6 6" xfId="37472"/>
    <cellStyle name="Normal 4 5 2 7" xfId="1431"/>
    <cellStyle name="Normal 4 5 2 7 2" xfId="4151"/>
    <cellStyle name="Normal 4 5 2 7 2 2" xfId="37473"/>
    <cellStyle name="Normal 4 5 2 7 2 2 2" xfId="37474"/>
    <cellStyle name="Normal 4 5 2 7 2 2 2 2" xfId="37475"/>
    <cellStyle name="Normal 4 5 2 7 2 2 3" xfId="37476"/>
    <cellStyle name="Normal 4 5 2 7 2 3" xfId="37477"/>
    <cellStyle name="Normal 4 5 2 7 2 3 2" xfId="37478"/>
    <cellStyle name="Normal 4 5 2 7 2 4" xfId="37479"/>
    <cellStyle name="Normal 4 5 2 7 3" xfId="37480"/>
    <cellStyle name="Normal 4 5 2 7 3 2" xfId="37481"/>
    <cellStyle name="Normal 4 5 2 7 3 2 2" xfId="37482"/>
    <cellStyle name="Normal 4 5 2 7 3 3" xfId="37483"/>
    <cellStyle name="Normal 4 5 2 7 4" xfId="37484"/>
    <cellStyle name="Normal 4 5 2 7 4 2" xfId="37485"/>
    <cellStyle name="Normal 4 5 2 7 5" xfId="37486"/>
    <cellStyle name="Normal 4 5 2 8" xfId="2791"/>
    <cellStyle name="Normal 4 5 2 8 2" xfId="37487"/>
    <cellStyle name="Normal 4 5 2 8 2 2" xfId="37488"/>
    <cellStyle name="Normal 4 5 2 8 2 2 2" xfId="37489"/>
    <cellStyle name="Normal 4 5 2 8 2 3" xfId="37490"/>
    <cellStyle name="Normal 4 5 2 8 3" xfId="37491"/>
    <cellStyle name="Normal 4 5 2 8 3 2" xfId="37492"/>
    <cellStyle name="Normal 4 5 2 8 4" xfId="37493"/>
    <cellStyle name="Normal 4 5 2 9" xfId="37494"/>
    <cellStyle name="Normal 4 5 2 9 2" xfId="37495"/>
    <cellStyle name="Normal 4 5 2 9 2 2" xfId="37496"/>
    <cellStyle name="Normal 4 5 2 9 3" xfId="37497"/>
    <cellStyle name="Normal 4 5 3" xfId="104"/>
    <cellStyle name="Normal 4 5 3 10" xfId="37498"/>
    <cellStyle name="Normal 4 5 3 2" xfId="241"/>
    <cellStyle name="Normal 4 5 3 2 2" xfId="513"/>
    <cellStyle name="Normal 4 5 3 2 2 2" xfId="1193"/>
    <cellStyle name="Normal 4 5 3 2 2 2 2" xfId="2553"/>
    <cellStyle name="Normal 4 5 3 2 2 2 2 2" xfId="5273"/>
    <cellStyle name="Normal 4 5 3 2 2 2 2 2 2" xfId="37499"/>
    <cellStyle name="Normal 4 5 3 2 2 2 2 2 2 2" xfId="37500"/>
    <cellStyle name="Normal 4 5 3 2 2 2 2 2 2 2 2" xfId="37501"/>
    <cellStyle name="Normal 4 5 3 2 2 2 2 2 2 3" xfId="37502"/>
    <cellStyle name="Normal 4 5 3 2 2 2 2 2 3" xfId="37503"/>
    <cellStyle name="Normal 4 5 3 2 2 2 2 2 3 2" xfId="37504"/>
    <cellStyle name="Normal 4 5 3 2 2 2 2 2 4" xfId="37505"/>
    <cellStyle name="Normal 4 5 3 2 2 2 2 3" xfId="37506"/>
    <cellStyle name="Normal 4 5 3 2 2 2 2 3 2" xfId="37507"/>
    <cellStyle name="Normal 4 5 3 2 2 2 2 3 2 2" xfId="37508"/>
    <cellStyle name="Normal 4 5 3 2 2 2 2 3 3" xfId="37509"/>
    <cellStyle name="Normal 4 5 3 2 2 2 2 4" xfId="37510"/>
    <cellStyle name="Normal 4 5 3 2 2 2 2 4 2" xfId="37511"/>
    <cellStyle name="Normal 4 5 3 2 2 2 2 5" xfId="37512"/>
    <cellStyle name="Normal 4 5 3 2 2 2 3" xfId="3913"/>
    <cellStyle name="Normal 4 5 3 2 2 2 3 2" xfId="37513"/>
    <cellStyle name="Normal 4 5 3 2 2 2 3 2 2" xfId="37514"/>
    <cellStyle name="Normal 4 5 3 2 2 2 3 2 2 2" xfId="37515"/>
    <cellStyle name="Normal 4 5 3 2 2 2 3 2 3" xfId="37516"/>
    <cellStyle name="Normal 4 5 3 2 2 2 3 3" xfId="37517"/>
    <cellStyle name="Normal 4 5 3 2 2 2 3 3 2" xfId="37518"/>
    <cellStyle name="Normal 4 5 3 2 2 2 3 4" xfId="37519"/>
    <cellStyle name="Normal 4 5 3 2 2 2 4" xfId="37520"/>
    <cellStyle name="Normal 4 5 3 2 2 2 4 2" xfId="37521"/>
    <cellStyle name="Normal 4 5 3 2 2 2 4 2 2" xfId="37522"/>
    <cellStyle name="Normal 4 5 3 2 2 2 4 3" xfId="37523"/>
    <cellStyle name="Normal 4 5 3 2 2 2 5" xfId="37524"/>
    <cellStyle name="Normal 4 5 3 2 2 2 5 2" xfId="37525"/>
    <cellStyle name="Normal 4 5 3 2 2 2 6" xfId="37526"/>
    <cellStyle name="Normal 4 5 3 2 2 3" xfId="1873"/>
    <cellStyle name="Normal 4 5 3 2 2 3 2" xfId="4593"/>
    <cellStyle name="Normal 4 5 3 2 2 3 2 2" xfId="37527"/>
    <cellStyle name="Normal 4 5 3 2 2 3 2 2 2" xfId="37528"/>
    <cellStyle name="Normal 4 5 3 2 2 3 2 2 2 2" xfId="37529"/>
    <cellStyle name="Normal 4 5 3 2 2 3 2 2 3" xfId="37530"/>
    <cellStyle name="Normal 4 5 3 2 2 3 2 3" xfId="37531"/>
    <cellStyle name="Normal 4 5 3 2 2 3 2 3 2" xfId="37532"/>
    <cellStyle name="Normal 4 5 3 2 2 3 2 4" xfId="37533"/>
    <cellStyle name="Normal 4 5 3 2 2 3 3" xfId="37534"/>
    <cellStyle name="Normal 4 5 3 2 2 3 3 2" xfId="37535"/>
    <cellStyle name="Normal 4 5 3 2 2 3 3 2 2" xfId="37536"/>
    <cellStyle name="Normal 4 5 3 2 2 3 3 3" xfId="37537"/>
    <cellStyle name="Normal 4 5 3 2 2 3 4" xfId="37538"/>
    <cellStyle name="Normal 4 5 3 2 2 3 4 2" xfId="37539"/>
    <cellStyle name="Normal 4 5 3 2 2 3 5" xfId="37540"/>
    <cellStyle name="Normal 4 5 3 2 2 4" xfId="3233"/>
    <cellStyle name="Normal 4 5 3 2 2 4 2" xfId="37541"/>
    <cellStyle name="Normal 4 5 3 2 2 4 2 2" xfId="37542"/>
    <cellStyle name="Normal 4 5 3 2 2 4 2 2 2" xfId="37543"/>
    <cellStyle name="Normal 4 5 3 2 2 4 2 3" xfId="37544"/>
    <cellStyle name="Normal 4 5 3 2 2 4 3" xfId="37545"/>
    <cellStyle name="Normal 4 5 3 2 2 4 3 2" xfId="37546"/>
    <cellStyle name="Normal 4 5 3 2 2 4 4" xfId="37547"/>
    <cellStyle name="Normal 4 5 3 2 2 5" xfId="37548"/>
    <cellStyle name="Normal 4 5 3 2 2 5 2" xfId="37549"/>
    <cellStyle name="Normal 4 5 3 2 2 5 2 2" xfId="37550"/>
    <cellStyle name="Normal 4 5 3 2 2 5 3" xfId="37551"/>
    <cellStyle name="Normal 4 5 3 2 2 6" xfId="37552"/>
    <cellStyle name="Normal 4 5 3 2 2 6 2" xfId="37553"/>
    <cellStyle name="Normal 4 5 3 2 2 7" xfId="37554"/>
    <cellStyle name="Normal 4 5 3 2 3" xfId="921"/>
    <cellStyle name="Normal 4 5 3 2 3 2" xfId="2281"/>
    <cellStyle name="Normal 4 5 3 2 3 2 2" xfId="5001"/>
    <cellStyle name="Normal 4 5 3 2 3 2 2 2" xfId="37555"/>
    <cellStyle name="Normal 4 5 3 2 3 2 2 2 2" xfId="37556"/>
    <cellStyle name="Normal 4 5 3 2 3 2 2 2 2 2" xfId="37557"/>
    <cellStyle name="Normal 4 5 3 2 3 2 2 2 3" xfId="37558"/>
    <cellStyle name="Normal 4 5 3 2 3 2 2 3" xfId="37559"/>
    <cellStyle name="Normal 4 5 3 2 3 2 2 3 2" xfId="37560"/>
    <cellStyle name="Normal 4 5 3 2 3 2 2 4" xfId="37561"/>
    <cellStyle name="Normal 4 5 3 2 3 2 3" xfId="37562"/>
    <cellStyle name="Normal 4 5 3 2 3 2 3 2" xfId="37563"/>
    <cellStyle name="Normal 4 5 3 2 3 2 3 2 2" xfId="37564"/>
    <cellStyle name="Normal 4 5 3 2 3 2 3 3" xfId="37565"/>
    <cellStyle name="Normal 4 5 3 2 3 2 4" xfId="37566"/>
    <cellStyle name="Normal 4 5 3 2 3 2 4 2" xfId="37567"/>
    <cellStyle name="Normal 4 5 3 2 3 2 5" xfId="37568"/>
    <cellStyle name="Normal 4 5 3 2 3 3" xfId="3641"/>
    <cellStyle name="Normal 4 5 3 2 3 3 2" xfId="37569"/>
    <cellStyle name="Normal 4 5 3 2 3 3 2 2" xfId="37570"/>
    <cellStyle name="Normal 4 5 3 2 3 3 2 2 2" xfId="37571"/>
    <cellStyle name="Normal 4 5 3 2 3 3 2 3" xfId="37572"/>
    <cellStyle name="Normal 4 5 3 2 3 3 3" xfId="37573"/>
    <cellStyle name="Normal 4 5 3 2 3 3 3 2" xfId="37574"/>
    <cellStyle name="Normal 4 5 3 2 3 3 4" xfId="37575"/>
    <cellStyle name="Normal 4 5 3 2 3 4" xfId="37576"/>
    <cellStyle name="Normal 4 5 3 2 3 4 2" xfId="37577"/>
    <cellStyle name="Normal 4 5 3 2 3 4 2 2" xfId="37578"/>
    <cellStyle name="Normal 4 5 3 2 3 4 3" xfId="37579"/>
    <cellStyle name="Normal 4 5 3 2 3 5" xfId="37580"/>
    <cellStyle name="Normal 4 5 3 2 3 5 2" xfId="37581"/>
    <cellStyle name="Normal 4 5 3 2 3 6" xfId="37582"/>
    <cellStyle name="Normal 4 5 3 2 4" xfId="1601"/>
    <cellStyle name="Normal 4 5 3 2 4 2" xfId="4321"/>
    <cellStyle name="Normal 4 5 3 2 4 2 2" xfId="37583"/>
    <cellStyle name="Normal 4 5 3 2 4 2 2 2" xfId="37584"/>
    <cellStyle name="Normal 4 5 3 2 4 2 2 2 2" xfId="37585"/>
    <cellStyle name="Normal 4 5 3 2 4 2 2 3" xfId="37586"/>
    <cellStyle name="Normal 4 5 3 2 4 2 3" xfId="37587"/>
    <cellStyle name="Normal 4 5 3 2 4 2 3 2" xfId="37588"/>
    <cellStyle name="Normal 4 5 3 2 4 2 4" xfId="37589"/>
    <cellStyle name="Normal 4 5 3 2 4 3" xfId="37590"/>
    <cellStyle name="Normal 4 5 3 2 4 3 2" xfId="37591"/>
    <cellStyle name="Normal 4 5 3 2 4 3 2 2" xfId="37592"/>
    <cellStyle name="Normal 4 5 3 2 4 3 3" xfId="37593"/>
    <cellStyle name="Normal 4 5 3 2 4 4" xfId="37594"/>
    <cellStyle name="Normal 4 5 3 2 4 4 2" xfId="37595"/>
    <cellStyle name="Normal 4 5 3 2 4 5" xfId="37596"/>
    <cellStyle name="Normal 4 5 3 2 5" xfId="2961"/>
    <cellStyle name="Normal 4 5 3 2 5 2" xfId="37597"/>
    <cellStyle name="Normal 4 5 3 2 5 2 2" xfId="37598"/>
    <cellStyle name="Normal 4 5 3 2 5 2 2 2" xfId="37599"/>
    <cellStyle name="Normal 4 5 3 2 5 2 3" xfId="37600"/>
    <cellStyle name="Normal 4 5 3 2 5 3" xfId="37601"/>
    <cellStyle name="Normal 4 5 3 2 5 3 2" xfId="37602"/>
    <cellStyle name="Normal 4 5 3 2 5 4" xfId="37603"/>
    <cellStyle name="Normal 4 5 3 2 6" xfId="37604"/>
    <cellStyle name="Normal 4 5 3 2 6 2" xfId="37605"/>
    <cellStyle name="Normal 4 5 3 2 6 2 2" xfId="37606"/>
    <cellStyle name="Normal 4 5 3 2 6 3" xfId="37607"/>
    <cellStyle name="Normal 4 5 3 2 7" xfId="37608"/>
    <cellStyle name="Normal 4 5 3 2 7 2" xfId="37609"/>
    <cellStyle name="Normal 4 5 3 2 8" xfId="37610"/>
    <cellStyle name="Normal 4 5 3 3" xfId="377"/>
    <cellStyle name="Normal 4 5 3 3 2" xfId="1057"/>
    <cellStyle name="Normal 4 5 3 3 2 2" xfId="2417"/>
    <cellStyle name="Normal 4 5 3 3 2 2 2" xfId="5137"/>
    <cellStyle name="Normal 4 5 3 3 2 2 2 2" xfId="37611"/>
    <cellStyle name="Normal 4 5 3 3 2 2 2 2 2" xfId="37612"/>
    <cellStyle name="Normal 4 5 3 3 2 2 2 2 2 2" xfId="37613"/>
    <cellStyle name="Normal 4 5 3 3 2 2 2 2 3" xfId="37614"/>
    <cellStyle name="Normal 4 5 3 3 2 2 2 3" xfId="37615"/>
    <cellStyle name="Normal 4 5 3 3 2 2 2 3 2" xfId="37616"/>
    <cellStyle name="Normal 4 5 3 3 2 2 2 4" xfId="37617"/>
    <cellStyle name="Normal 4 5 3 3 2 2 3" xfId="37618"/>
    <cellStyle name="Normal 4 5 3 3 2 2 3 2" xfId="37619"/>
    <cellStyle name="Normal 4 5 3 3 2 2 3 2 2" xfId="37620"/>
    <cellStyle name="Normal 4 5 3 3 2 2 3 3" xfId="37621"/>
    <cellStyle name="Normal 4 5 3 3 2 2 4" xfId="37622"/>
    <cellStyle name="Normal 4 5 3 3 2 2 4 2" xfId="37623"/>
    <cellStyle name="Normal 4 5 3 3 2 2 5" xfId="37624"/>
    <cellStyle name="Normal 4 5 3 3 2 3" xfId="3777"/>
    <cellStyle name="Normal 4 5 3 3 2 3 2" xfId="37625"/>
    <cellStyle name="Normal 4 5 3 3 2 3 2 2" xfId="37626"/>
    <cellStyle name="Normal 4 5 3 3 2 3 2 2 2" xfId="37627"/>
    <cellStyle name="Normal 4 5 3 3 2 3 2 3" xfId="37628"/>
    <cellStyle name="Normal 4 5 3 3 2 3 3" xfId="37629"/>
    <cellStyle name="Normal 4 5 3 3 2 3 3 2" xfId="37630"/>
    <cellStyle name="Normal 4 5 3 3 2 3 4" xfId="37631"/>
    <cellStyle name="Normal 4 5 3 3 2 4" xfId="37632"/>
    <cellStyle name="Normal 4 5 3 3 2 4 2" xfId="37633"/>
    <cellStyle name="Normal 4 5 3 3 2 4 2 2" xfId="37634"/>
    <cellStyle name="Normal 4 5 3 3 2 4 3" xfId="37635"/>
    <cellStyle name="Normal 4 5 3 3 2 5" xfId="37636"/>
    <cellStyle name="Normal 4 5 3 3 2 5 2" xfId="37637"/>
    <cellStyle name="Normal 4 5 3 3 2 6" xfId="37638"/>
    <cellStyle name="Normal 4 5 3 3 3" xfId="1737"/>
    <cellStyle name="Normal 4 5 3 3 3 2" xfId="4457"/>
    <cellStyle name="Normal 4 5 3 3 3 2 2" xfId="37639"/>
    <cellStyle name="Normal 4 5 3 3 3 2 2 2" xfId="37640"/>
    <cellStyle name="Normal 4 5 3 3 3 2 2 2 2" xfId="37641"/>
    <cellStyle name="Normal 4 5 3 3 3 2 2 3" xfId="37642"/>
    <cellStyle name="Normal 4 5 3 3 3 2 3" xfId="37643"/>
    <cellStyle name="Normal 4 5 3 3 3 2 3 2" xfId="37644"/>
    <cellStyle name="Normal 4 5 3 3 3 2 4" xfId="37645"/>
    <cellStyle name="Normal 4 5 3 3 3 3" xfId="37646"/>
    <cellStyle name="Normal 4 5 3 3 3 3 2" xfId="37647"/>
    <cellStyle name="Normal 4 5 3 3 3 3 2 2" xfId="37648"/>
    <cellStyle name="Normal 4 5 3 3 3 3 3" xfId="37649"/>
    <cellStyle name="Normal 4 5 3 3 3 4" xfId="37650"/>
    <cellStyle name="Normal 4 5 3 3 3 4 2" xfId="37651"/>
    <cellStyle name="Normal 4 5 3 3 3 5" xfId="37652"/>
    <cellStyle name="Normal 4 5 3 3 4" xfId="3097"/>
    <cellStyle name="Normal 4 5 3 3 4 2" xfId="37653"/>
    <cellStyle name="Normal 4 5 3 3 4 2 2" xfId="37654"/>
    <cellStyle name="Normal 4 5 3 3 4 2 2 2" xfId="37655"/>
    <cellStyle name="Normal 4 5 3 3 4 2 3" xfId="37656"/>
    <cellStyle name="Normal 4 5 3 3 4 3" xfId="37657"/>
    <cellStyle name="Normal 4 5 3 3 4 3 2" xfId="37658"/>
    <cellStyle name="Normal 4 5 3 3 4 4" xfId="37659"/>
    <cellStyle name="Normal 4 5 3 3 5" xfId="37660"/>
    <cellStyle name="Normal 4 5 3 3 5 2" xfId="37661"/>
    <cellStyle name="Normal 4 5 3 3 5 2 2" xfId="37662"/>
    <cellStyle name="Normal 4 5 3 3 5 3" xfId="37663"/>
    <cellStyle name="Normal 4 5 3 3 6" xfId="37664"/>
    <cellStyle name="Normal 4 5 3 3 6 2" xfId="37665"/>
    <cellStyle name="Normal 4 5 3 3 7" xfId="37666"/>
    <cellStyle name="Normal 4 5 3 4" xfId="649"/>
    <cellStyle name="Normal 4 5 3 4 2" xfId="1329"/>
    <cellStyle name="Normal 4 5 3 4 2 2" xfId="2689"/>
    <cellStyle name="Normal 4 5 3 4 2 2 2" xfId="5409"/>
    <cellStyle name="Normal 4 5 3 4 2 2 2 2" xfId="37667"/>
    <cellStyle name="Normal 4 5 3 4 2 2 2 2 2" xfId="37668"/>
    <cellStyle name="Normal 4 5 3 4 2 2 2 2 2 2" xfId="37669"/>
    <cellStyle name="Normal 4 5 3 4 2 2 2 2 3" xfId="37670"/>
    <cellStyle name="Normal 4 5 3 4 2 2 2 3" xfId="37671"/>
    <cellStyle name="Normal 4 5 3 4 2 2 2 3 2" xfId="37672"/>
    <cellStyle name="Normal 4 5 3 4 2 2 2 4" xfId="37673"/>
    <cellStyle name="Normal 4 5 3 4 2 2 3" xfId="37674"/>
    <cellStyle name="Normal 4 5 3 4 2 2 3 2" xfId="37675"/>
    <cellStyle name="Normal 4 5 3 4 2 2 3 2 2" xfId="37676"/>
    <cellStyle name="Normal 4 5 3 4 2 2 3 3" xfId="37677"/>
    <cellStyle name="Normal 4 5 3 4 2 2 4" xfId="37678"/>
    <cellStyle name="Normal 4 5 3 4 2 2 4 2" xfId="37679"/>
    <cellStyle name="Normal 4 5 3 4 2 2 5" xfId="37680"/>
    <cellStyle name="Normal 4 5 3 4 2 3" xfId="4049"/>
    <cellStyle name="Normal 4 5 3 4 2 3 2" xfId="37681"/>
    <cellStyle name="Normal 4 5 3 4 2 3 2 2" xfId="37682"/>
    <cellStyle name="Normal 4 5 3 4 2 3 2 2 2" xfId="37683"/>
    <cellStyle name="Normal 4 5 3 4 2 3 2 3" xfId="37684"/>
    <cellStyle name="Normal 4 5 3 4 2 3 3" xfId="37685"/>
    <cellStyle name="Normal 4 5 3 4 2 3 3 2" xfId="37686"/>
    <cellStyle name="Normal 4 5 3 4 2 3 4" xfId="37687"/>
    <cellStyle name="Normal 4 5 3 4 2 4" xfId="37688"/>
    <cellStyle name="Normal 4 5 3 4 2 4 2" xfId="37689"/>
    <cellStyle name="Normal 4 5 3 4 2 4 2 2" xfId="37690"/>
    <cellStyle name="Normal 4 5 3 4 2 4 3" xfId="37691"/>
    <cellStyle name="Normal 4 5 3 4 2 5" xfId="37692"/>
    <cellStyle name="Normal 4 5 3 4 2 5 2" xfId="37693"/>
    <cellStyle name="Normal 4 5 3 4 2 6" xfId="37694"/>
    <cellStyle name="Normal 4 5 3 4 3" xfId="2009"/>
    <cellStyle name="Normal 4 5 3 4 3 2" xfId="4729"/>
    <cellStyle name="Normal 4 5 3 4 3 2 2" xfId="37695"/>
    <cellStyle name="Normal 4 5 3 4 3 2 2 2" xfId="37696"/>
    <cellStyle name="Normal 4 5 3 4 3 2 2 2 2" xfId="37697"/>
    <cellStyle name="Normal 4 5 3 4 3 2 2 3" xfId="37698"/>
    <cellStyle name="Normal 4 5 3 4 3 2 3" xfId="37699"/>
    <cellStyle name="Normal 4 5 3 4 3 2 3 2" xfId="37700"/>
    <cellStyle name="Normal 4 5 3 4 3 2 4" xfId="37701"/>
    <cellStyle name="Normal 4 5 3 4 3 3" xfId="37702"/>
    <cellStyle name="Normal 4 5 3 4 3 3 2" xfId="37703"/>
    <cellStyle name="Normal 4 5 3 4 3 3 2 2" xfId="37704"/>
    <cellStyle name="Normal 4 5 3 4 3 3 3" xfId="37705"/>
    <cellStyle name="Normal 4 5 3 4 3 4" xfId="37706"/>
    <cellStyle name="Normal 4 5 3 4 3 4 2" xfId="37707"/>
    <cellStyle name="Normal 4 5 3 4 3 5" xfId="37708"/>
    <cellStyle name="Normal 4 5 3 4 4" xfId="3369"/>
    <cellStyle name="Normal 4 5 3 4 4 2" xfId="37709"/>
    <cellStyle name="Normal 4 5 3 4 4 2 2" xfId="37710"/>
    <cellStyle name="Normal 4 5 3 4 4 2 2 2" xfId="37711"/>
    <cellStyle name="Normal 4 5 3 4 4 2 3" xfId="37712"/>
    <cellStyle name="Normal 4 5 3 4 4 3" xfId="37713"/>
    <cellStyle name="Normal 4 5 3 4 4 3 2" xfId="37714"/>
    <cellStyle name="Normal 4 5 3 4 4 4" xfId="37715"/>
    <cellStyle name="Normal 4 5 3 4 5" xfId="37716"/>
    <cellStyle name="Normal 4 5 3 4 5 2" xfId="37717"/>
    <cellStyle name="Normal 4 5 3 4 5 2 2" xfId="37718"/>
    <cellStyle name="Normal 4 5 3 4 5 3" xfId="37719"/>
    <cellStyle name="Normal 4 5 3 4 6" xfId="37720"/>
    <cellStyle name="Normal 4 5 3 4 6 2" xfId="37721"/>
    <cellStyle name="Normal 4 5 3 4 7" xfId="37722"/>
    <cellStyle name="Normal 4 5 3 5" xfId="785"/>
    <cellStyle name="Normal 4 5 3 5 2" xfId="2145"/>
    <cellStyle name="Normal 4 5 3 5 2 2" xfId="4865"/>
    <cellStyle name="Normal 4 5 3 5 2 2 2" xfId="37723"/>
    <cellStyle name="Normal 4 5 3 5 2 2 2 2" xfId="37724"/>
    <cellStyle name="Normal 4 5 3 5 2 2 2 2 2" xfId="37725"/>
    <cellStyle name="Normal 4 5 3 5 2 2 2 3" xfId="37726"/>
    <cellStyle name="Normal 4 5 3 5 2 2 3" xfId="37727"/>
    <cellStyle name="Normal 4 5 3 5 2 2 3 2" xfId="37728"/>
    <cellStyle name="Normal 4 5 3 5 2 2 4" xfId="37729"/>
    <cellStyle name="Normal 4 5 3 5 2 3" xfId="37730"/>
    <cellStyle name="Normal 4 5 3 5 2 3 2" xfId="37731"/>
    <cellStyle name="Normal 4 5 3 5 2 3 2 2" xfId="37732"/>
    <cellStyle name="Normal 4 5 3 5 2 3 3" xfId="37733"/>
    <cellStyle name="Normal 4 5 3 5 2 4" xfId="37734"/>
    <cellStyle name="Normal 4 5 3 5 2 4 2" xfId="37735"/>
    <cellStyle name="Normal 4 5 3 5 2 5" xfId="37736"/>
    <cellStyle name="Normal 4 5 3 5 3" xfId="3505"/>
    <cellStyle name="Normal 4 5 3 5 3 2" xfId="37737"/>
    <cellStyle name="Normal 4 5 3 5 3 2 2" xfId="37738"/>
    <cellStyle name="Normal 4 5 3 5 3 2 2 2" xfId="37739"/>
    <cellStyle name="Normal 4 5 3 5 3 2 3" xfId="37740"/>
    <cellStyle name="Normal 4 5 3 5 3 3" xfId="37741"/>
    <cellStyle name="Normal 4 5 3 5 3 3 2" xfId="37742"/>
    <cellStyle name="Normal 4 5 3 5 3 4" xfId="37743"/>
    <cellStyle name="Normal 4 5 3 5 4" xfId="37744"/>
    <cellStyle name="Normal 4 5 3 5 4 2" xfId="37745"/>
    <cellStyle name="Normal 4 5 3 5 4 2 2" xfId="37746"/>
    <cellStyle name="Normal 4 5 3 5 4 3" xfId="37747"/>
    <cellStyle name="Normal 4 5 3 5 5" xfId="37748"/>
    <cellStyle name="Normal 4 5 3 5 5 2" xfId="37749"/>
    <cellStyle name="Normal 4 5 3 5 6" xfId="37750"/>
    <cellStyle name="Normal 4 5 3 6" xfId="1465"/>
    <cellStyle name="Normal 4 5 3 6 2" xfId="4185"/>
    <cellStyle name="Normal 4 5 3 6 2 2" xfId="37751"/>
    <cellStyle name="Normal 4 5 3 6 2 2 2" xfId="37752"/>
    <cellStyle name="Normal 4 5 3 6 2 2 2 2" xfId="37753"/>
    <cellStyle name="Normal 4 5 3 6 2 2 3" xfId="37754"/>
    <cellStyle name="Normal 4 5 3 6 2 3" xfId="37755"/>
    <cellStyle name="Normal 4 5 3 6 2 3 2" xfId="37756"/>
    <cellStyle name="Normal 4 5 3 6 2 4" xfId="37757"/>
    <cellStyle name="Normal 4 5 3 6 3" xfId="37758"/>
    <cellStyle name="Normal 4 5 3 6 3 2" xfId="37759"/>
    <cellStyle name="Normal 4 5 3 6 3 2 2" xfId="37760"/>
    <cellStyle name="Normal 4 5 3 6 3 3" xfId="37761"/>
    <cellStyle name="Normal 4 5 3 6 4" xfId="37762"/>
    <cellStyle name="Normal 4 5 3 6 4 2" xfId="37763"/>
    <cellStyle name="Normal 4 5 3 6 5" xfId="37764"/>
    <cellStyle name="Normal 4 5 3 7" xfId="2825"/>
    <cellStyle name="Normal 4 5 3 7 2" xfId="37765"/>
    <cellStyle name="Normal 4 5 3 7 2 2" xfId="37766"/>
    <cellStyle name="Normal 4 5 3 7 2 2 2" xfId="37767"/>
    <cellStyle name="Normal 4 5 3 7 2 3" xfId="37768"/>
    <cellStyle name="Normal 4 5 3 7 3" xfId="37769"/>
    <cellStyle name="Normal 4 5 3 7 3 2" xfId="37770"/>
    <cellStyle name="Normal 4 5 3 7 4" xfId="37771"/>
    <cellStyle name="Normal 4 5 3 8" xfId="37772"/>
    <cellStyle name="Normal 4 5 3 8 2" xfId="37773"/>
    <cellStyle name="Normal 4 5 3 8 2 2" xfId="37774"/>
    <cellStyle name="Normal 4 5 3 8 3" xfId="37775"/>
    <cellStyle name="Normal 4 5 3 9" xfId="37776"/>
    <cellStyle name="Normal 4 5 3 9 2" xfId="37777"/>
    <cellStyle name="Normal 4 5 4" xfId="173"/>
    <cellStyle name="Normal 4 5 4 2" xfId="445"/>
    <cellStyle name="Normal 4 5 4 2 2" xfId="1125"/>
    <cellStyle name="Normal 4 5 4 2 2 2" xfId="2485"/>
    <cellStyle name="Normal 4 5 4 2 2 2 2" xfId="5205"/>
    <cellStyle name="Normal 4 5 4 2 2 2 2 2" xfId="37778"/>
    <cellStyle name="Normal 4 5 4 2 2 2 2 2 2" xfId="37779"/>
    <cellStyle name="Normal 4 5 4 2 2 2 2 2 2 2" xfId="37780"/>
    <cellStyle name="Normal 4 5 4 2 2 2 2 2 3" xfId="37781"/>
    <cellStyle name="Normal 4 5 4 2 2 2 2 3" xfId="37782"/>
    <cellStyle name="Normal 4 5 4 2 2 2 2 3 2" xfId="37783"/>
    <cellStyle name="Normal 4 5 4 2 2 2 2 4" xfId="37784"/>
    <cellStyle name="Normal 4 5 4 2 2 2 3" xfId="37785"/>
    <cellStyle name="Normal 4 5 4 2 2 2 3 2" xfId="37786"/>
    <cellStyle name="Normal 4 5 4 2 2 2 3 2 2" xfId="37787"/>
    <cellStyle name="Normal 4 5 4 2 2 2 3 3" xfId="37788"/>
    <cellStyle name="Normal 4 5 4 2 2 2 4" xfId="37789"/>
    <cellStyle name="Normal 4 5 4 2 2 2 4 2" xfId="37790"/>
    <cellStyle name="Normal 4 5 4 2 2 2 5" xfId="37791"/>
    <cellStyle name="Normal 4 5 4 2 2 3" xfId="3845"/>
    <cellStyle name="Normal 4 5 4 2 2 3 2" xfId="37792"/>
    <cellStyle name="Normal 4 5 4 2 2 3 2 2" xfId="37793"/>
    <cellStyle name="Normal 4 5 4 2 2 3 2 2 2" xfId="37794"/>
    <cellStyle name="Normal 4 5 4 2 2 3 2 3" xfId="37795"/>
    <cellStyle name="Normal 4 5 4 2 2 3 3" xfId="37796"/>
    <cellStyle name="Normal 4 5 4 2 2 3 3 2" xfId="37797"/>
    <cellStyle name="Normal 4 5 4 2 2 3 4" xfId="37798"/>
    <cellStyle name="Normal 4 5 4 2 2 4" xfId="37799"/>
    <cellStyle name="Normal 4 5 4 2 2 4 2" xfId="37800"/>
    <cellStyle name="Normal 4 5 4 2 2 4 2 2" xfId="37801"/>
    <cellStyle name="Normal 4 5 4 2 2 4 3" xfId="37802"/>
    <cellStyle name="Normal 4 5 4 2 2 5" xfId="37803"/>
    <cellStyle name="Normal 4 5 4 2 2 5 2" xfId="37804"/>
    <cellStyle name="Normal 4 5 4 2 2 6" xfId="37805"/>
    <cellStyle name="Normal 4 5 4 2 3" xfId="1805"/>
    <cellStyle name="Normal 4 5 4 2 3 2" xfId="4525"/>
    <cellStyle name="Normal 4 5 4 2 3 2 2" xfId="37806"/>
    <cellStyle name="Normal 4 5 4 2 3 2 2 2" xfId="37807"/>
    <cellStyle name="Normal 4 5 4 2 3 2 2 2 2" xfId="37808"/>
    <cellStyle name="Normal 4 5 4 2 3 2 2 3" xfId="37809"/>
    <cellStyle name="Normal 4 5 4 2 3 2 3" xfId="37810"/>
    <cellStyle name="Normal 4 5 4 2 3 2 3 2" xfId="37811"/>
    <cellStyle name="Normal 4 5 4 2 3 2 4" xfId="37812"/>
    <cellStyle name="Normal 4 5 4 2 3 3" xfId="37813"/>
    <cellStyle name="Normal 4 5 4 2 3 3 2" xfId="37814"/>
    <cellStyle name="Normal 4 5 4 2 3 3 2 2" xfId="37815"/>
    <cellStyle name="Normal 4 5 4 2 3 3 3" xfId="37816"/>
    <cellStyle name="Normal 4 5 4 2 3 4" xfId="37817"/>
    <cellStyle name="Normal 4 5 4 2 3 4 2" xfId="37818"/>
    <cellStyle name="Normal 4 5 4 2 3 5" xfId="37819"/>
    <cellStyle name="Normal 4 5 4 2 4" xfId="3165"/>
    <cellStyle name="Normal 4 5 4 2 4 2" xfId="37820"/>
    <cellStyle name="Normal 4 5 4 2 4 2 2" xfId="37821"/>
    <cellStyle name="Normal 4 5 4 2 4 2 2 2" xfId="37822"/>
    <cellStyle name="Normal 4 5 4 2 4 2 3" xfId="37823"/>
    <cellStyle name="Normal 4 5 4 2 4 3" xfId="37824"/>
    <cellStyle name="Normal 4 5 4 2 4 3 2" xfId="37825"/>
    <cellStyle name="Normal 4 5 4 2 4 4" xfId="37826"/>
    <cellStyle name="Normal 4 5 4 2 5" xfId="37827"/>
    <cellStyle name="Normal 4 5 4 2 5 2" xfId="37828"/>
    <cellStyle name="Normal 4 5 4 2 5 2 2" xfId="37829"/>
    <cellStyle name="Normal 4 5 4 2 5 3" xfId="37830"/>
    <cellStyle name="Normal 4 5 4 2 6" xfId="37831"/>
    <cellStyle name="Normal 4 5 4 2 6 2" xfId="37832"/>
    <cellStyle name="Normal 4 5 4 2 7" xfId="37833"/>
    <cellStyle name="Normal 4 5 4 3" xfId="853"/>
    <cellStyle name="Normal 4 5 4 3 2" xfId="2213"/>
    <cellStyle name="Normal 4 5 4 3 2 2" xfId="4933"/>
    <cellStyle name="Normal 4 5 4 3 2 2 2" xfId="37834"/>
    <cellStyle name="Normal 4 5 4 3 2 2 2 2" xfId="37835"/>
    <cellStyle name="Normal 4 5 4 3 2 2 2 2 2" xfId="37836"/>
    <cellStyle name="Normal 4 5 4 3 2 2 2 3" xfId="37837"/>
    <cellStyle name="Normal 4 5 4 3 2 2 3" xfId="37838"/>
    <cellStyle name="Normal 4 5 4 3 2 2 3 2" xfId="37839"/>
    <cellStyle name="Normal 4 5 4 3 2 2 4" xfId="37840"/>
    <cellStyle name="Normal 4 5 4 3 2 3" xfId="37841"/>
    <cellStyle name="Normal 4 5 4 3 2 3 2" xfId="37842"/>
    <cellStyle name="Normal 4 5 4 3 2 3 2 2" xfId="37843"/>
    <cellStyle name="Normal 4 5 4 3 2 3 3" xfId="37844"/>
    <cellStyle name="Normal 4 5 4 3 2 4" xfId="37845"/>
    <cellStyle name="Normal 4 5 4 3 2 4 2" xfId="37846"/>
    <cellStyle name="Normal 4 5 4 3 2 5" xfId="37847"/>
    <cellStyle name="Normal 4 5 4 3 3" xfId="3573"/>
    <cellStyle name="Normal 4 5 4 3 3 2" xfId="37848"/>
    <cellStyle name="Normal 4 5 4 3 3 2 2" xfId="37849"/>
    <cellStyle name="Normal 4 5 4 3 3 2 2 2" xfId="37850"/>
    <cellStyle name="Normal 4 5 4 3 3 2 3" xfId="37851"/>
    <cellStyle name="Normal 4 5 4 3 3 3" xfId="37852"/>
    <cellStyle name="Normal 4 5 4 3 3 3 2" xfId="37853"/>
    <cellStyle name="Normal 4 5 4 3 3 4" xfId="37854"/>
    <cellStyle name="Normal 4 5 4 3 4" xfId="37855"/>
    <cellStyle name="Normal 4 5 4 3 4 2" xfId="37856"/>
    <cellStyle name="Normal 4 5 4 3 4 2 2" xfId="37857"/>
    <cellStyle name="Normal 4 5 4 3 4 3" xfId="37858"/>
    <cellStyle name="Normal 4 5 4 3 5" xfId="37859"/>
    <cellStyle name="Normal 4 5 4 3 5 2" xfId="37860"/>
    <cellStyle name="Normal 4 5 4 3 6" xfId="37861"/>
    <cellStyle name="Normal 4 5 4 4" xfId="1533"/>
    <cellStyle name="Normal 4 5 4 4 2" xfId="4253"/>
    <cellStyle name="Normal 4 5 4 4 2 2" xfId="37862"/>
    <cellStyle name="Normal 4 5 4 4 2 2 2" xfId="37863"/>
    <cellStyle name="Normal 4 5 4 4 2 2 2 2" xfId="37864"/>
    <cellStyle name="Normal 4 5 4 4 2 2 3" xfId="37865"/>
    <cellStyle name="Normal 4 5 4 4 2 3" xfId="37866"/>
    <cellStyle name="Normal 4 5 4 4 2 3 2" xfId="37867"/>
    <cellStyle name="Normal 4 5 4 4 2 4" xfId="37868"/>
    <cellStyle name="Normal 4 5 4 4 3" xfId="37869"/>
    <cellStyle name="Normal 4 5 4 4 3 2" xfId="37870"/>
    <cellStyle name="Normal 4 5 4 4 3 2 2" xfId="37871"/>
    <cellStyle name="Normal 4 5 4 4 3 3" xfId="37872"/>
    <cellStyle name="Normal 4 5 4 4 4" xfId="37873"/>
    <cellStyle name="Normal 4 5 4 4 4 2" xfId="37874"/>
    <cellStyle name="Normal 4 5 4 4 5" xfId="37875"/>
    <cellStyle name="Normal 4 5 4 5" xfId="2893"/>
    <cellStyle name="Normal 4 5 4 5 2" xfId="37876"/>
    <cellStyle name="Normal 4 5 4 5 2 2" xfId="37877"/>
    <cellStyle name="Normal 4 5 4 5 2 2 2" xfId="37878"/>
    <cellStyle name="Normal 4 5 4 5 2 3" xfId="37879"/>
    <cellStyle name="Normal 4 5 4 5 3" xfId="37880"/>
    <cellStyle name="Normal 4 5 4 5 3 2" xfId="37881"/>
    <cellStyle name="Normal 4 5 4 5 4" xfId="37882"/>
    <cellStyle name="Normal 4 5 4 6" xfId="37883"/>
    <cellStyle name="Normal 4 5 4 6 2" xfId="37884"/>
    <cellStyle name="Normal 4 5 4 6 2 2" xfId="37885"/>
    <cellStyle name="Normal 4 5 4 6 3" xfId="37886"/>
    <cellStyle name="Normal 4 5 4 7" xfId="37887"/>
    <cellStyle name="Normal 4 5 4 7 2" xfId="37888"/>
    <cellStyle name="Normal 4 5 4 8" xfId="37889"/>
    <cellStyle name="Normal 4 5 5" xfId="309"/>
    <cellStyle name="Normal 4 5 5 2" xfId="989"/>
    <cellStyle name="Normal 4 5 5 2 2" xfId="2349"/>
    <cellStyle name="Normal 4 5 5 2 2 2" xfId="5069"/>
    <cellStyle name="Normal 4 5 5 2 2 2 2" xfId="37890"/>
    <cellStyle name="Normal 4 5 5 2 2 2 2 2" xfId="37891"/>
    <cellStyle name="Normal 4 5 5 2 2 2 2 2 2" xfId="37892"/>
    <cellStyle name="Normal 4 5 5 2 2 2 2 3" xfId="37893"/>
    <cellStyle name="Normal 4 5 5 2 2 2 3" xfId="37894"/>
    <cellStyle name="Normal 4 5 5 2 2 2 3 2" xfId="37895"/>
    <cellStyle name="Normal 4 5 5 2 2 2 4" xfId="37896"/>
    <cellStyle name="Normal 4 5 5 2 2 3" xfId="37897"/>
    <cellStyle name="Normal 4 5 5 2 2 3 2" xfId="37898"/>
    <cellStyle name="Normal 4 5 5 2 2 3 2 2" xfId="37899"/>
    <cellStyle name="Normal 4 5 5 2 2 3 3" xfId="37900"/>
    <cellStyle name="Normal 4 5 5 2 2 4" xfId="37901"/>
    <cellStyle name="Normal 4 5 5 2 2 4 2" xfId="37902"/>
    <cellStyle name="Normal 4 5 5 2 2 5" xfId="37903"/>
    <cellStyle name="Normal 4 5 5 2 3" xfId="3709"/>
    <cellStyle name="Normal 4 5 5 2 3 2" xfId="37904"/>
    <cellStyle name="Normal 4 5 5 2 3 2 2" xfId="37905"/>
    <cellStyle name="Normal 4 5 5 2 3 2 2 2" xfId="37906"/>
    <cellStyle name="Normal 4 5 5 2 3 2 3" xfId="37907"/>
    <cellStyle name="Normal 4 5 5 2 3 3" xfId="37908"/>
    <cellStyle name="Normal 4 5 5 2 3 3 2" xfId="37909"/>
    <cellStyle name="Normal 4 5 5 2 3 4" xfId="37910"/>
    <cellStyle name="Normal 4 5 5 2 4" xfId="37911"/>
    <cellStyle name="Normal 4 5 5 2 4 2" xfId="37912"/>
    <cellStyle name="Normal 4 5 5 2 4 2 2" xfId="37913"/>
    <cellStyle name="Normal 4 5 5 2 4 3" xfId="37914"/>
    <cellStyle name="Normal 4 5 5 2 5" xfId="37915"/>
    <cellStyle name="Normal 4 5 5 2 5 2" xfId="37916"/>
    <cellStyle name="Normal 4 5 5 2 6" xfId="37917"/>
    <cellStyle name="Normal 4 5 5 3" xfId="1669"/>
    <cellStyle name="Normal 4 5 5 3 2" xfId="4389"/>
    <cellStyle name="Normal 4 5 5 3 2 2" xfId="37918"/>
    <cellStyle name="Normal 4 5 5 3 2 2 2" xfId="37919"/>
    <cellStyle name="Normal 4 5 5 3 2 2 2 2" xfId="37920"/>
    <cellStyle name="Normal 4 5 5 3 2 2 3" xfId="37921"/>
    <cellStyle name="Normal 4 5 5 3 2 3" xfId="37922"/>
    <cellStyle name="Normal 4 5 5 3 2 3 2" xfId="37923"/>
    <cellStyle name="Normal 4 5 5 3 2 4" xfId="37924"/>
    <cellStyle name="Normal 4 5 5 3 3" xfId="37925"/>
    <cellStyle name="Normal 4 5 5 3 3 2" xfId="37926"/>
    <cellStyle name="Normal 4 5 5 3 3 2 2" xfId="37927"/>
    <cellStyle name="Normal 4 5 5 3 3 3" xfId="37928"/>
    <cellStyle name="Normal 4 5 5 3 4" xfId="37929"/>
    <cellStyle name="Normal 4 5 5 3 4 2" xfId="37930"/>
    <cellStyle name="Normal 4 5 5 3 5" xfId="37931"/>
    <cellStyle name="Normal 4 5 5 4" xfId="3029"/>
    <cellStyle name="Normal 4 5 5 4 2" xfId="37932"/>
    <cellStyle name="Normal 4 5 5 4 2 2" xfId="37933"/>
    <cellStyle name="Normal 4 5 5 4 2 2 2" xfId="37934"/>
    <cellStyle name="Normal 4 5 5 4 2 3" xfId="37935"/>
    <cellStyle name="Normal 4 5 5 4 3" xfId="37936"/>
    <cellStyle name="Normal 4 5 5 4 3 2" xfId="37937"/>
    <cellStyle name="Normal 4 5 5 4 4" xfId="37938"/>
    <cellStyle name="Normal 4 5 5 5" xfId="37939"/>
    <cellStyle name="Normal 4 5 5 5 2" xfId="37940"/>
    <cellStyle name="Normal 4 5 5 5 2 2" xfId="37941"/>
    <cellStyle name="Normal 4 5 5 5 3" xfId="37942"/>
    <cellStyle name="Normal 4 5 5 6" xfId="37943"/>
    <cellStyle name="Normal 4 5 5 6 2" xfId="37944"/>
    <cellStyle name="Normal 4 5 5 7" xfId="37945"/>
    <cellStyle name="Normal 4 5 6" xfId="581"/>
    <cellStyle name="Normal 4 5 6 2" xfId="1261"/>
    <cellStyle name="Normal 4 5 6 2 2" xfId="2621"/>
    <cellStyle name="Normal 4 5 6 2 2 2" xfId="5341"/>
    <cellStyle name="Normal 4 5 6 2 2 2 2" xfId="37946"/>
    <cellStyle name="Normal 4 5 6 2 2 2 2 2" xfId="37947"/>
    <cellStyle name="Normal 4 5 6 2 2 2 2 2 2" xfId="37948"/>
    <cellStyle name="Normal 4 5 6 2 2 2 2 3" xfId="37949"/>
    <cellStyle name="Normal 4 5 6 2 2 2 3" xfId="37950"/>
    <cellStyle name="Normal 4 5 6 2 2 2 3 2" xfId="37951"/>
    <cellStyle name="Normal 4 5 6 2 2 2 4" xfId="37952"/>
    <cellStyle name="Normal 4 5 6 2 2 3" xfId="37953"/>
    <cellStyle name="Normal 4 5 6 2 2 3 2" xfId="37954"/>
    <cellStyle name="Normal 4 5 6 2 2 3 2 2" xfId="37955"/>
    <cellStyle name="Normal 4 5 6 2 2 3 3" xfId="37956"/>
    <cellStyle name="Normal 4 5 6 2 2 4" xfId="37957"/>
    <cellStyle name="Normal 4 5 6 2 2 4 2" xfId="37958"/>
    <cellStyle name="Normal 4 5 6 2 2 5" xfId="37959"/>
    <cellStyle name="Normal 4 5 6 2 3" xfId="3981"/>
    <cellStyle name="Normal 4 5 6 2 3 2" xfId="37960"/>
    <cellStyle name="Normal 4 5 6 2 3 2 2" xfId="37961"/>
    <cellStyle name="Normal 4 5 6 2 3 2 2 2" xfId="37962"/>
    <cellStyle name="Normal 4 5 6 2 3 2 3" xfId="37963"/>
    <cellStyle name="Normal 4 5 6 2 3 3" xfId="37964"/>
    <cellStyle name="Normal 4 5 6 2 3 3 2" xfId="37965"/>
    <cellStyle name="Normal 4 5 6 2 3 4" xfId="37966"/>
    <cellStyle name="Normal 4 5 6 2 4" xfId="37967"/>
    <cellStyle name="Normal 4 5 6 2 4 2" xfId="37968"/>
    <cellStyle name="Normal 4 5 6 2 4 2 2" xfId="37969"/>
    <cellStyle name="Normal 4 5 6 2 4 3" xfId="37970"/>
    <cellStyle name="Normal 4 5 6 2 5" xfId="37971"/>
    <cellStyle name="Normal 4 5 6 2 5 2" xfId="37972"/>
    <cellStyle name="Normal 4 5 6 2 6" xfId="37973"/>
    <cellStyle name="Normal 4 5 6 3" xfId="1941"/>
    <cellStyle name="Normal 4 5 6 3 2" xfId="4661"/>
    <cellStyle name="Normal 4 5 6 3 2 2" xfId="37974"/>
    <cellStyle name="Normal 4 5 6 3 2 2 2" xfId="37975"/>
    <cellStyle name="Normal 4 5 6 3 2 2 2 2" xfId="37976"/>
    <cellStyle name="Normal 4 5 6 3 2 2 3" xfId="37977"/>
    <cellStyle name="Normal 4 5 6 3 2 3" xfId="37978"/>
    <cellStyle name="Normal 4 5 6 3 2 3 2" xfId="37979"/>
    <cellStyle name="Normal 4 5 6 3 2 4" xfId="37980"/>
    <cellStyle name="Normal 4 5 6 3 3" xfId="37981"/>
    <cellStyle name="Normal 4 5 6 3 3 2" xfId="37982"/>
    <cellStyle name="Normal 4 5 6 3 3 2 2" xfId="37983"/>
    <cellStyle name="Normal 4 5 6 3 3 3" xfId="37984"/>
    <cellStyle name="Normal 4 5 6 3 4" xfId="37985"/>
    <cellStyle name="Normal 4 5 6 3 4 2" xfId="37986"/>
    <cellStyle name="Normal 4 5 6 3 5" xfId="37987"/>
    <cellStyle name="Normal 4 5 6 4" xfId="3301"/>
    <cellStyle name="Normal 4 5 6 4 2" xfId="37988"/>
    <cellStyle name="Normal 4 5 6 4 2 2" xfId="37989"/>
    <cellStyle name="Normal 4 5 6 4 2 2 2" xfId="37990"/>
    <cellStyle name="Normal 4 5 6 4 2 3" xfId="37991"/>
    <cellStyle name="Normal 4 5 6 4 3" xfId="37992"/>
    <cellStyle name="Normal 4 5 6 4 3 2" xfId="37993"/>
    <cellStyle name="Normal 4 5 6 4 4" xfId="37994"/>
    <cellStyle name="Normal 4 5 6 5" xfId="37995"/>
    <cellStyle name="Normal 4 5 6 5 2" xfId="37996"/>
    <cellStyle name="Normal 4 5 6 5 2 2" xfId="37997"/>
    <cellStyle name="Normal 4 5 6 5 3" xfId="37998"/>
    <cellStyle name="Normal 4 5 6 6" xfId="37999"/>
    <cellStyle name="Normal 4 5 6 6 2" xfId="38000"/>
    <cellStyle name="Normal 4 5 6 7" xfId="38001"/>
    <cellStyle name="Normal 4 5 7" xfId="717"/>
    <cellStyle name="Normal 4 5 7 2" xfId="2077"/>
    <cellStyle name="Normal 4 5 7 2 2" xfId="4797"/>
    <cellStyle name="Normal 4 5 7 2 2 2" xfId="38002"/>
    <cellStyle name="Normal 4 5 7 2 2 2 2" xfId="38003"/>
    <cellStyle name="Normal 4 5 7 2 2 2 2 2" xfId="38004"/>
    <cellStyle name="Normal 4 5 7 2 2 2 3" xfId="38005"/>
    <cellStyle name="Normal 4 5 7 2 2 3" xfId="38006"/>
    <cellStyle name="Normal 4 5 7 2 2 3 2" xfId="38007"/>
    <cellStyle name="Normal 4 5 7 2 2 4" xfId="38008"/>
    <cellStyle name="Normal 4 5 7 2 3" xfId="38009"/>
    <cellStyle name="Normal 4 5 7 2 3 2" xfId="38010"/>
    <cellStyle name="Normal 4 5 7 2 3 2 2" xfId="38011"/>
    <cellStyle name="Normal 4 5 7 2 3 3" xfId="38012"/>
    <cellStyle name="Normal 4 5 7 2 4" xfId="38013"/>
    <cellStyle name="Normal 4 5 7 2 4 2" xfId="38014"/>
    <cellStyle name="Normal 4 5 7 2 5" xfId="38015"/>
    <cellStyle name="Normal 4 5 7 3" xfId="3437"/>
    <cellStyle name="Normal 4 5 7 3 2" xfId="38016"/>
    <cellStyle name="Normal 4 5 7 3 2 2" xfId="38017"/>
    <cellStyle name="Normal 4 5 7 3 2 2 2" xfId="38018"/>
    <cellStyle name="Normal 4 5 7 3 2 3" xfId="38019"/>
    <cellStyle name="Normal 4 5 7 3 3" xfId="38020"/>
    <cellStyle name="Normal 4 5 7 3 3 2" xfId="38021"/>
    <cellStyle name="Normal 4 5 7 3 4" xfId="38022"/>
    <cellStyle name="Normal 4 5 7 4" xfId="38023"/>
    <cellStyle name="Normal 4 5 7 4 2" xfId="38024"/>
    <cellStyle name="Normal 4 5 7 4 2 2" xfId="38025"/>
    <cellStyle name="Normal 4 5 7 4 3" xfId="38026"/>
    <cellStyle name="Normal 4 5 7 5" xfId="38027"/>
    <cellStyle name="Normal 4 5 7 5 2" xfId="38028"/>
    <cellStyle name="Normal 4 5 7 6" xfId="38029"/>
    <cellStyle name="Normal 4 5 8" xfId="1397"/>
    <cellStyle name="Normal 4 5 8 2" xfId="4117"/>
    <cellStyle name="Normal 4 5 8 2 2" xfId="38030"/>
    <cellStyle name="Normal 4 5 8 2 2 2" xfId="38031"/>
    <cellStyle name="Normal 4 5 8 2 2 2 2" xfId="38032"/>
    <cellStyle name="Normal 4 5 8 2 2 3" xfId="38033"/>
    <cellStyle name="Normal 4 5 8 2 3" xfId="38034"/>
    <cellStyle name="Normal 4 5 8 2 3 2" xfId="38035"/>
    <cellStyle name="Normal 4 5 8 2 4" xfId="38036"/>
    <cellStyle name="Normal 4 5 8 3" xfId="38037"/>
    <cellStyle name="Normal 4 5 8 3 2" xfId="38038"/>
    <cellStyle name="Normal 4 5 8 3 2 2" xfId="38039"/>
    <cellStyle name="Normal 4 5 8 3 3" xfId="38040"/>
    <cellStyle name="Normal 4 5 8 4" xfId="38041"/>
    <cellStyle name="Normal 4 5 8 4 2" xfId="38042"/>
    <cellStyle name="Normal 4 5 8 5" xfId="38043"/>
    <cellStyle name="Normal 4 5 9" xfId="2757"/>
    <cellStyle name="Normal 4 5 9 2" xfId="38044"/>
    <cellStyle name="Normal 4 5 9 2 2" xfId="38045"/>
    <cellStyle name="Normal 4 5 9 2 2 2" xfId="38046"/>
    <cellStyle name="Normal 4 5 9 2 3" xfId="38047"/>
    <cellStyle name="Normal 4 5 9 3" xfId="38048"/>
    <cellStyle name="Normal 4 5 9 3 2" xfId="38049"/>
    <cellStyle name="Normal 4 5 9 4" xfId="38050"/>
    <cellStyle name="Normal 4 6" xfId="53"/>
    <cellStyle name="Normal 4 6 10" xfId="38051"/>
    <cellStyle name="Normal 4 6 10 2" xfId="38052"/>
    <cellStyle name="Normal 4 6 11" xfId="38053"/>
    <cellStyle name="Normal 4 6 2" xfId="121"/>
    <cellStyle name="Normal 4 6 2 10" xfId="38054"/>
    <cellStyle name="Normal 4 6 2 2" xfId="258"/>
    <cellStyle name="Normal 4 6 2 2 2" xfId="530"/>
    <cellStyle name="Normal 4 6 2 2 2 2" xfId="1210"/>
    <cellStyle name="Normal 4 6 2 2 2 2 2" xfId="2570"/>
    <cellStyle name="Normal 4 6 2 2 2 2 2 2" xfId="5290"/>
    <cellStyle name="Normal 4 6 2 2 2 2 2 2 2" xfId="38055"/>
    <cellStyle name="Normal 4 6 2 2 2 2 2 2 2 2" xfId="38056"/>
    <cellStyle name="Normal 4 6 2 2 2 2 2 2 2 2 2" xfId="38057"/>
    <cellStyle name="Normal 4 6 2 2 2 2 2 2 2 3" xfId="38058"/>
    <cellStyle name="Normal 4 6 2 2 2 2 2 2 3" xfId="38059"/>
    <cellStyle name="Normal 4 6 2 2 2 2 2 2 3 2" xfId="38060"/>
    <cellStyle name="Normal 4 6 2 2 2 2 2 2 4" xfId="38061"/>
    <cellStyle name="Normal 4 6 2 2 2 2 2 3" xfId="38062"/>
    <cellStyle name="Normal 4 6 2 2 2 2 2 3 2" xfId="38063"/>
    <cellStyle name="Normal 4 6 2 2 2 2 2 3 2 2" xfId="38064"/>
    <cellStyle name="Normal 4 6 2 2 2 2 2 3 3" xfId="38065"/>
    <cellStyle name="Normal 4 6 2 2 2 2 2 4" xfId="38066"/>
    <cellStyle name="Normal 4 6 2 2 2 2 2 4 2" xfId="38067"/>
    <cellStyle name="Normal 4 6 2 2 2 2 2 5" xfId="38068"/>
    <cellStyle name="Normal 4 6 2 2 2 2 3" xfId="3930"/>
    <cellStyle name="Normal 4 6 2 2 2 2 3 2" xfId="38069"/>
    <cellStyle name="Normal 4 6 2 2 2 2 3 2 2" xfId="38070"/>
    <cellStyle name="Normal 4 6 2 2 2 2 3 2 2 2" xfId="38071"/>
    <cellStyle name="Normal 4 6 2 2 2 2 3 2 3" xfId="38072"/>
    <cellStyle name="Normal 4 6 2 2 2 2 3 3" xfId="38073"/>
    <cellStyle name="Normal 4 6 2 2 2 2 3 3 2" xfId="38074"/>
    <cellStyle name="Normal 4 6 2 2 2 2 3 4" xfId="38075"/>
    <cellStyle name="Normal 4 6 2 2 2 2 4" xfId="38076"/>
    <cellStyle name="Normal 4 6 2 2 2 2 4 2" xfId="38077"/>
    <cellStyle name="Normal 4 6 2 2 2 2 4 2 2" xfId="38078"/>
    <cellStyle name="Normal 4 6 2 2 2 2 4 3" xfId="38079"/>
    <cellStyle name="Normal 4 6 2 2 2 2 5" xfId="38080"/>
    <cellStyle name="Normal 4 6 2 2 2 2 5 2" xfId="38081"/>
    <cellStyle name="Normal 4 6 2 2 2 2 6" xfId="38082"/>
    <cellStyle name="Normal 4 6 2 2 2 3" xfId="1890"/>
    <cellStyle name="Normal 4 6 2 2 2 3 2" xfId="4610"/>
    <cellStyle name="Normal 4 6 2 2 2 3 2 2" xfId="38083"/>
    <cellStyle name="Normal 4 6 2 2 2 3 2 2 2" xfId="38084"/>
    <cellStyle name="Normal 4 6 2 2 2 3 2 2 2 2" xfId="38085"/>
    <cellStyle name="Normal 4 6 2 2 2 3 2 2 3" xfId="38086"/>
    <cellStyle name="Normal 4 6 2 2 2 3 2 3" xfId="38087"/>
    <cellStyle name="Normal 4 6 2 2 2 3 2 3 2" xfId="38088"/>
    <cellStyle name="Normal 4 6 2 2 2 3 2 4" xfId="38089"/>
    <cellStyle name="Normal 4 6 2 2 2 3 3" xfId="38090"/>
    <cellStyle name="Normal 4 6 2 2 2 3 3 2" xfId="38091"/>
    <cellStyle name="Normal 4 6 2 2 2 3 3 2 2" xfId="38092"/>
    <cellStyle name="Normal 4 6 2 2 2 3 3 3" xfId="38093"/>
    <cellStyle name="Normal 4 6 2 2 2 3 4" xfId="38094"/>
    <cellStyle name="Normal 4 6 2 2 2 3 4 2" xfId="38095"/>
    <cellStyle name="Normal 4 6 2 2 2 3 5" xfId="38096"/>
    <cellStyle name="Normal 4 6 2 2 2 4" xfId="3250"/>
    <cellStyle name="Normal 4 6 2 2 2 4 2" xfId="38097"/>
    <cellStyle name="Normal 4 6 2 2 2 4 2 2" xfId="38098"/>
    <cellStyle name="Normal 4 6 2 2 2 4 2 2 2" xfId="38099"/>
    <cellStyle name="Normal 4 6 2 2 2 4 2 3" xfId="38100"/>
    <cellStyle name="Normal 4 6 2 2 2 4 3" xfId="38101"/>
    <cellStyle name="Normal 4 6 2 2 2 4 3 2" xfId="38102"/>
    <cellStyle name="Normal 4 6 2 2 2 4 4" xfId="38103"/>
    <cellStyle name="Normal 4 6 2 2 2 5" xfId="38104"/>
    <cellStyle name="Normal 4 6 2 2 2 5 2" xfId="38105"/>
    <cellStyle name="Normal 4 6 2 2 2 5 2 2" xfId="38106"/>
    <cellStyle name="Normal 4 6 2 2 2 5 3" xfId="38107"/>
    <cellStyle name="Normal 4 6 2 2 2 6" xfId="38108"/>
    <cellStyle name="Normal 4 6 2 2 2 6 2" xfId="38109"/>
    <cellStyle name="Normal 4 6 2 2 2 7" xfId="38110"/>
    <cellStyle name="Normal 4 6 2 2 3" xfId="938"/>
    <cellStyle name="Normal 4 6 2 2 3 2" xfId="2298"/>
    <cellStyle name="Normal 4 6 2 2 3 2 2" xfId="5018"/>
    <cellStyle name="Normal 4 6 2 2 3 2 2 2" xfId="38111"/>
    <cellStyle name="Normal 4 6 2 2 3 2 2 2 2" xfId="38112"/>
    <cellStyle name="Normal 4 6 2 2 3 2 2 2 2 2" xfId="38113"/>
    <cellStyle name="Normal 4 6 2 2 3 2 2 2 3" xfId="38114"/>
    <cellStyle name="Normal 4 6 2 2 3 2 2 3" xfId="38115"/>
    <cellStyle name="Normal 4 6 2 2 3 2 2 3 2" xfId="38116"/>
    <cellStyle name="Normal 4 6 2 2 3 2 2 4" xfId="38117"/>
    <cellStyle name="Normal 4 6 2 2 3 2 3" xfId="38118"/>
    <cellStyle name="Normal 4 6 2 2 3 2 3 2" xfId="38119"/>
    <cellStyle name="Normal 4 6 2 2 3 2 3 2 2" xfId="38120"/>
    <cellStyle name="Normal 4 6 2 2 3 2 3 3" xfId="38121"/>
    <cellStyle name="Normal 4 6 2 2 3 2 4" xfId="38122"/>
    <cellStyle name="Normal 4 6 2 2 3 2 4 2" xfId="38123"/>
    <cellStyle name="Normal 4 6 2 2 3 2 5" xfId="38124"/>
    <cellStyle name="Normal 4 6 2 2 3 3" xfId="3658"/>
    <cellStyle name="Normal 4 6 2 2 3 3 2" xfId="38125"/>
    <cellStyle name="Normal 4 6 2 2 3 3 2 2" xfId="38126"/>
    <cellStyle name="Normal 4 6 2 2 3 3 2 2 2" xfId="38127"/>
    <cellStyle name="Normal 4 6 2 2 3 3 2 3" xfId="38128"/>
    <cellStyle name="Normal 4 6 2 2 3 3 3" xfId="38129"/>
    <cellStyle name="Normal 4 6 2 2 3 3 3 2" xfId="38130"/>
    <cellStyle name="Normal 4 6 2 2 3 3 4" xfId="38131"/>
    <cellStyle name="Normal 4 6 2 2 3 4" xfId="38132"/>
    <cellStyle name="Normal 4 6 2 2 3 4 2" xfId="38133"/>
    <cellStyle name="Normal 4 6 2 2 3 4 2 2" xfId="38134"/>
    <cellStyle name="Normal 4 6 2 2 3 4 3" xfId="38135"/>
    <cellStyle name="Normal 4 6 2 2 3 5" xfId="38136"/>
    <cellStyle name="Normal 4 6 2 2 3 5 2" xfId="38137"/>
    <cellStyle name="Normal 4 6 2 2 3 6" xfId="38138"/>
    <cellStyle name="Normal 4 6 2 2 4" xfId="1618"/>
    <cellStyle name="Normal 4 6 2 2 4 2" xfId="4338"/>
    <cellStyle name="Normal 4 6 2 2 4 2 2" xfId="38139"/>
    <cellStyle name="Normal 4 6 2 2 4 2 2 2" xfId="38140"/>
    <cellStyle name="Normal 4 6 2 2 4 2 2 2 2" xfId="38141"/>
    <cellStyle name="Normal 4 6 2 2 4 2 2 3" xfId="38142"/>
    <cellStyle name="Normal 4 6 2 2 4 2 3" xfId="38143"/>
    <cellStyle name="Normal 4 6 2 2 4 2 3 2" xfId="38144"/>
    <cellStyle name="Normal 4 6 2 2 4 2 4" xfId="38145"/>
    <cellStyle name="Normal 4 6 2 2 4 3" xfId="38146"/>
    <cellStyle name="Normal 4 6 2 2 4 3 2" xfId="38147"/>
    <cellStyle name="Normal 4 6 2 2 4 3 2 2" xfId="38148"/>
    <cellStyle name="Normal 4 6 2 2 4 3 3" xfId="38149"/>
    <cellStyle name="Normal 4 6 2 2 4 4" xfId="38150"/>
    <cellStyle name="Normal 4 6 2 2 4 4 2" xfId="38151"/>
    <cellStyle name="Normal 4 6 2 2 4 5" xfId="38152"/>
    <cellStyle name="Normal 4 6 2 2 5" xfId="2978"/>
    <cellStyle name="Normal 4 6 2 2 5 2" xfId="38153"/>
    <cellStyle name="Normal 4 6 2 2 5 2 2" xfId="38154"/>
    <cellStyle name="Normal 4 6 2 2 5 2 2 2" xfId="38155"/>
    <cellStyle name="Normal 4 6 2 2 5 2 3" xfId="38156"/>
    <cellStyle name="Normal 4 6 2 2 5 3" xfId="38157"/>
    <cellStyle name="Normal 4 6 2 2 5 3 2" xfId="38158"/>
    <cellStyle name="Normal 4 6 2 2 5 4" xfId="38159"/>
    <cellStyle name="Normal 4 6 2 2 6" xfId="38160"/>
    <cellStyle name="Normal 4 6 2 2 6 2" xfId="38161"/>
    <cellStyle name="Normal 4 6 2 2 6 2 2" xfId="38162"/>
    <cellStyle name="Normal 4 6 2 2 6 3" xfId="38163"/>
    <cellStyle name="Normal 4 6 2 2 7" xfId="38164"/>
    <cellStyle name="Normal 4 6 2 2 7 2" xfId="38165"/>
    <cellStyle name="Normal 4 6 2 2 8" xfId="38166"/>
    <cellStyle name="Normal 4 6 2 3" xfId="394"/>
    <cellStyle name="Normal 4 6 2 3 2" xfId="1074"/>
    <cellStyle name="Normal 4 6 2 3 2 2" xfId="2434"/>
    <cellStyle name="Normal 4 6 2 3 2 2 2" xfId="5154"/>
    <cellStyle name="Normal 4 6 2 3 2 2 2 2" xfId="38167"/>
    <cellStyle name="Normal 4 6 2 3 2 2 2 2 2" xfId="38168"/>
    <cellStyle name="Normal 4 6 2 3 2 2 2 2 2 2" xfId="38169"/>
    <cellStyle name="Normal 4 6 2 3 2 2 2 2 3" xfId="38170"/>
    <cellStyle name="Normal 4 6 2 3 2 2 2 3" xfId="38171"/>
    <cellStyle name="Normal 4 6 2 3 2 2 2 3 2" xfId="38172"/>
    <cellStyle name="Normal 4 6 2 3 2 2 2 4" xfId="38173"/>
    <cellStyle name="Normal 4 6 2 3 2 2 3" xfId="38174"/>
    <cellStyle name="Normal 4 6 2 3 2 2 3 2" xfId="38175"/>
    <cellStyle name="Normal 4 6 2 3 2 2 3 2 2" xfId="38176"/>
    <cellStyle name="Normal 4 6 2 3 2 2 3 3" xfId="38177"/>
    <cellStyle name="Normal 4 6 2 3 2 2 4" xfId="38178"/>
    <cellStyle name="Normal 4 6 2 3 2 2 4 2" xfId="38179"/>
    <cellStyle name="Normal 4 6 2 3 2 2 5" xfId="38180"/>
    <cellStyle name="Normal 4 6 2 3 2 3" xfId="3794"/>
    <cellStyle name="Normal 4 6 2 3 2 3 2" xfId="38181"/>
    <cellStyle name="Normal 4 6 2 3 2 3 2 2" xfId="38182"/>
    <cellStyle name="Normal 4 6 2 3 2 3 2 2 2" xfId="38183"/>
    <cellStyle name="Normal 4 6 2 3 2 3 2 3" xfId="38184"/>
    <cellStyle name="Normal 4 6 2 3 2 3 3" xfId="38185"/>
    <cellStyle name="Normal 4 6 2 3 2 3 3 2" xfId="38186"/>
    <cellStyle name="Normal 4 6 2 3 2 3 4" xfId="38187"/>
    <cellStyle name="Normal 4 6 2 3 2 4" xfId="38188"/>
    <cellStyle name="Normal 4 6 2 3 2 4 2" xfId="38189"/>
    <cellStyle name="Normal 4 6 2 3 2 4 2 2" xfId="38190"/>
    <cellStyle name="Normal 4 6 2 3 2 4 3" xfId="38191"/>
    <cellStyle name="Normal 4 6 2 3 2 5" xfId="38192"/>
    <cellStyle name="Normal 4 6 2 3 2 5 2" xfId="38193"/>
    <cellStyle name="Normal 4 6 2 3 2 6" xfId="38194"/>
    <cellStyle name="Normal 4 6 2 3 3" xfId="1754"/>
    <cellStyle name="Normal 4 6 2 3 3 2" xfId="4474"/>
    <cellStyle name="Normal 4 6 2 3 3 2 2" xfId="38195"/>
    <cellStyle name="Normal 4 6 2 3 3 2 2 2" xfId="38196"/>
    <cellStyle name="Normal 4 6 2 3 3 2 2 2 2" xfId="38197"/>
    <cellStyle name="Normal 4 6 2 3 3 2 2 3" xfId="38198"/>
    <cellStyle name="Normal 4 6 2 3 3 2 3" xfId="38199"/>
    <cellStyle name="Normal 4 6 2 3 3 2 3 2" xfId="38200"/>
    <cellStyle name="Normal 4 6 2 3 3 2 4" xfId="38201"/>
    <cellStyle name="Normal 4 6 2 3 3 3" xfId="38202"/>
    <cellStyle name="Normal 4 6 2 3 3 3 2" xfId="38203"/>
    <cellStyle name="Normal 4 6 2 3 3 3 2 2" xfId="38204"/>
    <cellStyle name="Normal 4 6 2 3 3 3 3" xfId="38205"/>
    <cellStyle name="Normal 4 6 2 3 3 4" xfId="38206"/>
    <cellStyle name="Normal 4 6 2 3 3 4 2" xfId="38207"/>
    <cellStyle name="Normal 4 6 2 3 3 5" xfId="38208"/>
    <cellStyle name="Normal 4 6 2 3 4" xfId="3114"/>
    <cellStyle name="Normal 4 6 2 3 4 2" xfId="38209"/>
    <cellStyle name="Normal 4 6 2 3 4 2 2" xfId="38210"/>
    <cellStyle name="Normal 4 6 2 3 4 2 2 2" xfId="38211"/>
    <cellStyle name="Normal 4 6 2 3 4 2 3" xfId="38212"/>
    <cellStyle name="Normal 4 6 2 3 4 3" xfId="38213"/>
    <cellStyle name="Normal 4 6 2 3 4 3 2" xfId="38214"/>
    <cellStyle name="Normal 4 6 2 3 4 4" xfId="38215"/>
    <cellStyle name="Normal 4 6 2 3 5" xfId="38216"/>
    <cellStyle name="Normal 4 6 2 3 5 2" xfId="38217"/>
    <cellStyle name="Normal 4 6 2 3 5 2 2" xfId="38218"/>
    <cellStyle name="Normal 4 6 2 3 5 3" xfId="38219"/>
    <cellStyle name="Normal 4 6 2 3 6" xfId="38220"/>
    <cellStyle name="Normal 4 6 2 3 6 2" xfId="38221"/>
    <cellStyle name="Normal 4 6 2 3 7" xfId="38222"/>
    <cellStyle name="Normal 4 6 2 4" xfId="666"/>
    <cellStyle name="Normal 4 6 2 4 2" xfId="1346"/>
    <cellStyle name="Normal 4 6 2 4 2 2" xfId="2706"/>
    <cellStyle name="Normal 4 6 2 4 2 2 2" xfId="5426"/>
    <cellStyle name="Normal 4 6 2 4 2 2 2 2" xfId="38223"/>
    <cellStyle name="Normal 4 6 2 4 2 2 2 2 2" xfId="38224"/>
    <cellStyle name="Normal 4 6 2 4 2 2 2 2 2 2" xfId="38225"/>
    <cellStyle name="Normal 4 6 2 4 2 2 2 2 3" xfId="38226"/>
    <cellStyle name="Normal 4 6 2 4 2 2 2 3" xfId="38227"/>
    <cellStyle name="Normal 4 6 2 4 2 2 2 3 2" xfId="38228"/>
    <cellStyle name="Normal 4 6 2 4 2 2 2 4" xfId="38229"/>
    <cellStyle name="Normal 4 6 2 4 2 2 3" xfId="38230"/>
    <cellStyle name="Normal 4 6 2 4 2 2 3 2" xfId="38231"/>
    <cellStyle name="Normal 4 6 2 4 2 2 3 2 2" xfId="38232"/>
    <cellStyle name="Normal 4 6 2 4 2 2 3 3" xfId="38233"/>
    <cellStyle name="Normal 4 6 2 4 2 2 4" xfId="38234"/>
    <cellStyle name="Normal 4 6 2 4 2 2 4 2" xfId="38235"/>
    <cellStyle name="Normal 4 6 2 4 2 2 5" xfId="38236"/>
    <cellStyle name="Normal 4 6 2 4 2 3" xfId="4066"/>
    <cellStyle name="Normal 4 6 2 4 2 3 2" xfId="38237"/>
    <cellStyle name="Normal 4 6 2 4 2 3 2 2" xfId="38238"/>
    <cellStyle name="Normal 4 6 2 4 2 3 2 2 2" xfId="38239"/>
    <cellStyle name="Normal 4 6 2 4 2 3 2 3" xfId="38240"/>
    <cellStyle name="Normal 4 6 2 4 2 3 3" xfId="38241"/>
    <cellStyle name="Normal 4 6 2 4 2 3 3 2" xfId="38242"/>
    <cellStyle name="Normal 4 6 2 4 2 3 4" xfId="38243"/>
    <cellStyle name="Normal 4 6 2 4 2 4" xfId="38244"/>
    <cellStyle name="Normal 4 6 2 4 2 4 2" xfId="38245"/>
    <cellStyle name="Normal 4 6 2 4 2 4 2 2" xfId="38246"/>
    <cellStyle name="Normal 4 6 2 4 2 4 3" xfId="38247"/>
    <cellStyle name="Normal 4 6 2 4 2 5" xfId="38248"/>
    <cellStyle name="Normal 4 6 2 4 2 5 2" xfId="38249"/>
    <cellStyle name="Normal 4 6 2 4 2 6" xfId="38250"/>
    <cellStyle name="Normal 4 6 2 4 3" xfId="2026"/>
    <cellStyle name="Normal 4 6 2 4 3 2" xfId="4746"/>
    <cellStyle name="Normal 4 6 2 4 3 2 2" xfId="38251"/>
    <cellStyle name="Normal 4 6 2 4 3 2 2 2" xfId="38252"/>
    <cellStyle name="Normal 4 6 2 4 3 2 2 2 2" xfId="38253"/>
    <cellStyle name="Normal 4 6 2 4 3 2 2 3" xfId="38254"/>
    <cellStyle name="Normal 4 6 2 4 3 2 3" xfId="38255"/>
    <cellStyle name="Normal 4 6 2 4 3 2 3 2" xfId="38256"/>
    <cellStyle name="Normal 4 6 2 4 3 2 4" xfId="38257"/>
    <cellStyle name="Normal 4 6 2 4 3 3" xfId="38258"/>
    <cellStyle name="Normal 4 6 2 4 3 3 2" xfId="38259"/>
    <cellStyle name="Normal 4 6 2 4 3 3 2 2" xfId="38260"/>
    <cellStyle name="Normal 4 6 2 4 3 3 3" xfId="38261"/>
    <cellStyle name="Normal 4 6 2 4 3 4" xfId="38262"/>
    <cellStyle name="Normal 4 6 2 4 3 4 2" xfId="38263"/>
    <cellStyle name="Normal 4 6 2 4 3 5" xfId="38264"/>
    <cellStyle name="Normal 4 6 2 4 4" xfId="3386"/>
    <cellStyle name="Normal 4 6 2 4 4 2" xfId="38265"/>
    <cellStyle name="Normal 4 6 2 4 4 2 2" xfId="38266"/>
    <cellStyle name="Normal 4 6 2 4 4 2 2 2" xfId="38267"/>
    <cellStyle name="Normal 4 6 2 4 4 2 3" xfId="38268"/>
    <cellStyle name="Normal 4 6 2 4 4 3" xfId="38269"/>
    <cellStyle name="Normal 4 6 2 4 4 3 2" xfId="38270"/>
    <cellStyle name="Normal 4 6 2 4 4 4" xfId="38271"/>
    <cellStyle name="Normal 4 6 2 4 5" xfId="38272"/>
    <cellStyle name="Normal 4 6 2 4 5 2" xfId="38273"/>
    <cellStyle name="Normal 4 6 2 4 5 2 2" xfId="38274"/>
    <cellStyle name="Normal 4 6 2 4 5 3" xfId="38275"/>
    <cellStyle name="Normal 4 6 2 4 6" xfId="38276"/>
    <cellStyle name="Normal 4 6 2 4 6 2" xfId="38277"/>
    <cellStyle name="Normal 4 6 2 4 7" xfId="38278"/>
    <cellStyle name="Normal 4 6 2 5" xfId="802"/>
    <cellStyle name="Normal 4 6 2 5 2" xfId="2162"/>
    <cellStyle name="Normal 4 6 2 5 2 2" xfId="4882"/>
    <cellStyle name="Normal 4 6 2 5 2 2 2" xfId="38279"/>
    <cellStyle name="Normal 4 6 2 5 2 2 2 2" xfId="38280"/>
    <cellStyle name="Normal 4 6 2 5 2 2 2 2 2" xfId="38281"/>
    <cellStyle name="Normal 4 6 2 5 2 2 2 3" xfId="38282"/>
    <cellStyle name="Normal 4 6 2 5 2 2 3" xfId="38283"/>
    <cellStyle name="Normal 4 6 2 5 2 2 3 2" xfId="38284"/>
    <cellStyle name="Normal 4 6 2 5 2 2 4" xfId="38285"/>
    <cellStyle name="Normal 4 6 2 5 2 3" xfId="38286"/>
    <cellStyle name="Normal 4 6 2 5 2 3 2" xfId="38287"/>
    <cellStyle name="Normal 4 6 2 5 2 3 2 2" xfId="38288"/>
    <cellStyle name="Normal 4 6 2 5 2 3 3" xfId="38289"/>
    <cellStyle name="Normal 4 6 2 5 2 4" xfId="38290"/>
    <cellStyle name="Normal 4 6 2 5 2 4 2" xfId="38291"/>
    <cellStyle name="Normal 4 6 2 5 2 5" xfId="38292"/>
    <cellStyle name="Normal 4 6 2 5 3" xfId="3522"/>
    <cellStyle name="Normal 4 6 2 5 3 2" xfId="38293"/>
    <cellStyle name="Normal 4 6 2 5 3 2 2" xfId="38294"/>
    <cellStyle name="Normal 4 6 2 5 3 2 2 2" xfId="38295"/>
    <cellStyle name="Normal 4 6 2 5 3 2 3" xfId="38296"/>
    <cellStyle name="Normal 4 6 2 5 3 3" xfId="38297"/>
    <cellStyle name="Normal 4 6 2 5 3 3 2" xfId="38298"/>
    <cellStyle name="Normal 4 6 2 5 3 4" xfId="38299"/>
    <cellStyle name="Normal 4 6 2 5 4" xfId="38300"/>
    <cellStyle name="Normal 4 6 2 5 4 2" xfId="38301"/>
    <cellStyle name="Normal 4 6 2 5 4 2 2" xfId="38302"/>
    <cellStyle name="Normal 4 6 2 5 4 3" xfId="38303"/>
    <cellStyle name="Normal 4 6 2 5 5" xfId="38304"/>
    <cellStyle name="Normal 4 6 2 5 5 2" xfId="38305"/>
    <cellStyle name="Normal 4 6 2 5 6" xfId="38306"/>
    <cellStyle name="Normal 4 6 2 6" xfId="1482"/>
    <cellStyle name="Normal 4 6 2 6 2" xfId="4202"/>
    <cellStyle name="Normal 4 6 2 6 2 2" xfId="38307"/>
    <cellStyle name="Normal 4 6 2 6 2 2 2" xfId="38308"/>
    <cellStyle name="Normal 4 6 2 6 2 2 2 2" xfId="38309"/>
    <cellStyle name="Normal 4 6 2 6 2 2 3" xfId="38310"/>
    <cellStyle name="Normal 4 6 2 6 2 3" xfId="38311"/>
    <cellStyle name="Normal 4 6 2 6 2 3 2" xfId="38312"/>
    <cellStyle name="Normal 4 6 2 6 2 4" xfId="38313"/>
    <cellStyle name="Normal 4 6 2 6 3" xfId="38314"/>
    <cellStyle name="Normal 4 6 2 6 3 2" xfId="38315"/>
    <cellStyle name="Normal 4 6 2 6 3 2 2" xfId="38316"/>
    <cellStyle name="Normal 4 6 2 6 3 3" xfId="38317"/>
    <cellStyle name="Normal 4 6 2 6 4" xfId="38318"/>
    <cellStyle name="Normal 4 6 2 6 4 2" xfId="38319"/>
    <cellStyle name="Normal 4 6 2 6 5" xfId="38320"/>
    <cellStyle name="Normal 4 6 2 7" xfId="2842"/>
    <cellStyle name="Normal 4 6 2 7 2" xfId="38321"/>
    <cellStyle name="Normal 4 6 2 7 2 2" xfId="38322"/>
    <cellStyle name="Normal 4 6 2 7 2 2 2" xfId="38323"/>
    <cellStyle name="Normal 4 6 2 7 2 3" xfId="38324"/>
    <cellStyle name="Normal 4 6 2 7 3" xfId="38325"/>
    <cellStyle name="Normal 4 6 2 7 3 2" xfId="38326"/>
    <cellStyle name="Normal 4 6 2 7 4" xfId="38327"/>
    <cellStyle name="Normal 4 6 2 8" xfId="38328"/>
    <cellStyle name="Normal 4 6 2 8 2" xfId="38329"/>
    <cellStyle name="Normal 4 6 2 8 2 2" xfId="38330"/>
    <cellStyle name="Normal 4 6 2 8 3" xfId="38331"/>
    <cellStyle name="Normal 4 6 2 9" xfId="38332"/>
    <cellStyle name="Normal 4 6 2 9 2" xfId="38333"/>
    <cellStyle name="Normal 4 6 3" xfId="190"/>
    <cellStyle name="Normal 4 6 3 2" xfId="462"/>
    <cellStyle name="Normal 4 6 3 2 2" xfId="1142"/>
    <cellStyle name="Normal 4 6 3 2 2 2" xfId="2502"/>
    <cellStyle name="Normal 4 6 3 2 2 2 2" xfId="5222"/>
    <cellStyle name="Normal 4 6 3 2 2 2 2 2" xfId="38334"/>
    <cellStyle name="Normal 4 6 3 2 2 2 2 2 2" xfId="38335"/>
    <cellStyle name="Normal 4 6 3 2 2 2 2 2 2 2" xfId="38336"/>
    <cellStyle name="Normal 4 6 3 2 2 2 2 2 3" xfId="38337"/>
    <cellStyle name="Normal 4 6 3 2 2 2 2 3" xfId="38338"/>
    <cellStyle name="Normal 4 6 3 2 2 2 2 3 2" xfId="38339"/>
    <cellStyle name="Normal 4 6 3 2 2 2 2 4" xfId="38340"/>
    <cellStyle name="Normal 4 6 3 2 2 2 3" xfId="38341"/>
    <cellStyle name="Normal 4 6 3 2 2 2 3 2" xfId="38342"/>
    <cellStyle name="Normal 4 6 3 2 2 2 3 2 2" xfId="38343"/>
    <cellStyle name="Normal 4 6 3 2 2 2 3 3" xfId="38344"/>
    <cellStyle name="Normal 4 6 3 2 2 2 4" xfId="38345"/>
    <cellStyle name="Normal 4 6 3 2 2 2 4 2" xfId="38346"/>
    <cellStyle name="Normal 4 6 3 2 2 2 5" xfId="38347"/>
    <cellStyle name="Normal 4 6 3 2 2 3" xfId="3862"/>
    <cellStyle name="Normal 4 6 3 2 2 3 2" xfId="38348"/>
    <cellStyle name="Normal 4 6 3 2 2 3 2 2" xfId="38349"/>
    <cellStyle name="Normal 4 6 3 2 2 3 2 2 2" xfId="38350"/>
    <cellStyle name="Normal 4 6 3 2 2 3 2 3" xfId="38351"/>
    <cellStyle name="Normal 4 6 3 2 2 3 3" xfId="38352"/>
    <cellStyle name="Normal 4 6 3 2 2 3 3 2" xfId="38353"/>
    <cellStyle name="Normal 4 6 3 2 2 3 4" xfId="38354"/>
    <cellStyle name="Normal 4 6 3 2 2 4" xfId="38355"/>
    <cellStyle name="Normal 4 6 3 2 2 4 2" xfId="38356"/>
    <cellStyle name="Normal 4 6 3 2 2 4 2 2" xfId="38357"/>
    <cellStyle name="Normal 4 6 3 2 2 4 3" xfId="38358"/>
    <cellStyle name="Normal 4 6 3 2 2 5" xfId="38359"/>
    <cellStyle name="Normal 4 6 3 2 2 5 2" xfId="38360"/>
    <cellStyle name="Normal 4 6 3 2 2 6" xfId="38361"/>
    <cellStyle name="Normal 4 6 3 2 3" xfId="1822"/>
    <cellStyle name="Normal 4 6 3 2 3 2" xfId="4542"/>
    <cellStyle name="Normal 4 6 3 2 3 2 2" xfId="38362"/>
    <cellStyle name="Normal 4 6 3 2 3 2 2 2" xfId="38363"/>
    <cellStyle name="Normal 4 6 3 2 3 2 2 2 2" xfId="38364"/>
    <cellStyle name="Normal 4 6 3 2 3 2 2 3" xfId="38365"/>
    <cellStyle name="Normal 4 6 3 2 3 2 3" xfId="38366"/>
    <cellStyle name="Normal 4 6 3 2 3 2 3 2" xfId="38367"/>
    <cellStyle name="Normal 4 6 3 2 3 2 4" xfId="38368"/>
    <cellStyle name="Normal 4 6 3 2 3 3" xfId="38369"/>
    <cellStyle name="Normal 4 6 3 2 3 3 2" xfId="38370"/>
    <cellStyle name="Normal 4 6 3 2 3 3 2 2" xfId="38371"/>
    <cellStyle name="Normal 4 6 3 2 3 3 3" xfId="38372"/>
    <cellStyle name="Normal 4 6 3 2 3 4" xfId="38373"/>
    <cellStyle name="Normal 4 6 3 2 3 4 2" xfId="38374"/>
    <cellStyle name="Normal 4 6 3 2 3 5" xfId="38375"/>
    <cellStyle name="Normal 4 6 3 2 4" xfId="3182"/>
    <cellStyle name="Normal 4 6 3 2 4 2" xfId="38376"/>
    <cellStyle name="Normal 4 6 3 2 4 2 2" xfId="38377"/>
    <cellStyle name="Normal 4 6 3 2 4 2 2 2" xfId="38378"/>
    <cellStyle name="Normal 4 6 3 2 4 2 3" xfId="38379"/>
    <cellStyle name="Normal 4 6 3 2 4 3" xfId="38380"/>
    <cellStyle name="Normal 4 6 3 2 4 3 2" xfId="38381"/>
    <cellStyle name="Normal 4 6 3 2 4 4" xfId="38382"/>
    <cellStyle name="Normal 4 6 3 2 5" xfId="38383"/>
    <cellStyle name="Normal 4 6 3 2 5 2" xfId="38384"/>
    <cellStyle name="Normal 4 6 3 2 5 2 2" xfId="38385"/>
    <cellStyle name="Normal 4 6 3 2 5 3" xfId="38386"/>
    <cellStyle name="Normal 4 6 3 2 6" xfId="38387"/>
    <cellStyle name="Normal 4 6 3 2 6 2" xfId="38388"/>
    <cellStyle name="Normal 4 6 3 2 7" xfId="38389"/>
    <cellStyle name="Normal 4 6 3 3" xfId="870"/>
    <cellStyle name="Normal 4 6 3 3 2" xfId="2230"/>
    <cellStyle name="Normal 4 6 3 3 2 2" xfId="4950"/>
    <cellStyle name="Normal 4 6 3 3 2 2 2" xfId="38390"/>
    <cellStyle name="Normal 4 6 3 3 2 2 2 2" xfId="38391"/>
    <cellStyle name="Normal 4 6 3 3 2 2 2 2 2" xfId="38392"/>
    <cellStyle name="Normal 4 6 3 3 2 2 2 3" xfId="38393"/>
    <cellStyle name="Normal 4 6 3 3 2 2 3" xfId="38394"/>
    <cellStyle name="Normal 4 6 3 3 2 2 3 2" xfId="38395"/>
    <cellStyle name="Normal 4 6 3 3 2 2 4" xfId="38396"/>
    <cellStyle name="Normal 4 6 3 3 2 3" xfId="38397"/>
    <cellStyle name="Normal 4 6 3 3 2 3 2" xfId="38398"/>
    <cellStyle name="Normal 4 6 3 3 2 3 2 2" xfId="38399"/>
    <cellStyle name="Normal 4 6 3 3 2 3 3" xfId="38400"/>
    <cellStyle name="Normal 4 6 3 3 2 4" xfId="38401"/>
    <cellStyle name="Normal 4 6 3 3 2 4 2" xfId="38402"/>
    <cellStyle name="Normal 4 6 3 3 2 5" xfId="38403"/>
    <cellStyle name="Normal 4 6 3 3 3" xfId="3590"/>
    <cellStyle name="Normal 4 6 3 3 3 2" xfId="38404"/>
    <cellStyle name="Normal 4 6 3 3 3 2 2" xfId="38405"/>
    <cellStyle name="Normal 4 6 3 3 3 2 2 2" xfId="38406"/>
    <cellStyle name="Normal 4 6 3 3 3 2 3" xfId="38407"/>
    <cellStyle name="Normal 4 6 3 3 3 3" xfId="38408"/>
    <cellStyle name="Normal 4 6 3 3 3 3 2" xfId="38409"/>
    <cellStyle name="Normal 4 6 3 3 3 4" xfId="38410"/>
    <cellStyle name="Normal 4 6 3 3 4" xfId="38411"/>
    <cellStyle name="Normal 4 6 3 3 4 2" xfId="38412"/>
    <cellStyle name="Normal 4 6 3 3 4 2 2" xfId="38413"/>
    <cellStyle name="Normal 4 6 3 3 4 3" xfId="38414"/>
    <cellStyle name="Normal 4 6 3 3 5" xfId="38415"/>
    <cellStyle name="Normal 4 6 3 3 5 2" xfId="38416"/>
    <cellStyle name="Normal 4 6 3 3 6" xfId="38417"/>
    <cellStyle name="Normal 4 6 3 4" xfId="1550"/>
    <cellStyle name="Normal 4 6 3 4 2" xfId="4270"/>
    <cellStyle name="Normal 4 6 3 4 2 2" xfId="38418"/>
    <cellStyle name="Normal 4 6 3 4 2 2 2" xfId="38419"/>
    <cellStyle name="Normal 4 6 3 4 2 2 2 2" xfId="38420"/>
    <cellStyle name="Normal 4 6 3 4 2 2 3" xfId="38421"/>
    <cellStyle name="Normal 4 6 3 4 2 3" xfId="38422"/>
    <cellStyle name="Normal 4 6 3 4 2 3 2" xfId="38423"/>
    <cellStyle name="Normal 4 6 3 4 2 4" xfId="38424"/>
    <cellStyle name="Normal 4 6 3 4 3" xfId="38425"/>
    <cellStyle name="Normal 4 6 3 4 3 2" xfId="38426"/>
    <cellStyle name="Normal 4 6 3 4 3 2 2" xfId="38427"/>
    <cellStyle name="Normal 4 6 3 4 3 3" xfId="38428"/>
    <cellStyle name="Normal 4 6 3 4 4" xfId="38429"/>
    <cellStyle name="Normal 4 6 3 4 4 2" xfId="38430"/>
    <cellStyle name="Normal 4 6 3 4 5" xfId="38431"/>
    <cellStyle name="Normal 4 6 3 5" xfId="2910"/>
    <cellStyle name="Normal 4 6 3 5 2" xfId="38432"/>
    <cellStyle name="Normal 4 6 3 5 2 2" xfId="38433"/>
    <cellStyle name="Normal 4 6 3 5 2 2 2" xfId="38434"/>
    <cellStyle name="Normal 4 6 3 5 2 3" xfId="38435"/>
    <cellStyle name="Normal 4 6 3 5 3" xfId="38436"/>
    <cellStyle name="Normal 4 6 3 5 3 2" xfId="38437"/>
    <cellStyle name="Normal 4 6 3 5 4" xfId="38438"/>
    <cellStyle name="Normal 4 6 3 6" xfId="38439"/>
    <cellStyle name="Normal 4 6 3 6 2" xfId="38440"/>
    <cellStyle name="Normal 4 6 3 6 2 2" xfId="38441"/>
    <cellStyle name="Normal 4 6 3 6 3" xfId="38442"/>
    <cellStyle name="Normal 4 6 3 7" xfId="38443"/>
    <cellStyle name="Normal 4 6 3 7 2" xfId="38444"/>
    <cellStyle name="Normal 4 6 3 8" xfId="38445"/>
    <cellStyle name="Normal 4 6 4" xfId="326"/>
    <cellStyle name="Normal 4 6 4 2" xfId="1006"/>
    <cellStyle name="Normal 4 6 4 2 2" xfId="2366"/>
    <cellStyle name="Normal 4 6 4 2 2 2" xfId="5086"/>
    <cellStyle name="Normal 4 6 4 2 2 2 2" xfId="38446"/>
    <cellStyle name="Normal 4 6 4 2 2 2 2 2" xfId="38447"/>
    <cellStyle name="Normal 4 6 4 2 2 2 2 2 2" xfId="38448"/>
    <cellStyle name="Normal 4 6 4 2 2 2 2 3" xfId="38449"/>
    <cellStyle name="Normal 4 6 4 2 2 2 3" xfId="38450"/>
    <cellStyle name="Normal 4 6 4 2 2 2 3 2" xfId="38451"/>
    <cellStyle name="Normal 4 6 4 2 2 2 4" xfId="38452"/>
    <cellStyle name="Normal 4 6 4 2 2 3" xfId="38453"/>
    <cellStyle name="Normal 4 6 4 2 2 3 2" xfId="38454"/>
    <cellStyle name="Normal 4 6 4 2 2 3 2 2" xfId="38455"/>
    <cellStyle name="Normal 4 6 4 2 2 3 3" xfId="38456"/>
    <cellStyle name="Normal 4 6 4 2 2 4" xfId="38457"/>
    <cellStyle name="Normal 4 6 4 2 2 4 2" xfId="38458"/>
    <cellStyle name="Normal 4 6 4 2 2 5" xfId="38459"/>
    <cellStyle name="Normal 4 6 4 2 3" xfId="3726"/>
    <cellStyle name="Normal 4 6 4 2 3 2" xfId="38460"/>
    <cellStyle name="Normal 4 6 4 2 3 2 2" xfId="38461"/>
    <cellStyle name="Normal 4 6 4 2 3 2 2 2" xfId="38462"/>
    <cellStyle name="Normal 4 6 4 2 3 2 3" xfId="38463"/>
    <cellStyle name="Normal 4 6 4 2 3 3" xfId="38464"/>
    <cellStyle name="Normal 4 6 4 2 3 3 2" xfId="38465"/>
    <cellStyle name="Normal 4 6 4 2 3 4" xfId="38466"/>
    <cellStyle name="Normal 4 6 4 2 4" xfId="38467"/>
    <cellStyle name="Normal 4 6 4 2 4 2" xfId="38468"/>
    <cellStyle name="Normal 4 6 4 2 4 2 2" xfId="38469"/>
    <cellStyle name="Normal 4 6 4 2 4 3" xfId="38470"/>
    <cellStyle name="Normal 4 6 4 2 5" xfId="38471"/>
    <cellStyle name="Normal 4 6 4 2 5 2" xfId="38472"/>
    <cellStyle name="Normal 4 6 4 2 6" xfId="38473"/>
    <cellStyle name="Normal 4 6 4 3" xfId="1686"/>
    <cellStyle name="Normal 4 6 4 3 2" xfId="4406"/>
    <cellStyle name="Normal 4 6 4 3 2 2" xfId="38474"/>
    <cellStyle name="Normal 4 6 4 3 2 2 2" xfId="38475"/>
    <cellStyle name="Normal 4 6 4 3 2 2 2 2" xfId="38476"/>
    <cellStyle name="Normal 4 6 4 3 2 2 3" xfId="38477"/>
    <cellStyle name="Normal 4 6 4 3 2 3" xfId="38478"/>
    <cellStyle name="Normal 4 6 4 3 2 3 2" xfId="38479"/>
    <cellStyle name="Normal 4 6 4 3 2 4" xfId="38480"/>
    <cellStyle name="Normal 4 6 4 3 3" xfId="38481"/>
    <cellStyle name="Normal 4 6 4 3 3 2" xfId="38482"/>
    <cellStyle name="Normal 4 6 4 3 3 2 2" xfId="38483"/>
    <cellStyle name="Normal 4 6 4 3 3 3" xfId="38484"/>
    <cellStyle name="Normal 4 6 4 3 4" xfId="38485"/>
    <cellStyle name="Normal 4 6 4 3 4 2" xfId="38486"/>
    <cellStyle name="Normal 4 6 4 3 5" xfId="38487"/>
    <cellStyle name="Normal 4 6 4 4" xfId="3046"/>
    <cellStyle name="Normal 4 6 4 4 2" xfId="38488"/>
    <cellStyle name="Normal 4 6 4 4 2 2" xfId="38489"/>
    <cellStyle name="Normal 4 6 4 4 2 2 2" xfId="38490"/>
    <cellStyle name="Normal 4 6 4 4 2 3" xfId="38491"/>
    <cellStyle name="Normal 4 6 4 4 3" xfId="38492"/>
    <cellStyle name="Normal 4 6 4 4 3 2" xfId="38493"/>
    <cellStyle name="Normal 4 6 4 4 4" xfId="38494"/>
    <cellStyle name="Normal 4 6 4 5" xfId="38495"/>
    <cellStyle name="Normal 4 6 4 5 2" xfId="38496"/>
    <cellStyle name="Normal 4 6 4 5 2 2" xfId="38497"/>
    <cellStyle name="Normal 4 6 4 5 3" xfId="38498"/>
    <cellStyle name="Normal 4 6 4 6" xfId="38499"/>
    <cellStyle name="Normal 4 6 4 6 2" xfId="38500"/>
    <cellStyle name="Normal 4 6 4 7" xfId="38501"/>
    <cellStyle name="Normal 4 6 5" xfId="598"/>
    <cellStyle name="Normal 4 6 5 2" xfId="1278"/>
    <cellStyle name="Normal 4 6 5 2 2" xfId="2638"/>
    <cellStyle name="Normal 4 6 5 2 2 2" xfId="5358"/>
    <cellStyle name="Normal 4 6 5 2 2 2 2" xfId="38502"/>
    <cellStyle name="Normal 4 6 5 2 2 2 2 2" xfId="38503"/>
    <cellStyle name="Normal 4 6 5 2 2 2 2 2 2" xfId="38504"/>
    <cellStyle name="Normal 4 6 5 2 2 2 2 3" xfId="38505"/>
    <cellStyle name="Normal 4 6 5 2 2 2 3" xfId="38506"/>
    <cellStyle name="Normal 4 6 5 2 2 2 3 2" xfId="38507"/>
    <cellStyle name="Normal 4 6 5 2 2 2 4" xfId="38508"/>
    <cellStyle name="Normal 4 6 5 2 2 3" xfId="38509"/>
    <cellStyle name="Normal 4 6 5 2 2 3 2" xfId="38510"/>
    <cellStyle name="Normal 4 6 5 2 2 3 2 2" xfId="38511"/>
    <cellStyle name="Normal 4 6 5 2 2 3 3" xfId="38512"/>
    <cellStyle name="Normal 4 6 5 2 2 4" xfId="38513"/>
    <cellStyle name="Normal 4 6 5 2 2 4 2" xfId="38514"/>
    <cellStyle name="Normal 4 6 5 2 2 5" xfId="38515"/>
    <cellStyle name="Normal 4 6 5 2 3" xfId="3998"/>
    <cellStyle name="Normal 4 6 5 2 3 2" xfId="38516"/>
    <cellStyle name="Normal 4 6 5 2 3 2 2" xfId="38517"/>
    <cellStyle name="Normal 4 6 5 2 3 2 2 2" xfId="38518"/>
    <cellStyle name="Normal 4 6 5 2 3 2 3" xfId="38519"/>
    <cellStyle name="Normal 4 6 5 2 3 3" xfId="38520"/>
    <cellStyle name="Normal 4 6 5 2 3 3 2" xfId="38521"/>
    <cellStyle name="Normal 4 6 5 2 3 4" xfId="38522"/>
    <cellStyle name="Normal 4 6 5 2 4" xfId="38523"/>
    <cellStyle name="Normal 4 6 5 2 4 2" xfId="38524"/>
    <cellStyle name="Normal 4 6 5 2 4 2 2" xfId="38525"/>
    <cellStyle name="Normal 4 6 5 2 4 3" xfId="38526"/>
    <cellStyle name="Normal 4 6 5 2 5" xfId="38527"/>
    <cellStyle name="Normal 4 6 5 2 5 2" xfId="38528"/>
    <cellStyle name="Normal 4 6 5 2 6" xfId="38529"/>
    <cellStyle name="Normal 4 6 5 3" xfId="1958"/>
    <cellStyle name="Normal 4 6 5 3 2" xfId="4678"/>
    <cellStyle name="Normal 4 6 5 3 2 2" xfId="38530"/>
    <cellStyle name="Normal 4 6 5 3 2 2 2" xfId="38531"/>
    <cellStyle name="Normal 4 6 5 3 2 2 2 2" xfId="38532"/>
    <cellStyle name="Normal 4 6 5 3 2 2 3" xfId="38533"/>
    <cellStyle name="Normal 4 6 5 3 2 3" xfId="38534"/>
    <cellStyle name="Normal 4 6 5 3 2 3 2" xfId="38535"/>
    <cellStyle name="Normal 4 6 5 3 2 4" xfId="38536"/>
    <cellStyle name="Normal 4 6 5 3 3" xfId="38537"/>
    <cellStyle name="Normal 4 6 5 3 3 2" xfId="38538"/>
    <cellStyle name="Normal 4 6 5 3 3 2 2" xfId="38539"/>
    <cellStyle name="Normal 4 6 5 3 3 3" xfId="38540"/>
    <cellStyle name="Normal 4 6 5 3 4" xfId="38541"/>
    <cellStyle name="Normal 4 6 5 3 4 2" xfId="38542"/>
    <cellStyle name="Normal 4 6 5 3 5" xfId="38543"/>
    <cellStyle name="Normal 4 6 5 4" xfId="3318"/>
    <cellStyle name="Normal 4 6 5 4 2" xfId="38544"/>
    <cellStyle name="Normal 4 6 5 4 2 2" xfId="38545"/>
    <cellStyle name="Normal 4 6 5 4 2 2 2" xfId="38546"/>
    <cellStyle name="Normal 4 6 5 4 2 3" xfId="38547"/>
    <cellStyle name="Normal 4 6 5 4 3" xfId="38548"/>
    <cellStyle name="Normal 4 6 5 4 3 2" xfId="38549"/>
    <cellStyle name="Normal 4 6 5 4 4" xfId="38550"/>
    <cellStyle name="Normal 4 6 5 5" xfId="38551"/>
    <cellStyle name="Normal 4 6 5 5 2" xfId="38552"/>
    <cellStyle name="Normal 4 6 5 5 2 2" xfId="38553"/>
    <cellStyle name="Normal 4 6 5 5 3" xfId="38554"/>
    <cellStyle name="Normal 4 6 5 6" xfId="38555"/>
    <cellStyle name="Normal 4 6 5 6 2" xfId="38556"/>
    <cellStyle name="Normal 4 6 5 7" xfId="38557"/>
    <cellStyle name="Normal 4 6 6" xfId="734"/>
    <cellStyle name="Normal 4 6 6 2" xfId="2094"/>
    <cellStyle name="Normal 4 6 6 2 2" xfId="4814"/>
    <cellStyle name="Normal 4 6 6 2 2 2" xfId="38558"/>
    <cellStyle name="Normal 4 6 6 2 2 2 2" xfId="38559"/>
    <cellStyle name="Normal 4 6 6 2 2 2 2 2" xfId="38560"/>
    <cellStyle name="Normal 4 6 6 2 2 2 3" xfId="38561"/>
    <cellStyle name="Normal 4 6 6 2 2 3" xfId="38562"/>
    <cellStyle name="Normal 4 6 6 2 2 3 2" xfId="38563"/>
    <cellStyle name="Normal 4 6 6 2 2 4" xfId="38564"/>
    <cellStyle name="Normal 4 6 6 2 3" xfId="38565"/>
    <cellStyle name="Normal 4 6 6 2 3 2" xfId="38566"/>
    <cellStyle name="Normal 4 6 6 2 3 2 2" xfId="38567"/>
    <cellStyle name="Normal 4 6 6 2 3 3" xfId="38568"/>
    <cellStyle name="Normal 4 6 6 2 4" xfId="38569"/>
    <cellStyle name="Normal 4 6 6 2 4 2" xfId="38570"/>
    <cellStyle name="Normal 4 6 6 2 5" xfId="38571"/>
    <cellStyle name="Normal 4 6 6 3" xfId="3454"/>
    <cellStyle name="Normal 4 6 6 3 2" xfId="38572"/>
    <cellStyle name="Normal 4 6 6 3 2 2" xfId="38573"/>
    <cellStyle name="Normal 4 6 6 3 2 2 2" xfId="38574"/>
    <cellStyle name="Normal 4 6 6 3 2 3" xfId="38575"/>
    <cellStyle name="Normal 4 6 6 3 3" xfId="38576"/>
    <cellStyle name="Normal 4 6 6 3 3 2" xfId="38577"/>
    <cellStyle name="Normal 4 6 6 3 4" xfId="38578"/>
    <cellStyle name="Normal 4 6 6 4" xfId="38579"/>
    <cellStyle name="Normal 4 6 6 4 2" xfId="38580"/>
    <cellStyle name="Normal 4 6 6 4 2 2" xfId="38581"/>
    <cellStyle name="Normal 4 6 6 4 3" xfId="38582"/>
    <cellStyle name="Normal 4 6 6 5" xfId="38583"/>
    <cellStyle name="Normal 4 6 6 5 2" xfId="38584"/>
    <cellStyle name="Normal 4 6 6 6" xfId="38585"/>
    <cellStyle name="Normal 4 6 7" xfId="1414"/>
    <cellStyle name="Normal 4 6 7 2" xfId="4134"/>
    <cellStyle name="Normal 4 6 7 2 2" xfId="38586"/>
    <cellStyle name="Normal 4 6 7 2 2 2" xfId="38587"/>
    <cellStyle name="Normal 4 6 7 2 2 2 2" xfId="38588"/>
    <cellStyle name="Normal 4 6 7 2 2 3" xfId="38589"/>
    <cellStyle name="Normal 4 6 7 2 3" xfId="38590"/>
    <cellStyle name="Normal 4 6 7 2 3 2" xfId="38591"/>
    <cellStyle name="Normal 4 6 7 2 4" xfId="38592"/>
    <cellStyle name="Normal 4 6 7 3" xfId="38593"/>
    <cellStyle name="Normal 4 6 7 3 2" xfId="38594"/>
    <cellStyle name="Normal 4 6 7 3 2 2" xfId="38595"/>
    <cellStyle name="Normal 4 6 7 3 3" xfId="38596"/>
    <cellStyle name="Normal 4 6 7 4" xfId="38597"/>
    <cellStyle name="Normal 4 6 7 4 2" xfId="38598"/>
    <cellStyle name="Normal 4 6 7 5" xfId="38599"/>
    <cellStyle name="Normal 4 6 8" xfId="2774"/>
    <cellStyle name="Normal 4 6 8 2" xfId="38600"/>
    <cellStyle name="Normal 4 6 8 2 2" xfId="38601"/>
    <cellStyle name="Normal 4 6 8 2 2 2" xfId="38602"/>
    <cellStyle name="Normal 4 6 8 2 3" xfId="38603"/>
    <cellStyle name="Normal 4 6 8 3" xfId="38604"/>
    <cellStyle name="Normal 4 6 8 3 2" xfId="38605"/>
    <cellStyle name="Normal 4 6 8 4" xfId="38606"/>
    <cellStyle name="Normal 4 6 9" xfId="38607"/>
    <cellStyle name="Normal 4 6 9 2" xfId="38608"/>
    <cellStyle name="Normal 4 6 9 2 2" xfId="38609"/>
    <cellStyle name="Normal 4 6 9 3" xfId="38610"/>
    <cellStyle name="Normal 4 7" xfId="87"/>
    <cellStyle name="Normal 4 7 10" xfId="38611"/>
    <cellStyle name="Normal 4 7 2" xfId="224"/>
    <cellStyle name="Normal 4 7 2 2" xfId="496"/>
    <cellStyle name="Normal 4 7 2 2 2" xfId="1176"/>
    <cellStyle name="Normal 4 7 2 2 2 2" xfId="2536"/>
    <cellStyle name="Normal 4 7 2 2 2 2 2" xfId="5256"/>
    <cellStyle name="Normal 4 7 2 2 2 2 2 2" xfId="38612"/>
    <cellStyle name="Normal 4 7 2 2 2 2 2 2 2" xfId="38613"/>
    <cellStyle name="Normal 4 7 2 2 2 2 2 2 2 2" xfId="38614"/>
    <cellStyle name="Normal 4 7 2 2 2 2 2 2 3" xfId="38615"/>
    <cellStyle name="Normal 4 7 2 2 2 2 2 3" xfId="38616"/>
    <cellStyle name="Normal 4 7 2 2 2 2 2 3 2" xfId="38617"/>
    <cellStyle name="Normal 4 7 2 2 2 2 2 4" xfId="38618"/>
    <cellStyle name="Normal 4 7 2 2 2 2 3" xfId="38619"/>
    <cellStyle name="Normal 4 7 2 2 2 2 3 2" xfId="38620"/>
    <cellStyle name="Normal 4 7 2 2 2 2 3 2 2" xfId="38621"/>
    <cellStyle name="Normal 4 7 2 2 2 2 3 3" xfId="38622"/>
    <cellStyle name="Normal 4 7 2 2 2 2 4" xfId="38623"/>
    <cellStyle name="Normal 4 7 2 2 2 2 4 2" xfId="38624"/>
    <cellStyle name="Normal 4 7 2 2 2 2 5" xfId="38625"/>
    <cellStyle name="Normal 4 7 2 2 2 3" xfId="3896"/>
    <cellStyle name="Normal 4 7 2 2 2 3 2" xfId="38626"/>
    <cellStyle name="Normal 4 7 2 2 2 3 2 2" xfId="38627"/>
    <cellStyle name="Normal 4 7 2 2 2 3 2 2 2" xfId="38628"/>
    <cellStyle name="Normal 4 7 2 2 2 3 2 3" xfId="38629"/>
    <cellStyle name="Normal 4 7 2 2 2 3 3" xfId="38630"/>
    <cellStyle name="Normal 4 7 2 2 2 3 3 2" xfId="38631"/>
    <cellStyle name="Normal 4 7 2 2 2 3 4" xfId="38632"/>
    <cellStyle name="Normal 4 7 2 2 2 4" xfId="38633"/>
    <cellStyle name="Normal 4 7 2 2 2 4 2" xfId="38634"/>
    <cellStyle name="Normal 4 7 2 2 2 4 2 2" xfId="38635"/>
    <cellStyle name="Normal 4 7 2 2 2 4 3" xfId="38636"/>
    <cellStyle name="Normal 4 7 2 2 2 5" xfId="38637"/>
    <cellStyle name="Normal 4 7 2 2 2 5 2" xfId="38638"/>
    <cellStyle name="Normal 4 7 2 2 2 6" xfId="38639"/>
    <cellStyle name="Normal 4 7 2 2 3" xfId="1856"/>
    <cellStyle name="Normal 4 7 2 2 3 2" xfId="4576"/>
    <cellStyle name="Normal 4 7 2 2 3 2 2" xfId="38640"/>
    <cellStyle name="Normal 4 7 2 2 3 2 2 2" xfId="38641"/>
    <cellStyle name="Normal 4 7 2 2 3 2 2 2 2" xfId="38642"/>
    <cellStyle name="Normal 4 7 2 2 3 2 2 3" xfId="38643"/>
    <cellStyle name="Normal 4 7 2 2 3 2 3" xfId="38644"/>
    <cellStyle name="Normal 4 7 2 2 3 2 3 2" xfId="38645"/>
    <cellStyle name="Normal 4 7 2 2 3 2 4" xfId="38646"/>
    <cellStyle name="Normal 4 7 2 2 3 3" xfId="38647"/>
    <cellStyle name="Normal 4 7 2 2 3 3 2" xfId="38648"/>
    <cellStyle name="Normal 4 7 2 2 3 3 2 2" xfId="38649"/>
    <cellStyle name="Normal 4 7 2 2 3 3 3" xfId="38650"/>
    <cellStyle name="Normal 4 7 2 2 3 4" xfId="38651"/>
    <cellStyle name="Normal 4 7 2 2 3 4 2" xfId="38652"/>
    <cellStyle name="Normal 4 7 2 2 3 5" xfId="38653"/>
    <cellStyle name="Normal 4 7 2 2 4" xfId="3216"/>
    <cellStyle name="Normal 4 7 2 2 4 2" xfId="38654"/>
    <cellStyle name="Normal 4 7 2 2 4 2 2" xfId="38655"/>
    <cellStyle name="Normal 4 7 2 2 4 2 2 2" xfId="38656"/>
    <cellStyle name="Normal 4 7 2 2 4 2 3" xfId="38657"/>
    <cellStyle name="Normal 4 7 2 2 4 3" xfId="38658"/>
    <cellStyle name="Normal 4 7 2 2 4 3 2" xfId="38659"/>
    <cellStyle name="Normal 4 7 2 2 4 4" xfId="38660"/>
    <cellStyle name="Normal 4 7 2 2 5" xfId="38661"/>
    <cellStyle name="Normal 4 7 2 2 5 2" xfId="38662"/>
    <cellStyle name="Normal 4 7 2 2 5 2 2" xfId="38663"/>
    <cellStyle name="Normal 4 7 2 2 5 3" xfId="38664"/>
    <cellStyle name="Normal 4 7 2 2 6" xfId="38665"/>
    <cellStyle name="Normal 4 7 2 2 6 2" xfId="38666"/>
    <cellStyle name="Normal 4 7 2 2 7" xfId="38667"/>
    <cellStyle name="Normal 4 7 2 3" xfId="904"/>
    <cellStyle name="Normal 4 7 2 3 2" xfId="2264"/>
    <cellStyle name="Normal 4 7 2 3 2 2" xfId="4984"/>
    <cellStyle name="Normal 4 7 2 3 2 2 2" xfId="38668"/>
    <cellStyle name="Normal 4 7 2 3 2 2 2 2" xfId="38669"/>
    <cellStyle name="Normal 4 7 2 3 2 2 2 2 2" xfId="38670"/>
    <cellStyle name="Normal 4 7 2 3 2 2 2 3" xfId="38671"/>
    <cellStyle name="Normal 4 7 2 3 2 2 3" xfId="38672"/>
    <cellStyle name="Normal 4 7 2 3 2 2 3 2" xfId="38673"/>
    <cellStyle name="Normal 4 7 2 3 2 2 4" xfId="38674"/>
    <cellStyle name="Normal 4 7 2 3 2 3" xfId="38675"/>
    <cellStyle name="Normal 4 7 2 3 2 3 2" xfId="38676"/>
    <cellStyle name="Normal 4 7 2 3 2 3 2 2" xfId="38677"/>
    <cellStyle name="Normal 4 7 2 3 2 3 3" xfId="38678"/>
    <cellStyle name="Normal 4 7 2 3 2 4" xfId="38679"/>
    <cellStyle name="Normal 4 7 2 3 2 4 2" xfId="38680"/>
    <cellStyle name="Normal 4 7 2 3 2 5" xfId="38681"/>
    <cellStyle name="Normal 4 7 2 3 3" xfId="3624"/>
    <cellStyle name="Normal 4 7 2 3 3 2" xfId="38682"/>
    <cellStyle name="Normal 4 7 2 3 3 2 2" xfId="38683"/>
    <cellStyle name="Normal 4 7 2 3 3 2 2 2" xfId="38684"/>
    <cellStyle name="Normal 4 7 2 3 3 2 3" xfId="38685"/>
    <cellStyle name="Normal 4 7 2 3 3 3" xfId="38686"/>
    <cellStyle name="Normal 4 7 2 3 3 3 2" xfId="38687"/>
    <cellStyle name="Normal 4 7 2 3 3 4" xfId="38688"/>
    <cellStyle name="Normal 4 7 2 3 4" xfId="38689"/>
    <cellStyle name="Normal 4 7 2 3 4 2" xfId="38690"/>
    <cellStyle name="Normal 4 7 2 3 4 2 2" xfId="38691"/>
    <cellStyle name="Normal 4 7 2 3 4 3" xfId="38692"/>
    <cellStyle name="Normal 4 7 2 3 5" xfId="38693"/>
    <cellStyle name="Normal 4 7 2 3 5 2" xfId="38694"/>
    <cellStyle name="Normal 4 7 2 3 6" xfId="38695"/>
    <cellStyle name="Normal 4 7 2 4" xfId="1584"/>
    <cellStyle name="Normal 4 7 2 4 2" xfId="4304"/>
    <cellStyle name="Normal 4 7 2 4 2 2" xfId="38696"/>
    <cellStyle name="Normal 4 7 2 4 2 2 2" xfId="38697"/>
    <cellStyle name="Normal 4 7 2 4 2 2 2 2" xfId="38698"/>
    <cellStyle name="Normal 4 7 2 4 2 2 3" xfId="38699"/>
    <cellStyle name="Normal 4 7 2 4 2 3" xfId="38700"/>
    <cellStyle name="Normal 4 7 2 4 2 3 2" xfId="38701"/>
    <cellStyle name="Normal 4 7 2 4 2 4" xfId="38702"/>
    <cellStyle name="Normal 4 7 2 4 3" xfId="38703"/>
    <cellStyle name="Normal 4 7 2 4 3 2" xfId="38704"/>
    <cellStyle name="Normal 4 7 2 4 3 2 2" xfId="38705"/>
    <cellStyle name="Normal 4 7 2 4 3 3" xfId="38706"/>
    <cellStyle name="Normal 4 7 2 4 4" xfId="38707"/>
    <cellStyle name="Normal 4 7 2 4 4 2" xfId="38708"/>
    <cellStyle name="Normal 4 7 2 4 5" xfId="38709"/>
    <cellStyle name="Normal 4 7 2 5" xfId="2944"/>
    <cellStyle name="Normal 4 7 2 5 2" xfId="38710"/>
    <cellStyle name="Normal 4 7 2 5 2 2" xfId="38711"/>
    <cellStyle name="Normal 4 7 2 5 2 2 2" xfId="38712"/>
    <cellStyle name="Normal 4 7 2 5 2 3" xfId="38713"/>
    <cellStyle name="Normal 4 7 2 5 3" xfId="38714"/>
    <cellStyle name="Normal 4 7 2 5 3 2" xfId="38715"/>
    <cellStyle name="Normal 4 7 2 5 4" xfId="38716"/>
    <cellStyle name="Normal 4 7 2 6" xfId="38717"/>
    <cellStyle name="Normal 4 7 2 6 2" xfId="38718"/>
    <cellStyle name="Normal 4 7 2 6 2 2" xfId="38719"/>
    <cellStyle name="Normal 4 7 2 6 3" xfId="38720"/>
    <cellStyle name="Normal 4 7 2 7" xfId="38721"/>
    <cellStyle name="Normal 4 7 2 7 2" xfId="38722"/>
    <cellStyle name="Normal 4 7 2 8" xfId="38723"/>
    <cellStyle name="Normal 4 7 3" xfId="360"/>
    <cellStyle name="Normal 4 7 3 2" xfId="1040"/>
    <cellStyle name="Normal 4 7 3 2 2" xfId="2400"/>
    <cellStyle name="Normal 4 7 3 2 2 2" xfId="5120"/>
    <cellStyle name="Normal 4 7 3 2 2 2 2" xfId="38724"/>
    <cellStyle name="Normal 4 7 3 2 2 2 2 2" xfId="38725"/>
    <cellStyle name="Normal 4 7 3 2 2 2 2 2 2" xfId="38726"/>
    <cellStyle name="Normal 4 7 3 2 2 2 2 3" xfId="38727"/>
    <cellStyle name="Normal 4 7 3 2 2 2 3" xfId="38728"/>
    <cellStyle name="Normal 4 7 3 2 2 2 3 2" xfId="38729"/>
    <cellStyle name="Normal 4 7 3 2 2 2 4" xfId="38730"/>
    <cellStyle name="Normal 4 7 3 2 2 3" xfId="38731"/>
    <cellStyle name="Normal 4 7 3 2 2 3 2" xfId="38732"/>
    <cellStyle name="Normal 4 7 3 2 2 3 2 2" xfId="38733"/>
    <cellStyle name="Normal 4 7 3 2 2 3 3" xfId="38734"/>
    <cellStyle name="Normal 4 7 3 2 2 4" xfId="38735"/>
    <cellStyle name="Normal 4 7 3 2 2 4 2" xfId="38736"/>
    <cellStyle name="Normal 4 7 3 2 2 5" xfId="38737"/>
    <cellStyle name="Normal 4 7 3 2 3" xfId="3760"/>
    <cellStyle name="Normal 4 7 3 2 3 2" xfId="38738"/>
    <cellStyle name="Normal 4 7 3 2 3 2 2" xfId="38739"/>
    <cellStyle name="Normal 4 7 3 2 3 2 2 2" xfId="38740"/>
    <cellStyle name="Normal 4 7 3 2 3 2 3" xfId="38741"/>
    <cellStyle name="Normal 4 7 3 2 3 3" xfId="38742"/>
    <cellStyle name="Normal 4 7 3 2 3 3 2" xfId="38743"/>
    <cellStyle name="Normal 4 7 3 2 3 4" xfId="38744"/>
    <cellStyle name="Normal 4 7 3 2 4" xfId="38745"/>
    <cellStyle name="Normal 4 7 3 2 4 2" xfId="38746"/>
    <cellStyle name="Normal 4 7 3 2 4 2 2" xfId="38747"/>
    <cellStyle name="Normal 4 7 3 2 4 3" xfId="38748"/>
    <cellStyle name="Normal 4 7 3 2 5" xfId="38749"/>
    <cellStyle name="Normal 4 7 3 2 5 2" xfId="38750"/>
    <cellStyle name="Normal 4 7 3 2 6" xfId="38751"/>
    <cellStyle name="Normal 4 7 3 3" xfId="1720"/>
    <cellStyle name="Normal 4 7 3 3 2" xfId="4440"/>
    <cellStyle name="Normal 4 7 3 3 2 2" xfId="38752"/>
    <cellStyle name="Normal 4 7 3 3 2 2 2" xfId="38753"/>
    <cellStyle name="Normal 4 7 3 3 2 2 2 2" xfId="38754"/>
    <cellStyle name="Normal 4 7 3 3 2 2 3" xfId="38755"/>
    <cellStyle name="Normal 4 7 3 3 2 3" xfId="38756"/>
    <cellStyle name="Normal 4 7 3 3 2 3 2" xfId="38757"/>
    <cellStyle name="Normal 4 7 3 3 2 4" xfId="38758"/>
    <cellStyle name="Normal 4 7 3 3 3" xfId="38759"/>
    <cellStyle name="Normal 4 7 3 3 3 2" xfId="38760"/>
    <cellStyle name="Normal 4 7 3 3 3 2 2" xfId="38761"/>
    <cellStyle name="Normal 4 7 3 3 3 3" xfId="38762"/>
    <cellStyle name="Normal 4 7 3 3 4" xfId="38763"/>
    <cellStyle name="Normal 4 7 3 3 4 2" xfId="38764"/>
    <cellStyle name="Normal 4 7 3 3 5" xfId="38765"/>
    <cellStyle name="Normal 4 7 3 4" xfId="3080"/>
    <cellStyle name="Normal 4 7 3 4 2" xfId="38766"/>
    <cellStyle name="Normal 4 7 3 4 2 2" xfId="38767"/>
    <cellStyle name="Normal 4 7 3 4 2 2 2" xfId="38768"/>
    <cellStyle name="Normal 4 7 3 4 2 3" xfId="38769"/>
    <cellStyle name="Normal 4 7 3 4 3" xfId="38770"/>
    <cellStyle name="Normal 4 7 3 4 3 2" xfId="38771"/>
    <cellStyle name="Normal 4 7 3 4 4" xfId="38772"/>
    <cellStyle name="Normal 4 7 3 5" xfId="38773"/>
    <cellStyle name="Normal 4 7 3 5 2" xfId="38774"/>
    <cellStyle name="Normal 4 7 3 5 2 2" xfId="38775"/>
    <cellStyle name="Normal 4 7 3 5 3" xfId="38776"/>
    <cellStyle name="Normal 4 7 3 6" xfId="38777"/>
    <cellStyle name="Normal 4 7 3 6 2" xfId="38778"/>
    <cellStyle name="Normal 4 7 3 7" xfId="38779"/>
    <cellStyle name="Normal 4 7 4" xfId="632"/>
    <cellStyle name="Normal 4 7 4 2" xfId="1312"/>
    <cellStyle name="Normal 4 7 4 2 2" xfId="2672"/>
    <cellStyle name="Normal 4 7 4 2 2 2" xfId="5392"/>
    <cellStyle name="Normal 4 7 4 2 2 2 2" xfId="38780"/>
    <cellStyle name="Normal 4 7 4 2 2 2 2 2" xfId="38781"/>
    <cellStyle name="Normal 4 7 4 2 2 2 2 2 2" xfId="38782"/>
    <cellStyle name="Normal 4 7 4 2 2 2 2 3" xfId="38783"/>
    <cellStyle name="Normal 4 7 4 2 2 2 3" xfId="38784"/>
    <cellStyle name="Normal 4 7 4 2 2 2 3 2" xfId="38785"/>
    <cellStyle name="Normal 4 7 4 2 2 2 4" xfId="38786"/>
    <cellStyle name="Normal 4 7 4 2 2 3" xfId="38787"/>
    <cellStyle name="Normal 4 7 4 2 2 3 2" xfId="38788"/>
    <cellStyle name="Normal 4 7 4 2 2 3 2 2" xfId="38789"/>
    <cellStyle name="Normal 4 7 4 2 2 3 3" xfId="38790"/>
    <cellStyle name="Normal 4 7 4 2 2 4" xfId="38791"/>
    <cellStyle name="Normal 4 7 4 2 2 4 2" xfId="38792"/>
    <cellStyle name="Normal 4 7 4 2 2 5" xfId="38793"/>
    <cellStyle name="Normal 4 7 4 2 3" xfId="4032"/>
    <cellStyle name="Normal 4 7 4 2 3 2" xfId="38794"/>
    <cellStyle name="Normal 4 7 4 2 3 2 2" xfId="38795"/>
    <cellStyle name="Normal 4 7 4 2 3 2 2 2" xfId="38796"/>
    <cellStyle name="Normal 4 7 4 2 3 2 3" xfId="38797"/>
    <cellStyle name="Normal 4 7 4 2 3 3" xfId="38798"/>
    <cellStyle name="Normal 4 7 4 2 3 3 2" xfId="38799"/>
    <cellStyle name="Normal 4 7 4 2 3 4" xfId="38800"/>
    <cellStyle name="Normal 4 7 4 2 4" xfId="38801"/>
    <cellStyle name="Normal 4 7 4 2 4 2" xfId="38802"/>
    <cellStyle name="Normal 4 7 4 2 4 2 2" xfId="38803"/>
    <cellStyle name="Normal 4 7 4 2 4 3" xfId="38804"/>
    <cellStyle name="Normal 4 7 4 2 5" xfId="38805"/>
    <cellStyle name="Normal 4 7 4 2 5 2" xfId="38806"/>
    <cellStyle name="Normal 4 7 4 2 6" xfId="38807"/>
    <cellStyle name="Normal 4 7 4 3" xfId="1992"/>
    <cellStyle name="Normal 4 7 4 3 2" xfId="4712"/>
    <cellStyle name="Normal 4 7 4 3 2 2" xfId="38808"/>
    <cellStyle name="Normal 4 7 4 3 2 2 2" xfId="38809"/>
    <cellStyle name="Normal 4 7 4 3 2 2 2 2" xfId="38810"/>
    <cellStyle name="Normal 4 7 4 3 2 2 3" xfId="38811"/>
    <cellStyle name="Normal 4 7 4 3 2 3" xfId="38812"/>
    <cellStyle name="Normal 4 7 4 3 2 3 2" xfId="38813"/>
    <cellStyle name="Normal 4 7 4 3 2 4" xfId="38814"/>
    <cellStyle name="Normal 4 7 4 3 3" xfId="38815"/>
    <cellStyle name="Normal 4 7 4 3 3 2" xfId="38816"/>
    <cellStyle name="Normal 4 7 4 3 3 2 2" xfId="38817"/>
    <cellStyle name="Normal 4 7 4 3 3 3" xfId="38818"/>
    <cellStyle name="Normal 4 7 4 3 4" xfId="38819"/>
    <cellStyle name="Normal 4 7 4 3 4 2" xfId="38820"/>
    <cellStyle name="Normal 4 7 4 3 5" xfId="38821"/>
    <cellStyle name="Normal 4 7 4 4" xfId="3352"/>
    <cellStyle name="Normal 4 7 4 4 2" xfId="38822"/>
    <cellStyle name="Normal 4 7 4 4 2 2" xfId="38823"/>
    <cellStyle name="Normal 4 7 4 4 2 2 2" xfId="38824"/>
    <cellStyle name="Normal 4 7 4 4 2 3" xfId="38825"/>
    <cellStyle name="Normal 4 7 4 4 3" xfId="38826"/>
    <cellStyle name="Normal 4 7 4 4 3 2" xfId="38827"/>
    <cellStyle name="Normal 4 7 4 4 4" xfId="38828"/>
    <cellStyle name="Normal 4 7 4 5" xfId="38829"/>
    <cellStyle name="Normal 4 7 4 5 2" xfId="38830"/>
    <cellStyle name="Normal 4 7 4 5 2 2" xfId="38831"/>
    <cellStyle name="Normal 4 7 4 5 3" xfId="38832"/>
    <cellStyle name="Normal 4 7 4 6" xfId="38833"/>
    <cellStyle name="Normal 4 7 4 6 2" xfId="38834"/>
    <cellStyle name="Normal 4 7 4 7" xfId="38835"/>
    <cellStyle name="Normal 4 7 5" xfId="768"/>
    <cellStyle name="Normal 4 7 5 2" xfId="2128"/>
    <cellStyle name="Normal 4 7 5 2 2" xfId="4848"/>
    <cellStyle name="Normal 4 7 5 2 2 2" xfId="38836"/>
    <cellStyle name="Normal 4 7 5 2 2 2 2" xfId="38837"/>
    <cellStyle name="Normal 4 7 5 2 2 2 2 2" xfId="38838"/>
    <cellStyle name="Normal 4 7 5 2 2 2 3" xfId="38839"/>
    <cellStyle name="Normal 4 7 5 2 2 3" xfId="38840"/>
    <cellStyle name="Normal 4 7 5 2 2 3 2" xfId="38841"/>
    <cellStyle name="Normal 4 7 5 2 2 4" xfId="38842"/>
    <cellStyle name="Normal 4 7 5 2 3" xfId="38843"/>
    <cellStyle name="Normal 4 7 5 2 3 2" xfId="38844"/>
    <cellStyle name="Normal 4 7 5 2 3 2 2" xfId="38845"/>
    <cellStyle name="Normal 4 7 5 2 3 3" xfId="38846"/>
    <cellStyle name="Normal 4 7 5 2 4" xfId="38847"/>
    <cellStyle name="Normal 4 7 5 2 4 2" xfId="38848"/>
    <cellStyle name="Normal 4 7 5 2 5" xfId="38849"/>
    <cellStyle name="Normal 4 7 5 3" xfId="3488"/>
    <cellStyle name="Normal 4 7 5 3 2" xfId="38850"/>
    <cellStyle name="Normal 4 7 5 3 2 2" xfId="38851"/>
    <cellStyle name="Normal 4 7 5 3 2 2 2" xfId="38852"/>
    <cellStyle name="Normal 4 7 5 3 2 3" xfId="38853"/>
    <cellStyle name="Normal 4 7 5 3 3" xfId="38854"/>
    <cellStyle name="Normal 4 7 5 3 3 2" xfId="38855"/>
    <cellStyle name="Normal 4 7 5 3 4" xfId="38856"/>
    <cellStyle name="Normal 4 7 5 4" xfId="38857"/>
    <cellStyle name="Normal 4 7 5 4 2" xfId="38858"/>
    <cellStyle name="Normal 4 7 5 4 2 2" xfId="38859"/>
    <cellStyle name="Normal 4 7 5 4 3" xfId="38860"/>
    <cellStyle name="Normal 4 7 5 5" xfId="38861"/>
    <cellStyle name="Normal 4 7 5 5 2" xfId="38862"/>
    <cellStyle name="Normal 4 7 5 6" xfId="38863"/>
    <cellStyle name="Normal 4 7 6" xfId="1448"/>
    <cellStyle name="Normal 4 7 6 2" xfId="4168"/>
    <cellStyle name="Normal 4 7 6 2 2" xfId="38864"/>
    <cellStyle name="Normal 4 7 6 2 2 2" xfId="38865"/>
    <cellStyle name="Normal 4 7 6 2 2 2 2" xfId="38866"/>
    <cellStyle name="Normal 4 7 6 2 2 3" xfId="38867"/>
    <cellStyle name="Normal 4 7 6 2 3" xfId="38868"/>
    <cellStyle name="Normal 4 7 6 2 3 2" xfId="38869"/>
    <cellStyle name="Normal 4 7 6 2 4" xfId="38870"/>
    <cellStyle name="Normal 4 7 6 3" xfId="38871"/>
    <cellStyle name="Normal 4 7 6 3 2" xfId="38872"/>
    <cellStyle name="Normal 4 7 6 3 2 2" xfId="38873"/>
    <cellStyle name="Normal 4 7 6 3 3" xfId="38874"/>
    <cellStyle name="Normal 4 7 6 4" xfId="38875"/>
    <cellStyle name="Normal 4 7 6 4 2" xfId="38876"/>
    <cellStyle name="Normal 4 7 6 5" xfId="38877"/>
    <cellStyle name="Normal 4 7 7" xfId="2808"/>
    <cellStyle name="Normal 4 7 7 2" xfId="38878"/>
    <cellStyle name="Normal 4 7 7 2 2" xfId="38879"/>
    <cellStyle name="Normal 4 7 7 2 2 2" xfId="38880"/>
    <cellStyle name="Normal 4 7 7 2 3" xfId="38881"/>
    <cellStyle name="Normal 4 7 7 3" xfId="38882"/>
    <cellStyle name="Normal 4 7 7 3 2" xfId="38883"/>
    <cellStyle name="Normal 4 7 7 4" xfId="38884"/>
    <cellStyle name="Normal 4 7 8" xfId="38885"/>
    <cellStyle name="Normal 4 7 8 2" xfId="38886"/>
    <cellStyle name="Normal 4 7 8 2 2" xfId="38887"/>
    <cellStyle name="Normal 4 7 8 3" xfId="38888"/>
    <cellStyle name="Normal 4 7 9" xfId="38889"/>
    <cellStyle name="Normal 4 7 9 2" xfId="38890"/>
    <cellStyle name="Normal 4 8" xfId="156"/>
    <cellStyle name="Normal 4 8 2" xfId="428"/>
    <cellStyle name="Normal 4 8 2 2" xfId="1108"/>
    <cellStyle name="Normal 4 8 2 2 2" xfId="2468"/>
    <cellStyle name="Normal 4 8 2 2 2 2" xfId="5188"/>
    <cellStyle name="Normal 4 8 2 2 2 2 2" xfId="38891"/>
    <cellStyle name="Normal 4 8 2 2 2 2 2 2" xfId="38892"/>
    <cellStyle name="Normal 4 8 2 2 2 2 2 2 2" xfId="38893"/>
    <cellStyle name="Normal 4 8 2 2 2 2 2 3" xfId="38894"/>
    <cellStyle name="Normal 4 8 2 2 2 2 3" xfId="38895"/>
    <cellStyle name="Normal 4 8 2 2 2 2 3 2" xfId="38896"/>
    <cellStyle name="Normal 4 8 2 2 2 2 4" xfId="38897"/>
    <cellStyle name="Normal 4 8 2 2 2 3" xfId="38898"/>
    <cellStyle name="Normal 4 8 2 2 2 3 2" xfId="38899"/>
    <cellStyle name="Normal 4 8 2 2 2 3 2 2" xfId="38900"/>
    <cellStyle name="Normal 4 8 2 2 2 3 3" xfId="38901"/>
    <cellStyle name="Normal 4 8 2 2 2 4" xfId="38902"/>
    <cellStyle name="Normal 4 8 2 2 2 4 2" xfId="38903"/>
    <cellStyle name="Normal 4 8 2 2 2 5" xfId="38904"/>
    <cellStyle name="Normal 4 8 2 2 3" xfId="3828"/>
    <cellStyle name="Normal 4 8 2 2 3 2" xfId="38905"/>
    <cellStyle name="Normal 4 8 2 2 3 2 2" xfId="38906"/>
    <cellStyle name="Normal 4 8 2 2 3 2 2 2" xfId="38907"/>
    <cellStyle name="Normal 4 8 2 2 3 2 3" xfId="38908"/>
    <cellStyle name="Normal 4 8 2 2 3 3" xfId="38909"/>
    <cellStyle name="Normal 4 8 2 2 3 3 2" xfId="38910"/>
    <cellStyle name="Normal 4 8 2 2 3 4" xfId="38911"/>
    <cellStyle name="Normal 4 8 2 2 4" xfId="38912"/>
    <cellStyle name="Normal 4 8 2 2 4 2" xfId="38913"/>
    <cellStyle name="Normal 4 8 2 2 4 2 2" xfId="38914"/>
    <cellStyle name="Normal 4 8 2 2 4 3" xfId="38915"/>
    <cellStyle name="Normal 4 8 2 2 5" xfId="38916"/>
    <cellStyle name="Normal 4 8 2 2 5 2" xfId="38917"/>
    <cellStyle name="Normal 4 8 2 2 6" xfId="38918"/>
    <cellStyle name="Normal 4 8 2 3" xfId="1788"/>
    <cellStyle name="Normal 4 8 2 3 2" xfId="4508"/>
    <cellStyle name="Normal 4 8 2 3 2 2" xfId="38919"/>
    <cellStyle name="Normal 4 8 2 3 2 2 2" xfId="38920"/>
    <cellStyle name="Normal 4 8 2 3 2 2 2 2" xfId="38921"/>
    <cellStyle name="Normal 4 8 2 3 2 2 3" xfId="38922"/>
    <cellStyle name="Normal 4 8 2 3 2 3" xfId="38923"/>
    <cellStyle name="Normal 4 8 2 3 2 3 2" xfId="38924"/>
    <cellStyle name="Normal 4 8 2 3 2 4" xfId="38925"/>
    <cellStyle name="Normal 4 8 2 3 3" xfId="38926"/>
    <cellStyle name="Normal 4 8 2 3 3 2" xfId="38927"/>
    <cellStyle name="Normal 4 8 2 3 3 2 2" xfId="38928"/>
    <cellStyle name="Normal 4 8 2 3 3 3" xfId="38929"/>
    <cellStyle name="Normal 4 8 2 3 4" xfId="38930"/>
    <cellStyle name="Normal 4 8 2 3 4 2" xfId="38931"/>
    <cellStyle name="Normal 4 8 2 3 5" xfId="38932"/>
    <cellStyle name="Normal 4 8 2 4" xfId="3148"/>
    <cellStyle name="Normal 4 8 2 4 2" xfId="38933"/>
    <cellStyle name="Normal 4 8 2 4 2 2" xfId="38934"/>
    <cellStyle name="Normal 4 8 2 4 2 2 2" xfId="38935"/>
    <cellStyle name="Normal 4 8 2 4 2 3" xfId="38936"/>
    <cellStyle name="Normal 4 8 2 4 3" xfId="38937"/>
    <cellStyle name="Normal 4 8 2 4 3 2" xfId="38938"/>
    <cellStyle name="Normal 4 8 2 4 4" xfId="38939"/>
    <cellStyle name="Normal 4 8 2 5" xfId="38940"/>
    <cellStyle name="Normal 4 8 2 5 2" xfId="38941"/>
    <cellStyle name="Normal 4 8 2 5 2 2" xfId="38942"/>
    <cellStyle name="Normal 4 8 2 5 3" xfId="38943"/>
    <cellStyle name="Normal 4 8 2 6" xfId="38944"/>
    <cellStyle name="Normal 4 8 2 6 2" xfId="38945"/>
    <cellStyle name="Normal 4 8 2 7" xfId="38946"/>
    <cellStyle name="Normal 4 8 3" xfId="836"/>
    <cellStyle name="Normal 4 8 3 2" xfId="2196"/>
    <cellStyle name="Normal 4 8 3 2 2" xfId="4916"/>
    <cellStyle name="Normal 4 8 3 2 2 2" xfId="38947"/>
    <cellStyle name="Normal 4 8 3 2 2 2 2" xfId="38948"/>
    <cellStyle name="Normal 4 8 3 2 2 2 2 2" xfId="38949"/>
    <cellStyle name="Normal 4 8 3 2 2 2 3" xfId="38950"/>
    <cellStyle name="Normal 4 8 3 2 2 3" xfId="38951"/>
    <cellStyle name="Normal 4 8 3 2 2 3 2" xfId="38952"/>
    <cellStyle name="Normal 4 8 3 2 2 4" xfId="38953"/>
    <cellStyle name="Normal 4 8 3 2 3" xfId="38954"/>
    <cellStyle name="Normal 4 8 3 2 3 2" xfId="38955"/>
    <cellStyle name="Normal 4 8 3 2 3 2 2" xfId="38956"/>
    <cellStyle name="Normal 4 8 3 2 3 3" xfId="38957"/>
    <cellStyle name="Normal 4 8 3 2 4" xfId="38958"/>
    <cellStyle name="Normal 4 8 3 2 4 2" xfId="38959"/>
    <cellStyle name="Normal 4 8 3 2 5" xfId="38960"/>
    <cellStyle name="Normal 4 8 3 3" xfId="3556"/>
    <cellStyle name="Normal 4 8 3 3 2" xfId="38961"/>
    <cellStyle name="Normal 4 8 3 3 2 2" xfId="38962"/>
    <cellStyle name="Normal 4 8 3 3 2 2 2" xfId="38963"/>
    <cellStyle name="Normal 4 8 3 3 2 3" xfId="38964"/>
    <cellStyle name="Normal 4 8 3 3 3" xfId="38965"/>
    <cellStyle name="Normal 4 8 3 3 3 2" xfId="38966"/>
    <cellStyle name="Normal 4 8 3 3 4" xfId="38967"/>
    <cellStyle name="Normal 4 8 3 4" xfId="38968"/>
    <cellStyle name="Normal 4 8 3 4 2" xfId="38969"/>
    <cellStyle name="Normal 4 8 3 4 2 2" xfId="38970"/>
    <cellStyle name="Normal 4 8 3 4 3" xfId="38971"/>
    <cellStyle name="Normal 4 8 3 5" xfId="38972"/>
    <cellStyle name="Normal 4 8 3 5 2" xfId="38973"/>
    <cellStyle name="Normal 4 8 3 6" xfId="38974"/>
    <cellStyle name="Normal 4 8 4" xfId="1516"/>
    <cellStyle name="Normal 4 8 4 2" xfId="4236"/>
    <cellStyle name="Normal 4 8 4 2 2" xfId="38975"/>
    <cellStyle name="Normal 4 8 4 2 2 2" xfId="38976"/>
    <cellStyle name="Normal 4 8 4 2 2 2 2" xfId="38977"/>
    <cellStyle name="Normal 4 8 4 2 2 3" xfId="38978"/>
    <cellStyle name="Normal 4 8 4 2 3" xfId="38979"/>
    <cellStyle name="Normal 4 8 4 2 3 2" xfId="38980"/>
    <cellStyle name="Normal 4 8 4 2 4" xfId="38981"/>
    <cellStyle name="Normal 4 8 4 3" xfId="38982"/>
    <cellStyle name="Normal 4 8 4 3 2" xfId="38983"/>
    <cellStyle name="Normal 4 8 4 3 2 2" xfId="38984"/>
    <cellStyle name="Normal 4 8 4 3 3" xfId="38985"/>
    <cellStyle name="Normal 4 8 4 4" xfId="38986"/>
    <cellStyle name="Normal 4 8 4 4 2" xfId="38987"/>
    <cellStyle name="Normal 4 8 4 5" xfId="38988"/>
    <cellStyle name="Normal 4 8 5" xfId="2876"/>
    <cellStyle name="Normal 4 8 5 2" xfId="38989"/>
    <cellStyle name="Normal 4 8 5 2 2" xfId="38990"/>
    <cellStyle name="Normal 4 8 5 2 2 2" xfId="38991"/>
    <cellStyle name="Normal 4 8 5 2 3" xfId="38992"/>
    <cellStyle name="Normal 4 8 5 3" xfId="38993"/>
    <cellStyle name="Normal 4 8 5 3 2" xfId="38994"/>
    <cellStyle name="Normal 4 8 5 4" xfId="38995"/>
    <cellStyle name="Normal 4 8 6" xfId="38996"/>
    <cellStyle name="Normal 4 8 6 2" xfId="38997"/>
    <cellStyle name="Normal 4 8 6 2 2" xfId="38998"/>
    <cellStyle name="Normal 4 8 6 3" xfId="38999"/>
    <cellStyle name="Normal 4 8 7" xfId="39000"/>
    <cellStyle name="Normal 4 8 7 2" xfId="39001"/>
    <cellStyle name="Normal 4 8 8" xfId="39002"/>
    <cellStyle name="Normal 4 9" xfId="292"/>
    <cellStyle name="Normal 4 9 2" xfId="972"/>
    <cellStyle name="Normal 4 9 2 2" xfId="2332"/>
    <cellStyle name="Normal 4 9 2 2 2" xfId="5052"/>
    <cellStyle name="Normal 4 9 2 2 2 2" xfId="39003"/>
    <cellStyle name="Normal 4 9 2 2 2 2 2" xfId="39004"/>
    <cellStyle name="Normal 4 9 2 2 2 2 2 2" xfId="39005"/>
    <cellStyle name="Normal 4 9 2 2 2 2 3" xfId="39006"/>
    <cellStyle name="Normal 4 9 2 2 2 3" xfId="39007"/>
    <cellStyle name="Normal 4 9 2 2 2 3 2" xfId="39008"/>
    <cellStyle name="Normal 4 9 2 2 2 4" xfId="39009"/>
    <cellStyle name="Normal 4 9 2 2 3" xfId="39010"/>
    <cellStyle name="Normal 4 9 2 2 3 2" xfId="39011"/>
    <cellStyle name="Normal 4 9 2 2 3 2 2" xfId="39012"/>
    <cellStyle name="Normal 4 9 2 2 3 3" xfId="39013"/>
    <cellStyle name="Normal 4 9 2 2 4" xfId="39014"/>
    <cellStyle name="Normal 4 9 2 2 4 2" xfId="39015"/>
    <cellStyle name="Normal 4 9 2 2 5" xfId="39016"/>
    <cellStyle name="Normal 4 9 2 3" xfId="3692"/>
    <cellStyle name="Normal 4 9 2 3 2" xfId="39017"/>
    <cellStyle name="Normal 4 9 2 3 2 2" xfId="39018"/>
    <cellStyle name="Normal 4 9 2 3 2 2 2" xfId="39019"/>
    <cellStyle name="Normal 4 9 2 3 2 3" xfId="39020"/>
    <cellStyle name="Normal 4 9 2 3 3" xfId="39021"/>
    <cellStyle name="Normal 4 9 2 3 3 2" xfId="39022"/>
    <cellStyle name="Normal 4 9 2 3 4" xfId="39023"/>
    <cellStyle name="Normal 4 9 2 4" xfId="39024"/>
    <cellStyle name="Normal 4 9 2 4 2" xfId="39025"/>
    <cellStyle name="Normal 4 9 2 4 2 2" xfId="39026"/>
    <cellStyle name="Normal 4 9 2 4 3" xfId="39027"/>
    <cellStyle name="Normal 4 9 2 5" xfId="39028"/>
    <cellStyle name="Normal 4 9 2 5 2" xfId="39029"/>
    <cellStyle name="Normal 4 9 2 6" xfId="39030"/>
    <cellStyle name="Normal 4 9 3" xfId="1652"/>
    <cellStyle name="Normal 4 9 3 2" xfId="4372"/>
    <cellStyle name="Normal 4 9 3 2 2" xfId="39031"/>
    <cellStyle name="Normal 4 9 3 2 2 2" xfId="39032"/>
    <cellStyle name="Normal 4 9 3 2 2 2 2" xfId="39033"/>
    <cellStyle name="Normal 4 9 3 2 2 3" xfId="39034"/>
    <cellStyle name="Normal 4 9 3 2 3" xfId="39035"/>
    <cellStyle name="Normal 4 9 3 2 3 2" xfId="39036"/>
    <cellStyle name="Normal 4 9 3 2 4" xfId="39037"/>
    <cellStyle name="Normal 4 9 3 3" xfId="39038"/>
    <cellStyle name="Normal 4 9 3 3 2" xfId="39039"/>
    <cellStyle name="Normal 4 9 3 3 2 2" xfId="39040"/>
    <cellStyle name="Normal 4 9 3 3 3" xfId="39041"/>
    <cellStyle name="Normal 4 9 3 4" xfId="39042"/>
    <cellStyle name="Normal 4 9 3 4 2" xfId="39043"/>
    <cellStyle name="Normal 4 9 3 5" xfId="39044"/>
    <cellStyle name="Normal 4 9 4" xfId="3012"/>
    <cellStyle name="Normal 4 9 4 2" xfId="39045"/>
    <cellStyle name="Normal 4 9 4 2 2" xfId="39046"/>
    <cellStyle name="Normal 4 9 4 2 2 2" xfId="39047"/>
    <cellStyle name="Normal 4 9 4 2 3" xfId="39048"/>
    <cellStyle name="Normal 4 9 4 3" xfId="39049"/>
    <cellStyle name="Normal 4 9 4 3 2" xfId="39050"/>
    <cellStyle name="Normal 4 9 4 4" xfId="39051"/>
    <cellStyle name="Normal 4 9 5" xfId="39052"/>
    <cellStyle name="Normal 4 9 5 2" xfId="39053"/>
    <cellStyle name="Normal 4 9 5 2 2" xfId="39054"/>
    <cellStyle name="Normal 4 9 5 3" xfId="39055"/>
    <cellStyle name="Normal 4 9 6" xfId="39056"/>
    <cellStyle name="Normal 4 9 6 2" xfId="39057"/>
    <cellStyle name="Normal 4 9 7" xfId="39058"/>
    <cellStyle name="Normal 5" xfId="14"/>
    <cellStyle name="Normal 5 10" xfId="2741"/>
    <cellStyle name="Normal 5 10 2" xfId="39059"/>
    <cellStyle name="Normal 5 10 2 2" xfId="39060"/>
    <cellStyle name="Normal 5 10 2 2 2" xfId="39061"/>
    <cellStyle name="Normal 5 10 2 3" xfId="39062"/>
    <cellStyle name="Normal 5 10 3" xfId="39063"/>
    <cellStyle name="Normal 5 10 3 2" xfId="39064"/>
    <cellStyle name="Normal 5 10 4" xfId="39065"/>
    <cellStyle name="Normal 5 11" xfId="5458"/>
    <cellStyle name="Normal 5 11 2" xfId="39066"/>
    <cellStyle name="Normal 5 11 2 2" xfId="39067"/>
    <cellStyle name="Normal 5 11 3" xfId="39068"/>
    <cellStyle name="Normal 5 12" xfId="39069"/>
    <cellStyle name="Normal 5 12 2" xfId="39070"/>
    <cellStyle name="Normal 5 13" xfId="39071"/>
    <cellStyle name="Normal 5 2" xfId="36"/>
    <cellStyle name="Normal 5 2 10" xfId="39072"/>
    <cellStyle name="Normal 5 2 10 2" xfId="39073"/>
    <cellStyle name="Normal 5 2 10 2 2" xfId="39074"/>
    <cellStyle name="Normal 5 2 10 3" xfId="39075"/>
    <cellStyle name="Normal 5 2 11" xfId="39076"/>
    <cellStyle name="Normal 5 2 11 2" xfId="39077"/>
    <cellStyle name="Normal 5 2 12" xfId="39078"/>
    <cellStyle name="Normal 5 2 2" xfId="71"/>
    <cellStyle name="Normal 5 2 2 10" xfId="39079"/>
    <cellStyle name="Normal 5 2 2 10 2" xfId="39080"/>
    <cellStyle name="Normal 5 2 2 11" xfId="39081"/>
    <cellStyle name="Normal 5 2 2 2" xfId="139"/>
    <cellStyle name="Normal 5 2 2 2 10" xfId="39082"/>
    <cellStyle name="Normal 5 2 2 2 2" xfId="276"/>
    <cellStyle name="Normal 5 2 2 2 2 2" xfId="548"/>
    <cellStyle name="Normal 5 2 2 2 2 2 2" xfId="1228"/>
    <cellStyle name="Normal 5 2 2 2 2 2 2 2" xfId="2588"/>
    <cellStyle name="Normal 5 2 2 2 2 2 2 2 2" xfId="5308"/>
    <cellStyle name="Normal 5 2 2 2 2 2 2 2 2 2" xfId="39083"/>
    <cellStyle name="Normal 5 2 2 2 2 2 2 2 2 2 2" xfId="39084"/>
    <cellStyle name="Normal 5 2 2 2 2 2 2 2 2 2 2 2" xfId="39085"/>
    <cellStyle name="Normal 5 2 2 2 2 2 2 2 2 2 3" xfId="39086"/>
    <cellStyle name="Normal 5 2 2 2 2 2 2 2 2 3" xfId="39087"/>
    <cellStyle name="Normal 5 2 2 2 2 2 2 2 2 3 2" xfId="39088"/>
    <cellStyle name="Normal 5 2 2 2 2 2 2 2 2 4" xfId="39089"/>
    <cellStyle name="Normal 5 2 2 2 2 2 2 2 3" xfId="39090"/>
    <cellStyle name="Normal 5 2 2 2 2 2 2 2 3 2" xfId="39091"/>
    <cellStyle name="Normal 5 2 2 2 2 2 2 2 3 2 2" xfId="39092"/>
    <cellStyle name="Normal 5 2 2 2 2 2 2 2 3 3" xfId="39093"/>
    <cellStyle name="Normal 5 2 2 2 2 2 2 2 4" xfId="39094"/>
    <cellStyle name="Normal 5 2 2 2 2 2 2 2 4 2" xfId="39095"/>
    <cellStyle name="Normal 5 2 2 2 2 2 2 2 5" xfId="39096"/>
    <cellStyle name="Normal 5 2 2 2 2 2 2 3" xfId="3948"/>
    <cellStyle name="Normal 5 2 2 2 2 2 2 3 2" xfId="39097"/>
    <cellStyle name="Normal 5 2 2 2 2 2 2 3 2 2" xfId="39098"/>
    <cellStyle name="Normal 5 2 2 2 2 2 2 3 2 2 2" xfId="39099"/>
    <cellStyle name="Normal 5 2 2 2 2 2 2 3 2 3" xfId="39100"/>
    <cellStyle name="Normal 5 2 2 2 2 2 2 3 3" xfId="39101"/>
    <cellStyle name="Normal 5 2 2 2 2 2 2 3 3 2" xfId="39102"/>
    <cellStyle name="Normal 5 2 2 2 2 2 2 3 4" xfId="39103"/>
    <cellStyle name="Normal 5 2 2 2 2 2 2 4" xfId="39104"/>
    <cellStyle name="Normal 5 2 2 2 2 2 2 4 2" xfId="39105"/>
    <cellStyle name="Normal 5 2 2 2 2 2 2 4 2 2" xfId="39106"/>
    <cellStyle name="Normal 5 2 2 2 2 2 2 4 3" xfId="39107"/>
    <cellStyle name="Normal 5 2 2 2 2 2 2 5" xfId="39108"/>
    <cellStyle name="Normal 5 2 2 2 2 2 2 5 2" xfId="39109"/>
    <cellStyle name="Normal 5 2 2 2 2 2 2 6" xfId="39110"/>
    <cellStyle name="Normal 5 2 2 2 2 2 3" xfId="1908"/>
    <cellStyle name="Normal 5 2 2 2 2 2 3 2" xfId="4628"/>
    <cellStyle name="Normal 5 2 2 2 2 2 3 2 2" xfId="39111"/>
    <cellStyle name="Normal 5 2 2 2 2 2 3 2 2 2" xfId="39112"/>
    <cellStyle name="Normal 5 2 2 2 2 2 3 2 2 2 2" xfId="39113"/>
    <cellStyle name="Normal 5 2 2 2 2 2 3 2 2 3" xfId="39114"/>
    <cellStyle name="Normal 5 2 2 2 2 2 3 2 3" xfId="39115"/>
    <cellStyle name="Normal 5 2 2 2 2 2 3 2 3 2" xfId="39116"/>
    <cellStyle name="Normal 5 2 2 2 2 2 3 2 4" xfId="39117"/>
    <cellStyle name="Normal 5 2 2 2 2 2 3 3" xfId="39118"/>
    <cellStyle name="Normal 5 2 2 2 2 2 3 3 2" xfId="39119"/>
    <cellStyle name="Normal 5 2 2 2 2 2 3 3 2 2" xfId="39120"/>
    <cellStyle name="Normal 5 2 2 2 2 2 3 3 3" xfId="39121"/>
    <cellStyle name="Normal 5 2 2 2 2 2 3 4" xfId="39122"/>
    <cellStyle name="Normal 5 2 2 2 2 2 3 4 2" xfId="39123"/>
    <cellStyle name="Normal 5 2 2 2 2 2 3 5" xfId="39124"/>
    <cellStyle name="Normal 5 2 2 2 2 2 4" xfId="3268"/>
    <cellStyle name="Normal 5 2 2 2 2 2 4 2" xfId="39125"/>
    <cellStyle name="Normal 5 2 2 2 2 2 4 2 2" xfId="39126"/>
    <cellStyle name="Normal 5 2 2 2 2 2 4 2 2 2" xfId="39127"/>
    <cellStyle name="Normal 5 2 2 2 2 2 4 2 3" xfId="39128"/>
    <cellStyle name="Normal 5 2 2 2 2 2 4 3" xfId="39129"/>
    <cellStyle name="Normal 5 2 2 2 2 2 4 3 2" xfId="39130"/>
    <cellStyle name="Normal 5 2 2 2 2 2 4 4" xfId="39131"/>
    <cellStyle name="Normal 5 2 2 2 2 2 5" xfId="39132"/>
    <cellStyle name="Normal 5 2 2 2 2 2 5 2" xfId="39133"/>
    <cellStyle name="Normal 5 2 2 2 2 2 5 2 2" xfId="39134"/>
    <cellStyle name="Normal 5 2 2 2 2 2 5 3" xfId="39135"/>
    <cellStyle name="Normal 5 2 2 2 2 2 6" xfId="39136"/>
    <cellStyle name="Normal 5 2 2 2 2 2 6 2" xfId="39137"/>
    <cellStyle name="Normal 5 2 2 2 2 2 7" xfId="39138"/>
    <cellStyle name="Normal 5 2 2 2 2 3" xfId="956"/>
    <cellStyle name="Normal 5 2 2 2 2 3 2" xfId="2316"/>
    <cellStyle name="Normal 5 2 2 2 2 3 2 2" xfId="5036"/>
    <cellStyle name="Normal 5 2 2 2 2 3 2 2 2" xfId="39139"/>
    <cellStyle name="Normal 5 2 2 2 2 3 2 2 2 2" xfId="39140"/>
    <cellStyle name="Normal 5 2 2 2 2 3 2 2 2 2 2" xfId="39141"/>
    <cellStyle name="Normal 5 2 2 2 2 3 2 2 2 3" xfId="39142"/>
    <cellStyle name="Normal 5 2 2 2 2 3 2 2 3" xfId="39143"/>
    <cellStyle name="Normal 5 2 2 2 2 3 2 2 3 2" xfId="39144"/>
    <cellStyle name="Normal 5 2 2 2 2 3 2 2 4" xfId="39145"/>
    <cellStyle name="Normal 5 2 2 2 2 3 2 3" xfId="39146"/>
    <cellStyle name="Normal 5 2 2 2 2 3 2 3 2" xfId="39147"/>
    <cellStyle name="Normal 5 2 2 2 2 3 2 3 2 2" xfId="39148"/>
    <cellStyle name="Normal 5 2 2 2 2 3 2 3 3" xfId="39149"/>
    <cellStyle name="Normal 5 2 2 2 2 3 2 4" xfId="39150"/>
    <cellStyle name="Normal 5 2 2 2 2 3 2 4 2" xfId="39151"/>
    <cellStyle name="Normal 5 2 2 2 2 3 2 5" xfId="39152"/>
    <cellStyle name="Normal 5 2 2 2 2 3 3" xfId="3676"/>
    <cellStyle name="Normal 5 2 2 2 2 3 3 2" xfId="39153"/>
    <cellStyle name="Normal 5 2 2 2 2 3 3 2 2" xfId="39154"/>
    <cellStyle name="Normal 5 2 2 2 2 3 3 2 2 2" xfId="39155"/>
    <cellStyle name="Normal 5 2 2 2 2 3 3 2 3" xfId="39156"/>
    <cellStyle name="Normal 5 2 2 2 2 3 3 3" xfId="39157"/>
    <cellStyle name="Normal 5 2 2 2 2 3 3 3 2" xfId="39158"/>
    <cellStyle name="Normal 5 2 2 2 2 3 3 4" xfId="39159"/>
    <cellStyle name="Normal 5 2 2 2 2 3 4" xfId="39160"/>
    <cellStyle name="Normal 5 2 2 2 2 3 4 2" xfId="39161"/>
    <cellStyle name="Normal 5 2 2 2 2 3 4 2 2" xfId="39162"/>
    <cellStyle name="Normal 5 2 2 2 2 3 4 3" xfId="39163"/>
    <cellStyle name="Normal 5 2 2 2 2 3 5" xfId="39164"/>
    <cellStyle name="Normal 5 2 2 2 2 3 5 2" xfId="39165"/>
    <cellStyle name="Normal 5 2 2 2 2 3 6" xfId="39166"/>
    <cellStyle name="Normal 5 2 2 2 2 4" xfId="1636"/>
    <cellStyle name="Normal 5 2 2 2 2 4 2" xfId="4356"/>
    <cellStyle name="Normal 5 2 2 2 2 4 2 2" xfId="39167"/>
    <cellStyle name="Normal 5 2 2 2 2 4 2 2 2" xfId="39168"/>
    <cellStyle name="Normal 5 2 2 2 2 4 2 2 2 2" xfId="39169"/>
    <cellStyle name="Normal 5 2 2 2 2 4 2 2 3" xfId="39170"/>
    <cellStyle name="Normal 5 2 2 2 2 4 2 3" xfId="39171"/>
    <cellStyle name="Normal 5 2 2 2 2 4 2 3 2" xfId="39172"/>
    <cellStyle name="Normal 5 2 2 2 2 4 2 4" xfId="39173"/>
    <cellStyle name="Normal 5 2 2 2 2 4 3" xfId="39174"/>
    <cellStyle name="Normal 5 2 2 2 2 4 3 2" xfId="39175"/>
    <cellStyle name="Normal 5 2 2 2 2 4 3 2 2" xfId="39176"/>
    <cellStyle name="Normal 5 2 2 2 2 4 3 3" xfId="39177"/>
    <cellStyle name="Normal 5 2 2 2 2 4 4" xfId="39178"/>
    <cellStyle name="Normal 5 2 2 2 2 4 4 2" xfId="39179"/>
    <cellStyle name="Normal 5 2 2 2 2 4 5" xfId="39180"/>
    <cellStyle name="Normal 5 2 2 2 2 5" xfId="2996"/>
    <cellStyle name="Normal 5 2 2 2 2 5 2" xfId="39181"/>
    <cellStyle name="Normal 5 2 2 2 2 5 2 2" xfId="39182"/>
    <cellStyle name="Normal 5 2 2 2 2 5 2 2 2" xfId="39183"/>
    <cellStyle name="Normal 5 2 2 2 2 5 2 3" xfId="39184"/>
    <cellStyle name="Normal 5 2 2 2 2 5 3" xfId="39185"/>
    <cellStyle name="Normal 5 2 2 2 2 5 3 2" xfId="39186"/>
    <cellStyle name="Normal 5 2 2 2 2 5 4" xfId="39187"/>
    <cellStyle name="Normal 5 2 2 2 2 6" xfId="39188"/>
    <cellStyle name="Normal 5 2 2 2 2 6 2" xfId="39189"/>
    <cellStyle name="Normal 5 2 2 2 2 6 2 2" xfId="39190"/>
    <cellStyle name="Normal 5 2 2 2 2 6 3" xfId="39191"/>
    <cellStyle name="Normal 5 2 2 2 2 7" xfId="39192"/>
    <cellStyle name="Normal 5 2 2 2 2 7 2" xfId="39193"/>
    <cellStyle name="Normal 5 2 2 2 2 8" xfId="39194"/>
    <cellStyle name="Normal 5 2 2 2 3" xfId="412"/>
    <cellStyle name="Normal 5 2 2 2 3 2" xfId="1092"/>
    <cellStyle name="Normal 5 2 2 2 3 2 2" xfId="2452"/>
    <cellStyle name="Normal 5 2 2 2 3 2 2 2" xfId="5172"/>
    <cellStyle name="Normal 5 2 2 2 3 2 2 2 2" xfId="39195"/>
    <cellStyle name="Normal 5 2 2 2 3 2 2 2 2 2" xfId="39196"/>
    <cellStyle name="Normal 5 2 2 2 3 2 2 2 2 2 2" xfId="39197"/>
    <cellStyle name="Normal 5 2 2 2 3 2 2 2 2 3" xfId="39198"/>
    <cellStyle name="Normal 5 2 2 2 3 2 2 2 3" xfId="39199"/>
    <cellStyle name="Normal 5 2 2 2 3 2 2 2 3 2" xfId="39200"/>
    <cellStyle name="Normal 5 2 2 2 3 2 2 2 4" xfId="39201"/>
    <cellStyle name="Normal 5 2 2 2 3 2 2 3" xfId="39202"/>
    <cellStyle name="Normal 5 2 2 2 3 2 2 3 2" xfId="39203"/>
    <cellStyle name="Normal 5 2 2 2 3 2 2 3 2 2" xfId="39204"/>
    <cellStyle name="Normal 5 2 2 2 3 2 2 3 3" xfId="39205"/>
    <cellStyle name="Normal 5 2 2 2 3 2 2 4" xfId="39206"/>
    <cellStyle name="Normal 5 2 2 2 3 2 2 4 2" xfId="39207"/>
    <cellStyle name="Normal 5 2 2 2 3 2 2 5" xfId="39208"/>
    <cellStyle name="Normal 5 2 2 2 3 2 3" xfId="3812"/>
    <cellStyle name="Normal 5 2 2 2 3 2 3 2" xfId="39209"/>
    <cellStyle name="Normal 5 2 2 2 3 2 3 2 2" xfId="39210"/>
    <cellStyle name="Normal 5 2 2 2 3 2 3 2 2 2" xfId="39211"/>
    <cellStyle name="Normal 5 2 2 2 3 2 3 2 3" xfId="39212"/>
    <cellStyle name="Normal 5 2 2 2 3 2 3 3" xfId="39213"/>
    <cellStyle name="Normal 5 2 2 2 3 2 3 3 2" xfId="39214"/>
    <cellStyle name="Normal 5 2 2 2 3 2 3 4" xfId="39215"/>
    <cellStyle name="Normal 5 2 2 2 3 2 4" xfId="39216"/>
    <cellStyle name="Normal 5 2 2 2 3 2 4 2" xfId="39217"/>
    <cellStyle name="Normal 5 2 2 2 3 2 4 2 2" xfId="39218"/>
    <cellStyle name="Normal 5 2 2 2 3 2 4 3" xfId="39219"/>
    <cellStyle name="Normal 5 2 2 2 3 2 5" xfId="39220"/>
    <cellStyle name="Normal 5 2 2 2 3 2 5 2" xfId="39221"/>
    <cellStyle name="Normal 5 2 2 2 3 2 6" xfId="39222"/>
    <cellStyle name="Normal 5 2 2 2 3 3" xfId="1772"/>
    <cellStyle name="Normal 5 2 2 2 3 3 2" xfId="4492"/>
    <cellStyle name="Normal 5 2 2 2 3 3 2 2" xfId="39223"/>
    <cellStyle name="Normal 5 2 2 2 3 3 2 2 2" xfId="39224"/>
    <cellStyle name="Normal 5 2 2 2 3 3 2 2 2 2" xfId="39225"/>
    <cellStyle name="Normal 5 2 2 2 3 3 2 2 3" xfId="39226"/>
    <cellStyle name="Normal 5 2 2 2 3 3 2 3" xfId="39227"/>
    <cellStyle name="Normal 5 2 2 2 3 3 2 3 2" xfId="39228"/>
    <cellStyle name="Normal 5 2 2 2 3 3 2 4" xfId="39229"/>
    <cellStyle name="Normal 5 2 2 2 3 3 3" xfId="39230"/>
    <cellStyle name="Normal 5 2 2 2 3 3 3 2" xfId="39231"/>
    <cellStyle name="Normal 5 2 2 2 3 3 3 2 2" xfId="39232"/>
    <cellStyle name="Normal 5 2 2 2 3 3 3 3" xfId="39233"/>
    <cellStyle name="Normal 5 2 2 2 3 3 4" xfId="39234"/>
    <cellStyle name="Normal 5 2 2 2 3 3 4 2" xfId="39235"/>
    <cellStyle name="Normal 5 2 2 2 3 3 5" xfId="39236"/>
    <cellStyle name="Normal 5 2 2 2 3 4" xfId="3132"/>
    <cellStyle name="Normal 5 2 2 2 3 4 2" xfId="39237"/>
    <cellStyle name="Normal 5 2 2 2 3 4 2 2" xfId="39238"/>
    <cellStyle name="Normal 5 2 2 2 3 4 2 2 2" xfId="39239"/>
    <cellStyle name="Normal 5 2 2 2 3 4 2 3" xfId="39240"/>
    <cellStyle name="Normal 5 2 2 2 3 4 3" xfId="39241"/>
    <cellStyle name="Normal 5 2 2 2 3 4 3 2" xfId="39242"/>
    <cellStyle name="Normal 5 2 2 2 3 4 4" xfId="39243"/>
    <cellStyle name="Normal 5 2 2 2 3 5" xfId="39244"/>
    <cellStyle name="Normal 5 2 2 2 3 5 2" xfId="39245"/>
    <cellStyle name="Normal 5 2 2 2 3 5 2 2" xfId="39246"/>
    <cellStyle name="Normal 5 2 2 2 3 5 3" xfId="39247"/>
    <cellStyle name="Normal 5 2 2 2 3 6" xfId="39248"/>
    <cellStyle name="Normal 5 2 2 2 3 6 2" xfId="39249"/>
    <cellStyle name="Normal 5 2 2 2 3 7" xfId="39250"/>
    <cellStyle name="Normal 5 2 2 2 4" xfId="684"/>
    <cellStyle name="Normal 5 2 2 2 4 2" xfId="1364"/>
    <cellStyle name="Normal 5 2 2 2 4 2 2" xfId="2724"/>
    <cellStyle name="Normal 5 2 2 2 4 2 2 2" xfId="5444"/>
    <cellStyle name="Normal 5 2 2 2 4 2 2 2 2" xfId="39251"/>
    <cellStyle name="Normal 5 2 2 2 4 2 2 2 2 2" xfId="39252"/>
    <cellStyle name="Normal 5 2 2 2 4 2 2 2 2 2 2" xfId="39253"/>
    <cellStyle name="Normal 5 2 2 2 4 2 2 2 2 3" xfId="39254"/>
    <cellStyle name="Normal 5 2 2 2 4 2 2 2 3" xfId="39255"/>
    <cellStyle name="Normal 5 2 2 2 4 2 2 2 3 2" xfId="39256"/>
    <cellStyle name="Normal 5 2 2 2 4 2 2 2 4" xfId="39257"/>
    <cellStyle name="Normal 5 2 2 2 4 2 2 3" xfId="39258"/>
    <cellStyle name="Normal 5 2 2 2 4 2 2 3 2" xfId="39259"/>
    <cellStyle name="Normal 5 2 2 2 4 2 2 3 2 2" xfId="39260"/>
    <cellStyle name="Normal 5 2 2 2 4 2 2 3 3" xfId="39261"/>
    <cellStyle name="Normal 5 2 2 2 4 2 2 4" xfId="39262"/>
    <cellStyle name="Normal 5 2 2 2 4 2 2 4 2" xfId="39263"/>
    <cellStyle name="Normal 5 2 2 2 4 2 2 5" xfId="39264"/>
    <cellStyle name="Normal 5 2 2 2 4 2 3" xfId="4084"/>
    <cellStyle name="Normal 5 2 2 2 4 2 3 2" xfId="39265"/>
    <cellStyle name="Normal 5 2 2 2 4 2 3 2 2" xfId="39266"/>
    <cellStyle name="Normal 5 2 2 2 4 2 3 2 2 2" xfId="39267"/>
    <cellStyle name="Normal 5 2 2 2 4 2 3 2 3" xfId="39268"/>
    <cellStyle name="Normal 5 2 2 2 4 2 3 3" xfId="39269"/>
    <cellStyle name="Normal 5 2 2 2 4 2 3 3 2" xfId="39270"/>
    <cellStyle name="Normal 5 2 2 2 4 2 3 4" xfId="39271"/>
    <cellStyle name="Normal 5 2 2 2 4 2 4" xfId="39272"/>
    <cellStyle name="Normal 5 2 2 2 4 2 4 2" xfId="39273"/>
    <cellStyle name="Normal 5 2 2 2 4 2 4 2 2" xfId="39274"/>
    <cellStyle name="Normal 5 2 2 2 4 2 4 3" xfId="39275"/>
    <cellStyle name="Normal 5 2 2 2 4 2 5" xfId="39276"/>
    <cellStyle name="Normal 5 2 2 2 4 2 5 2" xfId="39277"/>
    <cellStyle name="Normal 5 2 2 2 4 2 6" xfId="39278"/>
    <cellStyle name="Normal 5 2 2 2 4 3" xfId="2044"/>
    <cellStyle name="Normal 5 2 2 2 4 3 2" xfId="4764"/>
    <cellStyle name="Normal 5 2 2 2 4 3 2 2" xfId="39279"/>
    <cellStyle name="Normal 5 2 2 2 4 3 2 2 2" xfId="39280"/>
    <cellStyle name="Normal 5 2 2 2 4 3 2 2 2 2" xfId="39281"/>
    <cellStyle name="Normal 5 2 2 2 4 3 2 2 3" xfId="39282"/>
    <cellStyle name="Normal 5 2 2 2 4 3 2 3" xfId="39283"/>
    <cellStyle name="Normal 5 2 2 2 4 3 2 3 2" xfId="39284"/>
    <cellStyle name="Normal 5 2 2 2 4 3 2 4" xfId="39285"/>
    <cellStyle name="Normal 5 2 2 2 4 3 3" xfId="39286"/>
    <cellStyle name="Normal 5 2 2 2 4 3 3 2" xfId="39287"/>
    <cellStyle name="Normal 5 2 2 2 4 3 3 2 2" xfId="39288"/>
    <cellStyle name="Normal 5 2 2 2 4 3 3 3" xfId="39289"/>
    <cellStyle name="Normal 5 2 2 2 4 3 4" xfId="39290"/>
    <cellStyle name="Normal 5 2 2 2 4 3 4 2" xfId="39291"/>
    <cellStyle name="Normal 5 2 2 2 4 3 5" xfId="39292"/>
    <cellStyle name="Normal 5 2 2 2 4 4" xfId="3404"/>
    <cellStyle name="Normal 5 2 2 2 4 4 2" xfId="39293"/>
    <cellStyle name="Normal 5 2 2 2 4 4 2 2" xfId="39294"/>
    <cellStyle name="Normal 5 2 2 2 4 4 2 2 2" xfId="39295"/>
    <cellStyle name="Normal 5 2 2 2 4 4 2 3" xfId="39296"/>
    <cellStyle name="Normal 5 2 2 2 4 4 3" xfId="39297"/>
    <cellStyle name="Normal 5 2 2 2 4 4 3 2" xfId="39298"/>
    <cellStyle name="Normal 5 2 2 2 4 4 4" xfId="39299"/>
    <cellStyle name="Normal 5 2 2 2 4 5" xfId="39300"/>
    <cellStyle name="Normal 5 2 2 2 4 5 2" xfId="39301"/>
    <cellStyle name="Normal 5 2 2 2 4 5 2 2" xfId="39302"/>
    <cellStyle name="Normal 5 2 2 2 4 5 3" xfId="39303"/>
    <cellStyle name="Normal 5 2 2 2 4 6" xfId="39304"/>
    <cellStyle name="Normal 5 2 2 2 4 6 2" xfId="39305"/>
    <cellStyle name="Normal 5 2 2 2 4 7" xfId="39306"/>
    <cellStyle name="Normal 5 2 2 2 5" xfId="820"/>
    <cellStyle name="Normal 5 2 2 2 5 2" xfId="2180"/>
    <cellStyle name="Normal 5 2 2 2 5 2 2" xfId="4900"/>
    <cellStyle name="Normal 5 2 2 2 5 2 2 2" xfId="39307"/>
    <cellStyle name="Normal 5 2 2 2 5 2 2 2 2" xfId="39308"/>
    <cellStyle name="Normal 5 2 2 2 5 2 2 2 2 2" xfId="39309"/>
    <cellStyle name="Normal 5 2 2 2 5 2 2 2 3" xfId="39310"/>
    <cellStyle name="Normal 5 2 2 2 5 2 2 3" xfId="39311"/>
    <cellStyle name="Normal 5 2 2 2 5 2 2 3 2" xfId="39312"/>
    <cellStyle name="Normal 5 2 2 2 5 2 2 4" xfId="39313"/>
    <cellStyle name="Normal 5 2 2 2 5 2 3" xfId="39314"/>
    <cellStyle name="Normal 5 2 2 2 5 2 3 2" xfId="39315"/>
    <cellStyle name="Normal 5 2 2 2 5 2 3 2 2" xfId="39316"/>
    <cellStyle name="Normal 5 2 2 2 5 2 3 3" xfId="39317"/>
    <cellStyle name="Normal 5 2 2 2 5 2 4" xfId="39318"/>
    <cellStyle name="Normal 5 2 2 2 5 2 4 2" xfId="39319"/>
    <cellStyle name="Normal 5 2 2 2 5 2 5" xfId="39320"/>
    <cellStyle name="Normal 5 2 2 2 5 3" xfId="3540"/>
    <cellStyle name="Normal 5 2 2 2 5 3 2" xfId="39321"/>
    <cellStyle name="Normal 5 2 2 2 5 3 2 2" xfId="39322"/>
    <cellStyle name="Normal 5 2 2 2 5 3 2 2 2" xfId="39323"/>
    <cellStyle name="Normal 5 2 2 2 5 3 2 3" xfId="39324"/>
    <cellStyle name="Normal 5 2 2 2 5 3 3" xfId="39325"/>
    <cellStyle name="Normal 5 2 2 2 5 3 3 2" xfId="39326"/>
    <cellStyle name="Normal 5 2 2 2 5 3 4" xfId="39327"/>
    <cellStyle name="Normal 5 2 2 2 5 4" xfId="39328"/>
    <cellStyle name="Normal 5 2 2 2 5 4 2" xfId="39329"/>
    <cellStyle name="Normal 5 2 2 2 5 4 2 2" xfId="39330"/>
    <cellStyle name="Normal 5 2 2 2 5 4 3" xfId="39331"/>
    <cellStyle name="Normal 5 2 2 2 5 5" xfId="39332"/>
    <cellStyle name="Normal 5 2 2 2 5 5 2" xfId="39333"/>
    <cellStyle name="Normal 5 2 2 2 5 6" xfId="39334"/>
    <cellStyle name="Normal 5 2 2 2 6" xfId="1500"/>
    <cellStyle name="Normal 5 2 2 2 6 2" xfId="4220"/>
    <cellStyle name="Normal 5 2 2 2 6 2 2" xfId="39335"/>
    <cellStyle name="Normal 5 2 2 2 6 2 2 2" xfId="39336"/>
    <cellStyle name="Normal 5 2 2 2 6 2 2 2 2" xfId="39337"/>
    <cellStyle name="Normal 5 2 2 2 6 2 2 3" xfId="39338"/>
    <cellStyle name="Normal 5 2 2 2 6 2 3" xfId="39339"/>
    <cellStyle name="Normal 5 2 2 2 6 2 3 2" xfId="39340"/>
    <cellStyle name="Normal 5 2 2 2 6 2 4" xfId="39341"/>
    <cellStyle name="Normal 5 2 2 2 6 3" xfId="39342"/>
    <cellStyle name="Normal 5 2 2 2 6 3 2" xfId="39343"/>
    <cellStyle name="Normal 5 2 2 2 6 3 2 2" xfId="39344"/>
    <cellStyle name="Normal 5 2 2 2 6 3 3" xfId="39345"/>
    <cellStyle name="Normal 5 2 2 2 6 4" xfId="39346"/>
    <cellStyle name="Normal 5 2 2 2 6 4 2" xfId="39347"/>
    <cellStyle name="Normal 5 2 2 2 6 5" xfId="39348"/>
    <cellStyle name="Normal 5 2 2 2 7" xfId="2860"/>
    <cellStyle name="Normal 5 2 2 2 7 2" xfId="39349"/>
    <cellStyle name="Normal 5 2 2 2 7 2 2" xfId="39350"/>
    <cellStyle name="Normal 5 2 2 2 7 2 2 2" xfId="39351"/>
    <cellStyle name="Normal 5 2 2 2 7 2 3" xfId="39352"/>
    <cellStyle name="Normal 5 2 2 2 7 3" xfId="39353"/>
    <cellStyle name="Normal 5 2 2 2 7 3 2" xfId="39354"/>
    <cellStyle name="Normal 5 2 2 2 7 4" xfId="39355"/>
    <cellStyle name="Normal 5 2 2 2 8" xfId="39356"/>
    <cellStyle name="Normal 5 2 2 2 8 2" xfId="39357"/>
    <cellStyle name="Normal 5 2 2 2 8 2 2" xfId="39358"/>
    <cellStyle name="Normal 5 2 2 2 8 3" xfId="39359"/>
    <cellStyle name="Normal 5 2 2 2 9" xfId="39360"/>
    <cellStyle name="Normal 5 2 2 2 9 2" xfId="39361"/>
    <cellStyle name="Normal 5 2 2 3" xfId="208"/>
    <cellStyle name="Normal 5 2 2 3 2" xfId="480"/>
    <cellStyle name="Normal 5 2 2 3 2 2" xfId="1160"/>
    <cellStyle name="Normal 5 2 2 3 2 2 2" xfId="2520"/>
    <cellStyle name="Normal 5 2 2 3 2 2 2 2" xfId="5240"/>
    <cellStyle name="Normal 5 2 2 3 2 2 2 2 2" xfId="39362"/>
    <cellStyle name="Normal 5 2 2 3 2 2 2 2 2 2" xfId="39363"/>
    <cellStyle name="Normal 5 2 2 3 2 2 2 2 2 2 2" xfId="39364"/>
    <cellStyle name="Normal 5 2 2 3 2 2 2 2 2 3" xfId="39365"/>
    <cellStyle name="Normal 5 2 2 3 2 2 2 2 3" xfId="39366"/>
    <cellStyle name="Normal 5 2 2 3 2 2 2 2 3 2" xfId="39367"/>
    <cellStyle name="Normal 5 2 2 3 2 2 2 2 4" xfId="39368"/>
    <cellStyle name="Normal 5 2 2 3 2 2 2 3" xfId="39369"/>
    <cellStyle name="Normal 5 2 2 3 2 2 2 3 2" xfId="39370"/>
    <cellStyle name="Normal 5 2 2 3 2 2 2 3 2 2" xfId="39371"/>
    <cellStyle name="Normal 5 2 2 3 2 2 2 3 3" xfId="39372"/>
    <cellStyle name="Normal 5 2 2 3 2 2 2 4" xfId="39373"/>
    <cellStyle name="Normal 5 2 2 3 2 2 2 4 2" xfId="39374"/>
    <cellStyle name="Normal 5 2 2 3 2 2 2 5" xfId="39375"/>
    <cellStyle name="Normal 5 2 2 3 2 2 3" xfId="3880"/>
    <cellStyle name="Normal 5 2 2 3 2 2 3 2" xfId="39376"/>
    <cellStyle name="Normal 5 2 2 3 2 2 3 2 2" xfId="39377"/>
    <cellStyle name="Normal 5 2 2 3 2 2 3 2 2 2" xfId="39378"/>
    <cellStyle name="Normal 5 2 2 3 2 2 3 2 3" xfId="39379"/>
    <cellStyle name="Normal 5 2 2 3 2 2 3 3" xfId="39380"/>
    <cellStyle name="Normal 5 2 2 3 2 2 3 3 2" xfId="39381"/>
    <cellStyle name="Normal 5 2 2 3 2 2 3 4" xfId="39382"/>
    <cellStyle name="Normal 5 2 2 3 2 2 4" xfId="39383"/>
    <cellStyle name="Normal 5 2 2 3 2 2 4 2" xfId="39384"/>
    <cellStyle name="Normal 5 2 2 3 2 2 4 2 2" xfId="39385"/>
    <cellStyle name="Normal 5 2 2 3 2 2 4 3" xfId="39386"/>
    <cellStyle name="Normal 5 2 2 3 2 2 5" xfId="39387"/>
    <cellStyle name="Normal 5 2 2 3 2 2 5 2" xfId="39388"/>
    <cellStyle name="Normal 5 2 2 3 2 2 6" xfId="39389"/>
    <cellStyle name="Normal 5 2 2 3 2 3" xfId="1840"/>
    <cellStyle name="Normal 5 2 2 3 2 3 2" xfId="4560"/>
    <cellStyle name="Normal 5 2 2 3 2 3 2 2" xfId="39390"/>
    <cellStyle name="Normal 5 2 2 3 2 3 2 2 2" xfId="39391"/>
    <cellStyle name="Normal 5 2 2 3 2 3 2 2 2 2" xfId="39392"/>
    <cellStyle name="Normal 5 2 2 3 2 3 2 2 3" xfId="39393"/>
    <cellStyle name="Normal 5 2 2 3 2 3 2 3" xfId="39394"/>
    <cellStyle name="Normal 5 2 2 3 2 3 2 3 2" xfId="39395"/>
    <cellStyle name="Normal 5 2 2 3 2 3 2 4" xfId="39396"/>
    <cellStyle name="Normal 5 2 2 3 2 3 3" xfId="39397"/>
    <cellStyle name="Normal 5 2 2 3 2 3 3 2" xfId="39398"/>
    <cellStyle name="Normal 5 2 2 3 2 3 3 2 2" xfId="39399"/>
    <cellStyle name="Normal 5 2 2 3 2 3 3 3" xfId="39400"/>
    <cellStyle name="Normal 5 2 2 3 2 3 4" xfId="39401"/>
    <cellStyle name="Normal 5 2 2 3 2 3 4 2" xfId="39402"/>
    <cellStyle name="Normal 5 2 2 3 2 3 5" xfId="39403"/>
    <cellStyle name="Normal 5 2 2 3 2 4" xfId="3200"/>
    <cellStyle name="Normal 5 2 2 3 2 4 2" xfId="39404"/>
    <cellStyle name="Normal 5 2 2 3 2 4 2 2" xfId="39405"/>
    <cellStyle name="Normal 5 2 2 3 2 4 2 2 2" xfId="39406"/>
    <cellStyle name="Normal 5 2 2 3 2 4 2 3" xfId="39407"/>
    <cellStyle name="Normal 5 2 2 3 2 4 3" xfId="39408"/>
    <cellStyle name="Normal 5 2 2 3 2 4 3 2" xfId="39409"/>
    <cellStyle name="Normal 5 2 2 3 2 4 4" xfId="39410"/>
    <cellStyle name="Normal 5 2 2 3 2 5" xfId="39411"/>
    <cellStyle name="Normal 5 2 2 3 2 5 2" xfId="39412"/>
    <cellStyle name="Normal 5 2 2 3 2 5 2 2" xfId="39413"/>
    <cellStyle name="Normal 5 2 2 3 2 5 3" xfId="39414"/>
    <cellStyle name="Normal 5 2 2 3 2 6" xfId="39415"/>
    <cellStyle name="Normal 5 2 2 3 2 6 2" xfId="39416"/>
    <cellStyle name="Normal 5 2 2 3 2 7" xfId="39417"/>
    <cellStyle name="Normal 5 2 2 3 3" xfId="888"/>
    <cellStyle name="Normal 5 2 2 3 3 2" xfId="2248"/>
    <cellStyle name="Normal 5 2 2 3 3 2 2" xfId="4968"/>
    <cellStyle name="Normal 5 2 2 3 3 2 2 2" xfId="39418"/>
    <cellStyle name="Normal 5 2 2 3 3 2 2 2 2" xfId="39419"/>
    <cellStyle name="Normal 5 2 2 3 3 2 2 2 2 2" xfId="39420"/>
    <cellStyle name="Normal 5 2 2 3 3 2 2 2 3" xfId="39421"/>
    <cellStyle name="Normal 5 2 2 3 3 2 2 3" xfId="39422"/>
    <cellStyle name="Normal 5 2 2 3 3 2 2 3 2" xfId="39423"/>
    <cellStyle name="Normal 5 2 2 3 3 2 2 4" xfId="39424"/>
    <cellStyle name="Normal 5 2 2 3 3 2 3" xfId="39425"/>
    <cellStyle name="Normal 5 2 2 3 3 2 3 2" xfId="39426"/>
    <cellStyle name="Normal 5 2 2 3 3 2 3 2 2" xfId="39427"/>
    <cellStyle name="Normal 5 2 2 3 3 2 3 3" xfId="39428"/>
    <cellStyle name="Normal 5 2 2 3 3 2 4" xfId="39429"/>
    <cellStyle name="Normal 5 2 2 3 3 2 4 2" xfId="39430"/>
    <cellStyle name="Normal 5 2 2 3 3 2 5" xfId="39431"/>
    <cellStyle name="Normal 5 2 2 3 3 3" xfId="3608"/>
    <cellStyle name="Normal 5 2 2 3 3 3 2" xfId="39432"/>
    <cellStyle name="Normal 5 2 2 3 3 3 2 2" xfId="39433"/>
    <cellStyle name="Normal 5 2 2 3 3 3 2 2 2" xfId="39434"/>
    <cellStyle name="Normal 5 2 2 3 3 3 2 3" xfId="39435"/>
    <cellStyle name="Normal 5 2 2 3 3 3 3" xfId="39436"/>
    <cellStyle name="Normal 5 2 2 3 3 3 3 2" xfId="39437"/>
    <cellStyle name="Normal 5 2 2 3 3 3 4" xfId="39438"/>
    <cellStyle name="Normal 5 2 2 3 3 4" xfId="39439"/>
    <cellStyle name="Normal 5 2 2 3 3 4 2" xfId="39440"/>
    <cellStyle name="Normal 5 2 2 3 3 4 2 2" xfId="39441"/>
    <cellStyle name="Normal 5 2 2 3 3 4 3" xfId="39442"/>
    <cellStyle name="Normal 5 2 2 3 3 5" xfId="39443"/>
    <cellStyle name="Normal 5 2 2 3 3 5 2" xfId="39444"/>
    <cellStyle name="Normal 5 2 2 3 3 6" xfId="39445"/>
    <cellStyle name="Normal 5 2 2 3 4" xfId="1568"/>
    <cellStyle name="Normal 5 2 2 3 4 2" xfId="4288"/>
    <cellStyle name="Normal 5 2 2 3 4 2 2" xfId="39446"/>
    <cellStyle name="Normal 5 2 2 3 4 2 2 2" xfId="39447"/>
    <cellStyle name="Normal 5 2 2 3 4 2 2 2 2" xfId="39448"/>
    <cellStyle name="Normal 5 2 2 3 4 2 2 3" xfId="39449"/>
    <cellStyle name="Normal 5 2 2 3 4 2 3" xfId="39450"/>
    <cellStyle name="Normal 5 2 2 3 4 2 3 2" xfId="39451"/>
    <cellStyle name="Normal 5 2 2 3 4 2 4" xfId="39452"/>
    <cellStyle name="Normal 5 2 2 3 4 3" xfId="39453"/>
    <cellStyle name="Normal 5 2 2 3 4 3 2" xfId="39454"/>
    <cellStyle name="Normal 5 2 2 3 4 3 2 2" xfId="39455"/>
    <cellStyle name="Normal 5 2 2 3 4 3 3" xfId="39456"/>
    <cellStyle name="Normal 5 2 2 3 4 4" xfId="39457"/>
    <cellStyle name="Normal 5 2 2 3 4 4 2" xfId="39458"/>
    <cellStyle name="Normal 5 2 2 3 4 5" xfId="39459"/>
    <cellStyle name="Normal 5 2 2 3 5" xfId="2928"/>
    <cellStyle name="Normal 5 2 2 3 5 2" xfId="39460"/>
    <cellStyle name="Normal 5 2 2 3 5 2 2" xfId="39461"/>
    <cellStyle name="Normal 5 2 2 3 5 2 2 2" xfId="39462"/>
    <cellStyle name="Normal 5 2 2 3 5 2 3" xfId="39463"/>
    <cellStyle name="Normal 5 2 2 3 5 3" xfId="39464"/>
    <cellStyle name="Normal 5 2 2 3 5 3 2" xfId="39465"/>
    <cellStyle name="Normal 5 2 2 3 5 4" xfId="39466"/>
    <cellStyle name="Normal 5 2 2 3 6" xfId="39467"/>
    <cellStyle name="Normal 5 2 2 3 6 2" xfId="39468"/>
    <cellStyle name="Normal 5 2 2 3 6 2 2" xfId="39469"/>
    <cellStyle name="Normal 5 2 2 3 6 3" xfId="39470"/>
    <cellStyle name="Normal 5 2 2 3 7" xfId="39471"/>
    <cellStyle name="Normal 5 2 2 3 7 2" xfId="39472"/>
    <cellStyle name="Normal 5 2 2 3 8" xfId="39473"/>
    <cellStyle name="Normal 5 2 2 4" xfId="344"/>
    <cellStyle name="Normal 5 2 2 4 2" xfId="1024"/>
    <cellStyle name="Normal 5 2 2 4 2 2" xfId="2384"/>
    <cellStyle name="Normal 5 2 2 4 2 2 2" xfId="5104"/>
    <cellStyle name="Normal 5 2 2 4 2 2 2 2" xfId="39474"/>
    <cellStyle name="Normal 5 2 2 4 2 2 2 2 2" xfId="39475"/>
    <cellStyle name="Normal 5 2 2 4 2 2 2 2 2 2" xfId="39476"/>
    <cellStyle name="Normal 5 2 2 4 2 2 2 2 3" xfId="39477"/>
    <cellStyle name="Normal 5 2 2 4 2 2 2 3" xfId="39478"/>
    <cellStyle name="Normal 5 2 2 4 2 2 2 3 2" xfId="39479"/>
    <cellStyle name="Normal 5 2 2 4 2 2 2 4" xfId="39480"/>
    <cellStyle name="Normal 5 2 2 4 2 2 3" xfId="39481"/>
    <cellStyle name="Normal 5 2 2 4 2 2 3 2" xfId="39482"/>
    <cellStyle name="Normal 5 2 2 4 2 2 3 2 2" xfId="39483"/>
    <cellStyle name="Normal 5 2 2 4 2 2 3 3" xfId="39484"/>
    <cellStyle name="Normal 5 2 2 4 2 2 4" xfId="39485"/>
    <cellStyle name="Normal 5 2 2 4 2 2 4 2" xfId="39486"/>
    <cellStyle name="Normal 5 2 2 4 2 2 5" xfId="39487"/>
    <cellStyle name="Normal 5 2 2 4 2 3" xfId="3744"/>
    <cellStyle name="Normal 5 2 2 4 2 3 2" xfId="39488"/>
    <cellStyle name="Normal 5 2 2 4 2 3 2 2" xfId="39489"/>
    <cellStyle name="Normal 5 2 2 4 2 3 2 2 2" xfId="39490"/>
    <cellStyle name="Normal 5 2 2 4 2 3 2 3" xfId="39491"/>
    <cellStyle name="Normal 5 2 2 4 2 3 3" xfId="39492"/>
    <cellStyle name="Normal 5 2 2 4 2 3 3 2" xfId="39493"/>
    <cellStyle name="Normal 5 2 2 4 2 3 4" xfId="39494"/>
    <cellStyle name="Normal 5 2 2 4 2 4" xfId="39495"/>
    <cellStyle name="Normal 5 2 2 4 2 4 2" xfId="39496"/>
    <cellStyle name="Normal 5 2 2 4 2 4 2 2" xfId="39497"/>
    <cellStyle name="Normal 5 2 2 4 2 4 3" xfId="39498"/>
    <cellStyle name="Normal 5 2 2 4 2 5" xfId="39499"/>
    <cellStyle name="Normal 5 2 2 4 2 5 2" xfId="39500"/>
    <cellStyle name="Normal 5 2 2 4 2 6" xfId="39501"/>
    <cellStyle name="Normal 5 2 2 4 3" xfId="1704"/>
    <cellStyle name="Normal 5 2 2 4 3 2" xfId="4424"/>
    <cellStyle name="Normal 5 2 2 4 3 2 2" xfId="39502"/>
    <cellStyle name="Normal 5 2 2 4 3 2 2 2" xfId="39503"/>
    <cellStyle name="Normal 5 2 2 4 3 2 2 2 2" xfId="39504"/>
    <cellStyle name="Normal 5 2 2 4 3 2 2 3" xfId="39505"/>
    <cellStyle name="Normal 5 2 2 4 3 2 3" xfId="39506"/>
    <cellStyle name="Normal 5 2 2 4 3 2 3 2" xfId="39507"/>
    <cellStyle name="Normal 5 2 2 4 3 2 4" xfId="39508"/>
    <cellStyle name="Normal 5 2 2 4 3 3" xfId="39509"/>
    <cellStyle name="Normal 5 2 2 4 3 3 2" xfId="39510"/>
    <cellStyle name="Normal 5 2 2 4 3 3 2 2" xfId="39511"/>
    <cellStyle name="Normal 5 2 2 4 3 3 3" xfId="39512"/>
    <cellStyle name="Normal 5 2 2 4 3 4" xfId="39513"/>
    <cellStyle name="Normal 5 2 2 4 3 4 2" xfId="39514"/>
    <cellStyle name="Normal 5 2 2 4 3 5" xfId="39515"/>
    <cellStyle name="Normal 5 2 2 4 4" xfId="3064"/>
    <cellStyle name="Normal 5 2 2 4 4 2" xfId="39516"/>
    <cellStyle name="Normal 5 2 2 4 4 2 2" xfId="39517"/>
    <cellStyle name="Normal 5 2 2 4 4 2 2 2" xfId="39518"/>
    <cellStyle name="Normal 5 2 2 4 4 2 3" xfId="39519"/>
    <cellStyle name="Normal 5 2 2 4 4 3" xfId="39520"/>
    <cellStyle name="Normal 5 2 2 4 4 3 2" xfId="39521"/>
    <cellStyle name="Normal 5 2 2 4 4 4" xfId="39522"/>
    <cellStyle name="Normal 5 2 2 4 5" xfId="39523"/>
    <cellStyle name="Normal 5 2 2 4 5 2" xfId="39524"/>
    <cellStyle name="Normal 5 2 2 4 5 2 2" xfId="39525"/>
    <cellStyle name="Normal 5 2 2 4 5 3" xfId="39526"/>
    <cellStyle name="Normal 5 2 2 4 6" xfId="39527"/>
    <cellStyle name="Normal 5 2 2 4 6 2" xfId="39528"/>
    <cellStyle name="Normal 5 2 2 4 7" xfId="39529"/>
    <cellStyle name="Normal 5 2 2 5" xfId="616"/>
    <cellStyle name="Normal 5 2 2 5 2" xfId="1296"/>
    <cellStyle name="Normal 5 2 2 5 2 2" xfId="2656"/>
    <cellStyle name="Normal 5 2 2 5 2 2 2" xfId="5376"/>
    <cellStyle name="Normal 5 2 2 5 2 2 2 2" xfId="39530"/>
    <cellStyle name="Normal 5 2 2 5 2 2 2 2 2" xfId="39531"/>
    <cellStyle name="Normal 5 2 2 5 2 2 2 2 2 2" xfId="39532"/>
    <cellStyle name="Normal 5 2 2 5 2 2 2 2 3" xfId="39533"/>
    <cellStyle name="Normal 5 2 2 5 2 2 2 3" xfId="39534"/>
    <cellStyle name="Normal 5 2 2 5 2 2 2 3 2" xfId="39535"/>
    <cellStyle name="Normal 5 2 2 5 2 2 2 4" xfId="39536"/>
    <cellStyle name="Normal 5 2 2 5 2 2 3" xfId="39537"/>
    <cellStyle name="Normal 5 2 2 5 2 2 3 2" xfId="39538"/>
    <cellStyle name="Normal 5 2 2 5 2 2 3 2 2" xfId="39539"/>
    <cellStyle name="Normal 5 2 2 5 2 2 3 3" xfId="39540"/>
    <cellStyle name="Normal 5 2 2 5 2 2 4" xfId="39541"/>
    <cellStyle name="Normal 5 2 2 5 2 2 4 2" xfId="39542"/>
    <cellStyle name="Normal 5 2 2 5 2 2 5" xfId="39543"/>
    <cellStyle name="Normal 5 2 2 5 2 3" xfId="4016"/>
    <cellStyle name="Normal 5 2 2 5 2 3 2" xfId="39544"/>
    <cellStyle name="Normal 5 2 2 5 2 3 2 2" xfId="39545"/>
    <cellStyle name="Normal 5 2 2 5 2 3 2 2 2" xfId="39546"/>
    <cellStyle name="Normal 5 2 2 5 2 3 2 3" xfId="39547"/>
    <cellStyle name="Normal 5 2 2 5 2 3 3" xfId="39548"/>
    <cellStyle name="Normal 5 2 2 5 2 3 3 2" xfId="39549"/>
    <cellStyle name="Normal 5 2 2 5 2 3 4" xfId="39550"/>
    <cellStyle name="Normal 5 2 2 5 2 4" xfId="39551"/>
    <cellStyle name="Normal 5 2 2 5 2 4 2" xfId="39552"/>
    <cellStyle name="Normal 5 2 2 5 2 4 2 2" xfId="39553"/>
    <cellStyle name="Normal 5 2 2 5 2 4 3" xfId="39554"/>
    <cellStyle name="Normal 5 2 2 5 2 5" xfId="39555"/>
    <cellStyle name="Normal 5 2 2 5 2 5 2" xfId="39556"/>
    <cellStyle name="Normal 5 2 2 5 2 6" xfId="39557"/>
    <cellStyle name="Normal 5 2 2 5 3" xfId="1976"/>
    <cellStyle name="Normal 5 2 2 5 3 2" xfId="4696"/>
    <cellStyle name="Normal 5 2 2 5 3 2 2" xfId="39558"/>
    <cellStyle name="Normal 5 2 2 5 3 2 2 2" xfId="39559"/>
    <cellStyle name="Normal 5 2 2 5 3 2 2 2 2" xfId="39560"/>
    <cellStyle name="Normal 5 2 2 5 3 2 2 3" xfId="39561"/>
    <cellStyle name="Normal 5 2 2 5 3 2 3" xfId="39562"/>
    <cellStyle name="Normal 5 2 2 5 3 2 3 2" xfId="39563"/>
    <cellStyle name="Normal 5 2 2 5 3 2 4" xfId="39564"/>
    <cellStyle name="Normal 5 2 2 5 3 3" xfId="39565"/>
    <cellStyle name="Normal 5 2 2 5 3 3 2" xfId="39566"/>
    <cellStyle name="Normal 5 2 2 5 3 3 2 2" xfId="39567"/>
    <cellStyle name="Normal 5 2 2 5 3 3 3" xfId="39568"/>
    <cellStyle name="Normal 5 2 2 5 3 4" xfId="39569"/>
    <cellStyle name="Normal 5 2 2 5 3 4 2" xfId="39570"/>
    <cellStyle name="Normal 5 2 2 5 3 5" xfId="39571"/>
    <cellStyle name="Normal 5 2 2 5 4" xfId="3336"/>
    <cellStyle name="Normal 5 2 2 5 4 2" xfId="39572"/>
    <cellStyle name="Normal 5 2 2 5 4 2 2" xfId="39573"/>
    <cellStyle name="Normal 5 2 2 5 4 2 2 2" xfId="39574"/>
    <cellStyle name="Normal 5 2 2 5 4 2 3" xfId="39575"/>
    <cellStyle name="Normal 5 2 2 5 4 3" xfId="39576"/>
    <cellStyle name="Normal 5 2 2 5 4 3 2" xfId="39577"/>
    <cellStyle name="Normal 5 2 2 5 4 4" xfId="39578"/>
    <cellStyle name="Normal 5 2 2 5 5" xfId="39579"/>
    <cellStyle name="Normal 5 2 2 5 5 2" xfId="39580"/>
    <cellStyle name="Normal 5 2 2 5 5 2 2" xfId="39581"/>
    <cellStyle name="Normal 5 2 2 5 5 3" xfId="39582"/>
    <cellStyle name="Normal 5 2 2 5 6" xfId="39583"/>
    <cellStyle name="Normal 5 2 2 5 6 2" xfId="39584"/>
    <cellStyle name="Normal 5 2 2 5 7" xfId="39585"/>
    <cellStyle name="Normal 5 2 2 6" xfId="752"/>
    <cellStyle name="Normal 5 2 2 6 2" xfId="2112"/>
    <cellStyle name="Normal 5 2 2 6 2 2" xfId="4832"/>
    <cellStyle name="Normal 5 2 2 6 2 2 2" xfId="39586"/>
    <cellStyle name="Normal 5 2 2 6 2 2 2 2" xfId="39587"/>
    <cellStyle name="Normal 5 2 2 6 2 2 2 2 2" xfId="39588"/>
    <cellStyle name="Normal 5 2 2 6 2 2 2 3" xfId="39589"/>
    <cellStyle name="Normal 5 2 2 6 2 2 3" xfId="39590"/>
    <cellStyle name="Normal 5 2 2 6 2 2 3 2" xfId="39591"/>
    <cellStyle name="Normal 5 2 2 6 2 2 4" xfId="39592"/>
    <cellStyle name="Normal 5 2 2 6 2 3" xfId="39593"/>
    <cellStyle name="Normal 5 2 2 6 2 3 2" xfId="39594"/>
    <cellStyle name="Normal 5 2 2 6 2 3 2 2" xfId="39595"/>
    <cellStyle name="Normal 5 2 2 6 2 3 3" xfId="39596"/>
    <cellStyle name="Normal 5 2 2 6 2 4" xfId="39597"/>
    <cellStyle name="Normal 5 2 2 6 2 4 2" xfId="39598"/>
    <cellStyle name="Normal 5 2 2 6 2 5" xfId="39599"/>
    <cellStyle name="Normal 5 2 2 6 3" xfId="3472"/>
    <cellStyle name="Normal 5 2 2 6 3 2" xfId="39600"/>
    <cellStyle name="Normal 5 2 2 6 3 2 2" xfId="39601"/>
    <cellStyle name="Normal 5 2 2 6 3 2 2 2" xfId="39602"/>
    <cellStyle name="Normal 5 2 2 6 3 2 3" xfId="39603"/>
    <cellStyle name="Normal 5 2 2 6 3 3" xfId="39604"/>
    <cellStyle name="Normal 5 2 2 6 3 3 2" xfId="39605"/>
    <cellStyle name="Normal 5 2 2 6 3 4" xfId="39606"/>
    <cellStyle name="Normal 5 2 2 6 4" xfId="39607"/>
    <cellStyle name="Normal 5 2 2 6 4 2" xfId="39608"/>
    <cellStyle name="Normal 5 2 2 6 4 2 2" xfId="39609"/>
    <cellStyle name="Normal 5 2 2 6 4 3" xfId="39610"/>
    <cellStyle name="Normal 5 2 2 6 5" xfId="39611"/>
    <cellStyle name="Normal 5 2 2 6 5 2" xfId="39612"/>
    <cellStyle name="Normal 5 2 2 6 6" xfId="39613"/>
    <cellStyle name="Normal 5 2 2 7" xfId="1432"/>
    <cellStyle name="Normal 5 2 2 7 2" xfId="4152"/>
    <cellStyle name="Normal 5 2 2 7 2 2" xfId="39614"/>
    <cellStyle name="Normal 5 2 2 7 2 2 2" xfId="39615"/>
    <cellStyle name="Normal 5 2 2 7 2 2 2 2" xfId="39616"/>
    <cellStyle name="Normal 5 2 2 7 2 2 3" xfId="39617"/>
    <cellStyle name="Normal 5 2 2 7 2 3" xfId="39618"/>
    <cellStyle name="Normal 5 2 2 7 2 3 2" xfId="39619"/>
    <cellStyle name="Normal 5 2 2 7 2 4" xfId="39620"/>
    <cellStyle name="Normal 5 2 2 7 3" xfId="39621"/>
    <cellStyle name="Normal 5 2 2 7 3 2" xfId="39622"/>
    <cellStyle name="Normal 5 2 2 7 3 2 2" xfId="39623"/>
    <cellStyle name="Normal 5 2 2 7 3 3" xfId="39624"/>
    <cellStyle name="Normal 5 2 2 7 4" xfId="39625"/>
    <cellStyle name="Normal 5 2 2 7 4 2" xfId="39626"/>
    <cellStyle name="Normal 5 2 2 7 5" xfId="39627"/>
    <cellStyle name="Normal 5 2 2 8" xfId="2792"/>
    <cellStyle name="Normal 5 2 2 8 2" xfId="39628"/>
    <cellStyle name="Normal 5 2 2 8 2 2" xfId="39629"/>
    <cellStyle name="Normal 5 2 2 8 2 2 2" xfId="39630"/>
    <cellStyle name="Normal 5 2 2 8 2 3" xfId="39631"/>
    <cellStyle name="Normal 5 2 2 8 3" xfId="39632"/>
    <cellStyle name="Normal 5 2 2 8 3 2" xfId="39633"/>
    <cellStyle name="Normal 5 2 2 8 4" xfId="39634"/>
    <cellStyle name="Normal 5 2 2 9" xfId="39635"/>
    <cellStyle name="Normal 5 2 2 9 2" xfId="39636"/>
    <cellStyle name="Normal 5 2 2 9 2 2" xfId="39637"/>
    <cellStyle name="Normal 5 2 2 9 3" xfId="39638"/>
    <cellStyle name="Normal 5 2 3" xfId="105"/>
    <cellStyle name="Normal 5 2 3 10" xfId="39639"/>
    <cellStyle name="Normal 5 2 3 2" xfId="242"/>
    <cellStyle name="Normal 5 2 3 2 2" xfId="514"/>
    <cellStyle name="Normal 5 2 3 2 2 2" xfId="1194"/>
    <cellStyle name="Normal 5 2 3 2 2 2 2" xfId="2554"/>
    <cellStyle name="Normal 5 2 3 2 2 2 2 2" xfId="5274"/>
    <cellStyle name="Normal 5 2 3 2 2 2 2 2 2" xfId="39640"/>
    <cellStyle name="Normal 5 2 3 2 2 2 2 2 2 2" xfId="39641"/>
    <cellStyle name="Normal 5 2 3 2 2 2 2 2 2 2 2" xfId="39642"/>
    <cellStyle name="Normal 5 2 3 2 2 2 2 2 2 3" xfId="39643"/>
    <cellStyle name="Normal 5 2 3 2 2 2 2 2 3" xfId="39644"/>
    <cellStyle name="Normal 5 2 3 2 2 2 2 2 3 2" xfId="39645"/>
    <cellStyle name="Normal 5 2 3 2 2 2 2 2 4" xfId="39646"/>
    <cellStyle name="Normal 5 2 3 2 2 2 2 3" xfId="39647"/>
    <cellStyle name="Normal 5 2 3 2 2 2 2 3 2" xfId="39648"/>
    <cellStyle name="Normal 5 2 3 2 2 2 2 3 2 2" xfId="39649"/>
    <cellStyle name="Normal 5 2 3 2 2 2 2 3 3" xfId="39650"/>
    <cellStyle name="Normal 5 2 3 2 2 2 2 4" xfId="39651"/>
    <cellStyle name="Normal 5 2 3 2 2 2 2 4 2" xfId="39652"/>
    <cellStyle name="Normal 5 2 3 2 2 2 2 5" xfId="39653"/>
    <cellStyle name="Normal 5 2 3 2 2 2 3" xfId="3914"/>
    <cellStyle name="Normal 5 2 3 2 2 2 3 2" xfId="39654"/>
    <cellStyle name="Normal 5 2 3 2 2 2 3 2 2" xfId="39655"/>
    <cellStyle name="Normal 5 2 3 2 2 2 3 2 2 2" xfId="39656"/>
    <cellStyle name="Normal 5 2 3 2 2 2 3 2 3" xfId="39657"/>
    <cellStyle name="Normal 5 2 3 2 2 2 3 3" xfId="39658"/>
    <cellStyle name="Normal 5 2 3 2 2 2 3 3 2" xfId="39659"/>
    <cellStyle name="Normal 5 2 3 2 2 2 3 4" xfId="39660"/>
    <cellStyle name="Normal 5 2 3 2 2 2 4" xfId="39661"/>
    <cellStyle name="Normal 5 2 3 2 2 2 4 2" xfId="39662"/>
    <cellStyle name="Normal 5 2 3 2 2 2 4 2 2" xfId="39663"/>
    <cellStyle name="Normal 5 2 3 2 2 2 4 3" xfId="39664"/>
    <cellStyle name="Normal 5 2 3 2 2 2 5" xfId="39665"/>
    <cellStyle name="Normal 5 2 3 2 2 2 5 2" xfId="39666"/>
    <cellStyle name="Normal 5 2 3 2 2 2 6" xfId="39667"/>
    <cellStyle name="Normal 5 2 3 2 2 3" xfId="1874"/>
    <cellStyle name="Normal 5 2 3 2 2 3 2" xfId="4594"/>
    <cellStyle name="Normal 5 2 3 2 2 3 2 2" xfId="39668"/>
    <cellStyle name="Normal 5 2 3 2 2 3 2 2 2" xfId="39669"/>
    <cellStyle name="Normal 5 2 3 2 2 3 2 2 2 2" xfId="39670"/>
    <cellStyle name="Normal 5 2 3 2 2 3 2 2 3" xfId="39671"/>
    <cellStyle name="Normal 5 2 3 2 2 3 2 3" xfId="39672"/>
    <cellStyle name="Normal 5 2 3 2 2 3 2 3 2" xfId="39673"/>
    <cellStyle name="Normal 5 2 3 2 2 3 2 4" xfId="39674"/>
    <cellStyle name="Normal 5 2 3 2 2 3 3" xfId="39675"/>
    <cellStyle name="Normal 5 2 3 2 2 3 3 2" xfId="39676"/>
    <cellStyle name="Normal 5 2 3 2 2 3 3 2 2" xfId="39677"/>
    <cellStyle name="Normal 5 2 3 2 2 3 3 3" xfId="39678"/>
    <cellStyle name="Normal 5 2 3 2 2 3 4" xfId="39679"/>
    <cellStyle name="Normal 5 2 3 2 2 3 4 2" xfId="39680"/>
    <cellStyle name="Normal 5 2 3 2 2 3 5" xfId="39681"/>
    <cellStyle name="Normal 5 2 3 2 2 4" xfId="3234"/>
    <cellStyle name="Normal 5 2 3 2 2 4 2" xfId="39682"/>
    <cellStyle name="Normal 5 2 3 2 2 4 2 2" xfId="39683"/>
    <cellStyle name="Normal 5 2 3 2 2 4 2 2 2" xfId="39684"/>
    <cellStyle name="Normal 5 2 3 2 2 4 2 3" xfId="39685"/>
    <cellStyle name="Normal 5 2 3 2 2 4 3" xfId="39686"/>
    <cellStyle name="Normal 5 2 3 2 2 4 3 2" xfId="39687"/>
    <cellStyle name="Normal 5 2 3 2 2 4 4" xfId="39688"/>
    <cellStyle name="Normal 5 2 3 2 2 5" xfId="39689"/>
    <cellStyle name="Normal 5 2 3 2 2 5 2" xfId="39690"/>
    <cellStyle name="Normal 5 2 3 2 2 5 2 2" xfId="39691"/>
    <cellStyle name="Normal 5 2 3 2 2 5 3" xfId="39692"/>
    <cellStyle name="Normal 5 2 3 2 2 6" xfId="39693"/>
    <cellStyle name="Normal 5 2 3 2 2 6 2" xfId="39694"/>
    <cellStyle name="Normal 5 2 3 2 2 7" xfId="39695"/>
    <cellStyle name="Normal 5 2 3 2 3" xfId="922"/>
    <cellStyle name="Normal 5 2 3 2 3 2" xfId="2282"/>
    <cellStyle name="Normal 5 2 3 2 3 2 2" xfId="5002"/>
    <cellStyle name="Normal 5 2 3 2 3 2 2 2" xfId="39696"/>
    <cellStyle name="Normal 5 2 3 2 3 2 2 2 2" xfId="39697"/>
    <cellStyle name="Normal 5 2 3 2 3 2 2 2 2 2" xfId="39698"/>
    <cellStyle name="Normal 5 2 3 2 3 2 2 2 3" xfId="39699"/>
    <cellStyle name="Normal 5 2 3 2 3 2 2 3" xfId="39700"/>
    <cellStyle name="Normal 5 2 3 2 3 2 2 3 2" xfId="39701"/>
    <cellStyle name="Normal 5 2 3 2 3 2 2 4" xfId="39702"/>
    <cellStyle name="Normal 5 2 3 2 3 2 3" xfId="39703"/>
    <cellStyle name="Normal 5 2 3 2 3 2 3 2" xfId="39704"/>
    <cellStyle name="Normal 5 2 3 2 3 2 3 2 2" xfId="39705"/>
    <cellStyle name="Normal 5 2 3 2 3 2 3 3" xfId="39706"/>
    <cellStyle name="Normal 5 2 3 2 3 2 4" xfId="39707"/>
    <cellStyle name="Normal 5 2 3 2 3 2 4 2" xfId="39708"/>
    <cellStyle name="Normal 5 2 3 2 3 2 5" xfId="39709"/>
    <cellStyle name="Normal 5 2 3 2 3 3" xfId="3642"/>
    <cellStyle name="Normal 5 2 3 2 3 3 2" xfId="39710"/>
    <cellStyle name="Normal 5 2 3 2 3 3 2 2" xfId="39711"/>
    <cellStyle name="Normal 5 2 3 2 3 3 2 2 2" xfId="39712"/>
    <cellStyle name="Normal 5 2 3 2 3 3 2 3" xfId="39713"/>
    <cellStyle name="Normal 5 2 3 2 3 3 3" xfId="39714"/>
    <cellStyle name="Normal 5 2 3 2 3 3 3 2" xfId="39715"/>
    <cellStyle name="Normal 5 2 3 2 3 3 4" xfId="39716"/>
    <cellStyle name="Normal 5 2 3 2 3 4" xfId="39717"/>
    <cellStyle name="Normal 5 2 3 2 3 4 2" xfId="39718"/>
    <cellStyle name="Normal 5 2 3 2 3 4 2 2" xfId="39719"/>
    <cellStyle name="Normal 5 2 3 2 3 4 3" xfId="39720"/>
    <cellStyle name="Normal 5 2 3 2 3 5" xfId="39721"/>
    <cellStyle name="Normal 5 2 3 2 3 5 2" xfId="39722"/>
    <cellStyle name="Normal 5 2 3 2 3 6" xfId="39723"/>
    <cellStyle name="Normal 5 2 3 2 4" xfId="1602"/>
    <cellStyle name="Normal 5 2 3 2 4 2" xfId="4322"/>
    <cellStyle name="Normal 5 2 3 2 4 2 2" xfId="39724"/>
    <cellStyle name="Normal 5 2 3 2 4 2 2 2" xfId="39725"/>
    <cellStyle name="Normal 5 2 3 2 4 2 2 2 2" xfId="39726"/>
    <cellStyle name="Normal 5 2 3 2 4 2 2 3" xfId="39727"/>
    <cellStyle name="Normal 5 2 3 2 4 2 3" xfId="39728"/>
    <cellStyle name="Normal 5 2 3 2 4 2 3 2" xfId="39729"/>
    <cellStyle name="Normal 5 2 3 2 4 2 4" xfId="39730"/>
    <cellStyle name="Normal 5 2 3 2 4 3" xfId="39731"/>
    <cellStyle name="Normal 5 2 3 2 4 3 2" xfId="39732"/>
    <cellStyle name="Normal 5 2 3 2 4 3 2 2" xfId="39733"/>
    <cellStyle name="Normal 5 2 3 2 4 3 3" xfId="39734"/>
    <cellStyle name="Normal 5 2 3 2 4 4" xfId="39735"/>
    <cellStyle name="Normal 5 2 3 2 4 4 2" xfId="39736"/>
    <cellStyle name="Normal 5 2 3 2 4 5" xfId="39737"/>
    <cellStyle name="Normal 5 2 3 2 5" xfId="2962"/>
    <cellStyle name="Normal 5 2 3 2 5 2" xfId="39738"/>
    <cellStyle name="Normal 5 2 3 2 5 2 2" xfId="39739"/>
    <cellStyle name="Normal 5 2 3 2 5 2 2 2" xfId="39740"/>
    <cellStyle name="Normal 5 2 3 2 5 2 3" xfId="39741"/>
    <cellStyle name="Normal 5 2 3 2 5 3" xfId="39742"/>
    <cellStyle name="Normal 5 2 3 2 5 3 2" xfId="39743"/>
    <cellStyle name="Normal 5 2 3 2 5 4" xfId="39744"/>
    <cellStyle name="Normal 5 2 3 2 6" xfId="39745"/>
    <cellStyle name="Normal 5 2 3 2 6 2" xfId="39746"/>
    <cellStyle name="Normal 5 2 3 2 6 2 2" xfId="39747"/>
    <cellStyle name="Normal 5 2 3 2 6 3" xfId="39748"/>
    <cellStyle name="Normal 5 2 3 2 7" xfId="39749"/>
    <cellStyle name="Normal 5 2 3 2 7 2" xfId="39750"/>
    <cellStyle name="Normal 5 2 3 2 8" xfId="39751"/>
    <cellStyle name="Normal 5 2 3 3" xfId="378"/>
    <cellStyle name="Normal 5 2 3 3 2" xfId="1058"/>
    <cellStyle name="Normal 5 2 3 3 2 2" xfId="2418"/>
    <cellStyle name="Normal 5 2 3 3 2 2 2" xfId="5138"/>
    <cellStyle name="Normal 5 2 3 3 2 2 2 2" xfId="39752"/>
    <cellStyle name="Normal 5 2 3 3 2 2 2 2 2" xfId="39753"/>
    <cellStyle name="Normal 5 2 3 3 2 2 2 2 2 2" xfId="39754"/>
    <cellStyle name="Normal 5 2 3 3 2 2 2 2 3" xfId="39755"/>
    <cellStyle name="Normal 5 2 3 3 2 2 2 3" xfId="39756"/>
    <cellStyle name="Normal 5 2 3 3 2 2 2 3 2" xfId="39757"/>
    <cellStyle name="Normal 5 2 3 3 2 2 2 4" xfId="39758"/>
    <cellStyle name="Normal 5 2 3 3 2 2 3" xfId="39759"/>
    <cellStyle name="Normal 5 2 3 3 2 2 3 2" xfId="39760"/>
    <cellStyle name="Normal 5 2 3 3 2 2 3 2 2" xfId="39761"/>
    <cellStyle name="Normal 5 2 3 3 2 2 3 3" xfId="39762"/>
    <cellStyle name="Normal 5 2 3 3 2 2 4" xfId="39763"/>
    <cellStyle name="Normal 5 2 3 3 2 2 4 2" xfId="39764"/>
    <cellStyle name="Normal 5 2 3 3 2 2 5" xfId="39765"/>
    <cellStyle name="Normal 5 2 3 3 2 3" xfId="3778"/>
    <cellStyle name="Normal 5 2 3 3 2 3 2" xfId="39766"/>
    <cellStyle name="Normal 5 2 3 3 2 3 2 2" xfId="39767"/>
    <cellStyle name="Normal 5 2 3 3 2 3 2 2 2" xfId="39768"/>
    <cellStyle name="Normal 5 2 3 3 2 3 2 3" xfId="39769"/>
    <cellStyle name="Normal 5 2 3 3 2 3 3" xfId="39770"/>
    <cellStyle name="Normal 5 2 3 3 2 3 3 2" xfId="39771"/>
    <cellStyle name="Normal 5 2 3 3 2 3 4" xfId="39772"/>
    <cellStyle name="Normal 5 2 3 3 2 4" xfId="39773"/>
    <cellStyle name="Normal 5 2 3 3 2 4 2" xfId="39774"/>
    <cellStyle name="Normal 5 2 3 3 2 4 2 2" xfId="39775"/>
    <cellStyle name="Normal 5 2 3 3 2 4 3" xfId="39776"/>
    <cellStyle name="Normal 5 2 3 3 2 5" xfId="39777"/>
    <cellStyle name="Normal 5 2 3 3 2 5 2" xfId="39778"/>
    <cellStyle name="Normal 5 2 3 3 2 6" xfId="39779"/>
    <cellStyle name="Normal 5 2 3 3 3" xfId="1738"/>
    <cellStyle name="Normal 5 2 3 3 3 2" xfId="4458"/>
    <cellStyle name="Normal 5 2 3 3 3 2 2" xfId="39780"/>
    <cellStyle name="Normal 5 2 3 3 3 2 2 2" xfId="39781"/>
    <cellStyle name="Normal 5 2 3 3 3 2 2 2 2" xfId="39782"/>
    <cellStyle name="Normal 5 2 3 3 3 2 2 3" xfId="39783"/>
    <cellStyle name="Normal 5 2 3 3 3 2 3" xfId="39784"/>
    <cellStyle name="Normal 5 2 3 3 3 2 3 2" xfId="39785"/>
    <cellStyle name="Normal 5 2 3 3 3 2 4" xfId="39786"/>
    <cellStyle name="Normal 5 2 3 3 3 3" xfId="39787"/>
    <cellStyle name="Normal 5 2 3 3 3 3 2" xfId="39788"/>
    <cellStyle name="Normal 5 2 3 3 3 3 2 2" xfId="39789"/>
    <cellStyle name="Normal 5 2 3 3 3 3 3" xfId="39790"/>
    <cellStyle name="Normal 5 2 3 3 3 4" xfId="39791"/>
    <cellStyle name="Normal 5 2 3 3 3 4 2" xfId="39792"/>
    <cellStyle name="Normal 5 2 3 3 3 5" xfId="39793"/>
    <cellStyle name="Normal 5 2 3 3 4" xfId="3098"/>
    <cellStyle name="Normal 5 2 3 3 4 2" xfId="39794"/>
    <cellStyle name="Normal 5 2 3 3 4 2 2" xfId="39795"/>
    <cellStyle name="Normal 5 2 3 3 4 2 2 2" xfId="39796"/>
    <cellStyle name="Normal 5 2 3 3 4 2 3" xfId="39797"/>
    <cellStyle name="Normal 5 2 3 3 4 3" xfId="39798"/>
    <cellStyle name="Normal 5 2 3 3 4 3 2" xfId="39799"/>
    <cellStyle name="Normal 5 2 3 3 4 4" xfId="39800"/>
    <cellStyle name="Normal 5 2 3 3 5" xfId="39801"/>
    <cellStyle name="Normal 5 2 3 3 5 2" xfId="39802"/>
    <cellStyle name="Normal 5 2 3 3 5 2 2" xfId="39803"/>
    <cellStyle name="Normal 5 2 3 3 5 3" xfId="39804"/>
    <cellStyle name="Normal 5 2 3 3 6" xfId="39805"/>
    <cellStyle name="Normal 5 2 3 3 6 2" xfId="39806"/>
    <cellStyle name="Normal 5 2 3 3 7" xfId="39807"/>
    <cellStyle name="Normal 5 2 3 4" xfId="650"/>
    <cellStyle name="Normal 5 2 3 4 2" xfId="1330"/>
    <cellStyle name="Normal 5 2 3 4 2 2" xfId="2690"/>
    <cellStyle name="Normal 5 2 3 4 2 2 2" xfId="5410"/>
    <cellStyle name="Normal 5 2 3 4 2 2 2 2" xfId="39808"/>
    <cellStyle name="Normal 5 2 3 4 2 2 2 2 2" xfId="39809"/>
    <cellStyle name="Normal 5 2 3 4 2 2 2 2 2 2" xfId="39810"/>
    <cellStyle name="Normal 5 2 3 4 2 2 2 2 3" xfId="39811"/>
    <cellStyle name="Normal 5 2 3 4 2 2 2 3" xfId="39812"/>
    <cellStyle name="Normal 5 2 3 4 2 2 2 3 2" xfId="39813"/>
    <cellStyle name="Normal 5 2 3 4 2 2 2 4" xfId="39814"/>
    <cellStyle name="Normal 5 2 3 4 2 2 3" xfId="39815"/>
    <cellStyle name="Normal 5 2 3 4 2 2 3 2" xfId="39816"/>
    <cellStyle name="Normal 5 2 3 4 2 2 3 2 2" xfId="39817"/>
    <cellStyle name="Normal 5 2 3 4 2 2 3 3" xfId="39818"/>
    <cellStyle name="Normal 5 2 3 4 2 2 4" xfId="39819"/>
    <cellStyle name="Normal 5 2 3 4 2 2 4 2" xfId="39820"/>
    <cellStyle name="Normal 5 2 3 4 2 2 5" xfId="39821"/>
    <cellStyle name="Normal 5 2 3 4 2 3" xfId="4050"/>
    <cellStyle name="Normal 5 2 3 4 2 3 2" xfId="39822"/>
    <cellStyle name="Normal 5 2 3 4 2 3 2 2" xfId="39823"/>
    <cellStyle name="Normal 5 2 3 4 2 3 2 2 2" xfId="39824"/>
    <cellStyle name="Normal 5 2 3 4 2 3 2 3" xfId="39825"/>
    <cellStyle name="Normal 5 2 3 4 2 3 3" xfId="39826"/>
    <cellStyle name="Normal 5 2 3 4 2 3 3 2" xfId="39827"/>
    <cellStyle name="Normal 5 2 3 4 2 3 4" xfId="39828"/>
    <cellStyle name="Normal 5 2 3 4 2 4" xfId="39829"/>
    <cellStyle name="Normal 5 2 3 4 2 4 2" xfId="39830"/>
    <cellStyle name="Normal 5 2 3 4 2 4 2 2" xfId="39831"/>
    <cellStyle name="Normal 5 2 3 4 2 4 3" xfId="39832"/>
    <cellStyle name="Normal 5 2 3 4 2 5" xfId="39833"/>
    <cellStyle name="Normal 5 2 3 4 2 5 2" xfId="39834"/>
    <cellStyle name="Normal 5 2 3 4 2 6" xfId="39835"/>
    <cellStyle name="Normal 5 2 3 4 3" xfId="2010"/>
    <cellStyle name="Normal 5 2 3 4 3 2" xfId="4730"/>
    <cellStyle name="Normal 5 2 3 4 3 2 2" xfId="39836"/>
    <cellStyle name="Normal 5 2 3 4 3 2 2 2" xfId="39837"/>
    <cellStyle name="Normal 5 2 3 4 3 2 2 2 2" xfId="39838"/>
    <cellStyle name="Normal 5 2 3 4 3 2 2 3" xfId="39839"/>
    <cellStyle name="Normal 5 2 3 4 3 2 3" xfId="39840"/>
    <cellStyle name="Normal 5 2 3 4 3 2 3 2" xfId="39841"/>
    <cellStyle name="Normal 5 2 3 4 3 2 4" xfId="39842"/>
    <cellStyle name="Normal 5 2 3 4 3 3" xfId="39843"/>
    <cellStyle name="Normal 5 2 3 4 3 3 2" xfId="39844"/>
    <cellStyle name="Normal 5 2 3 4 3 3 2 2" xfId="39845"/>
    <cellStyle name="Normal 5 2 3 4 3 3 3" xfId="39846"/>
    <cellStyle name="Normal 5 2 3 4 3 4" xfId="39847"/>
    <cellStyle name="Normal 5 2 3 4 3 4 2" xfId="39848"/>
    <cellStyle name="Normal 5 2 3 4 3 5" xfId="39849"/>
    <cellStyle name="Normal 5 2 3 4 4" xfId="3370"/>
    <cellStyle name="Normal 5 2 3 4 4 2" xfId="39850"/>
    <cellStyle name="Normal 5 2 3 4 4 2 2" xfId="39851"/>
    <cellStyle name="Normal 5 2 3 4 4 2 2 2" xfId="39852"/>
    <cellStyle name="Normal 5 2 3 4 4 2 3" xfId="39853"/>
    <cellStyle name="Normal 5 2 3 4 4 3" xfId="39854"/>
    <cellStyle name="Normal 5 2 3 4 4 3 2" xfId="39855"/>
    <cellStyle name="Normal 5 2 3 4 4 4" xfId="39856"/>
    <cellStyle name="Normal 5 2 3 4 5" xfId="39857"/>
    <cellStyle name="Normal 5 2 3 4 5 2" xfId="39858"/>
    <cellStyle name="Normal 5 2 3 4 5 2 2" xfId="39859"/>
    <cellStyle name="Normal 5 2 3 4 5 3" xfId="39860"/>
    <cellStyle name="Normal 5 2 3 4 6" xfId="39861"/>
    <cellStyle name="Normal 5 2 3 4 6 2" xfId="39862"/>
    <cellStyle name="Normal 5 2 3 4 7" xfId="39863"/>
    <cellStyle name="Normal 5 2 3 5" xfId="786"/>
    <cellStyle name="Normal 5 2 3 5 2" xfId="2146"/>
    <cellStyle name="Normal 5 2 3 5 2 2" xfId="4866"/>
    <cellStyle name="Normal 5 2 3 5 2 2 2" xfId="39864"/>
    <cellStyle name="Normal 5 2 3 5 2 2 2 2" xfId="39865"/>
    <cellStyle name="Normal 5 2 3 5 2 2 2 2 2" xfId="39866"/>
    <cellStyle name="Normal 5 2 3 5 2 2 2 3" xfId="39867"/>
    <cellStyle name="Normal 5 2 3 5 2 2 3" xfId="39868"/>
    <cellStyle name="Normal 5 2 3 5 2 2 3 2" xfId="39869"/>
    <cellStyle name="Normal 5 2 3 5 2 2 4" xfId="39870"/>
    <cellStyle name="Normal 5 2 3 5 2 3" xfId="39871"/>
    <cellStyle name="Normal 5 2 3 5 2 3 2" xfId="39872"/>
    <cellStyle name="Normal 5 2 3 5 2 3 2 2" xfId="39873"/>
    <cellStyle name="Normal 5 2 3 5 2 3 3" xfId="39874"/>
    <cellStyle name="Normal 5 2 3 5 2 4" xfId="39875"/>
    <cellStyle name="Normal 5 2 3 5 2 4 2" xfId="39876"/>
    <cellStyle name="Normal 5 2 3 5 2 5" xfId="39877"/>
    <cellStyle name="Normal 5 2 3 5 3" xfId="3506"/>
    <cellStyle name="Normal 5 2 3 5 3 2" xfId="39878"/>
    <cellStyle name="Normal 5 2 3 5 3 2 2" xfId="39879"/>
    <cellStyle name="Normal 5 2 3 5 3 2 2 2" xfId="39880"/>
    <cellStyle name="Normal 5 2 3 5 3 2 3" xfId="39881"/>
    <cellStyle name="Normal 5 2 3 5 3 3" xfId="39882"/>
    <cellStyle name="Normal 5 2 3 5 3 3 2" xfId="39883"/>
    <cellStyle name="Normal 5 2 3 5 3 4" xfId="39884"/>
    <cellStyle name="Normal 5 2 3 5 4" xfId="39885"/>
    <cellStyle name="Normal 5 2 3 5 4 2" xfId="39886"/>
    <cellStyle name="Normal 5 2 3 5 4 2 2" xfId="39887"/>
    <cellStyle name="Normal 5 2 3 5 4 3" xfId="39888"/>
    <cellStyle name="Normal 5 2 3 5 5" xfId="39889"/>
    <cellStyle name="Normal 5 2 3 5 5 2" xfId="39890"/>
    <cellStyle name="Normal 5 2 3 5 6" xfId="39891"/>
    <cellStyle name="Normal 5 2 3 6" xfId="1466"/>
    <cellStyle name="Normal 5 2 3 6 2" xfId="4186"/>
    <cellStyle name="Normal 5 2 3 6 2 2" xfId="39892"/>
    <cellStyle name="Normal 5 2 3 6 2 2 2" xfId="39893"/>
    <cellStyle name="Normal 5 2 3 6 2 2 2 2" xfId="39894"/>
    <cellStyle name="Normal 5 2 3 6 2 2 3" xfId="39895"/>
    <cellStyle name="Normal 5 2 3 6 2 3" xfId="39896"/>
    <cellStyle name="Normal 5 2 3 6 2 3 2" xfId="39897"/>
    <cellStyle name="Normal 5 2 3 6 2 4" xfId="39898"/>
    <cellStyle name="Normal 5 2 3 6 3" xfId="39899"/>
    <cellStyle name="Normal 5 2 3 6 3 2" xfId="39900"/>
    <cellStyle name="Normal 5 2 3 6 3 2 2" xfId="39901"/>
    <cellStyle name="Normal 5 2 3 6 3 3" xfId="39902"/>
    <cellStyle name="Normal 5 2 3 6 4" xfId="39903"/>
    <cellStyle name="Normal 5 2 3 6 4 2" xfId="39904"/>
    <cellStyle name="Normal 5 2 3 6 5" xfId="39905"/>
    <cellStyle name="Normal 5 2 3 7" xfId="2826"/>
    <cellStyle name="Normal 5 2 3 7 2" xfId="39906"/>
    <cellStyle name="Normal 5 2 3 7 2 2" xfId="39907"/>
    <cellStyle name="Normal 5 2 3 7 2 2 2" xfId="39908"/>
    <cellStyle name="Normal 5 2 3 7 2 3" xfId="39909"/>
    <cellStyle name="Normal 5 2 3 7 3" xfId="39910"/>
    <cellStyle name="Normal 5 2 3 7 3 2" xfId="39911"/>
    <cellStyle name="Normal 5 2 3 7 4" xfId="39912"/>
    <cellStyle name="Normal 5 2 3 8" xfId="39913"/>
    <cellStyle name="Normal 5 2 3 8 2" xfId="39914"/>
    <cellStyle name="Normal 5 2 3 8 2 2" xfId="39915"/>
    <cellStyle name="Normal 5 2 3 8 3" xfId="39916"/>
    <cellStyle name="Normal 5 2 3 9" xfId="39917"/>
    <cellStyle name="Normal 5 2 3 9 2" xfId="39918"/>
    <cellStyle name="Normal 5 2 4" xfId="174"/>
    <cellStyle name="Normal 5 2 4 2" xfId="446"/>
    <cellStyle name="Normal 5 2 4 2 2" xfId="1126"/>
    <cellStyle name="Normal 5 2 4 2 2 2" xfId="2486"/>
    <cellStyle name="Normal 5 2 4 2 2 2 2" xfId="5206"/>
    <cellStyle name="Normal 5 2 4 2 2 2 2 2" xfId="39919"/>
    <cellStyle name="Normal 5 2 4 2 2 2 2 2 2" xfId="39920"/>
    <cellStyle name="Normal 5 2 4 2 2 2 2 2 2 2" xfId="39921"/>
    <cellStyle name="Normal 5 2 4 2 2 2 2 2 3" xfId="39922"/>
    <cellStyle name="Normal 5 2 4 2 2 2 2 3" xfId="39923"/>
    <cellStyle name="Normal 5 2 4 2 2 2 2 3 2" xfId="39924"/>
    <cellStyle name="Normal 5 2 4 2 2 2 2 4" xfId="39925"/>
    <cellStyle name="Normal 5 2 4 2 2 2 3" xfId="39926"/>
    <cellStyle name="Normal 5 2 4 2 2 2 3 2" xfId="39927"/>
    <cellStyle name="Normal 5 2 4 2 2 2 3 2 2" xfId="39928"/>
    <cellStyle name="Normal 5 2 4 2 2 2 3 3" xfId="39929"/>
    <cellStyle name="Normal 5 2 4 2 2 2 4" xfId="39930"/>
    <cellStyle name="Normal 5 2 4 2 2 2 4 2" xfId="39931"/>
    <cellStyle name="Normal 5 2 4 2 2 2 5" xfId="39932"/>
    <cellStyle name="Normal 5 2 4 2 2 3" xfId="3846"/>
    <cellStyle name="Normal 5 2 4 2 2 3 2" xfId="39933"/>
    <cellStyle name="Normal 5 2 4 2 2 3 2 2" xfId="39934"/>
    <cellStyle name="Normal 5 2 4 2 2 3 2 2 2" xfId="39935"/>
    <cellStyle name="Normal 5 2 4 2 2 3 2 3" xfId="39936"/>
    <cellStyle name="Normal 5 2 4 2 2 3 3" xfId="39937"/>
    <cellStyle name="Normal 5 2 4 2 2 3 3 2" xfId="39938"/>
    <cellStyle name="Normal 5 2 4 2 2 3 4" xfId="39939"/>
    <cellStyle name="Normal 5 2 4 2 2 4" xfId="39940"/>
    <cellStyle name="Normal 5 2 4 2 2 4 2" xfId="39941"/>
    <cellStyle name="Normal 5 2 4 2 2 4 2 2" xfId="39942"/>
    <cellStyle name="Normal 5 2 4 2 2 4 3" xfId="39943"/>
    <cellStyle name="Normal 5 2 4 2 2 5" xfId="39944"/>
    <cellStyle name="Normal 5 2 4 2 2 5 2" xfId="39945"/>
    <cellStyle name="Normal 5 2 4 2 2 6" xfId="39946"/>
    <cellStyle name="Normal 5 2 4 2 3" xfId="1806"/>
    <cellStyle name="Normal 5 2 4 2 3 2" xfId="4526"/>
    <cellStyle name="Normal 5 2 4 2 3 2 2" xfId="39947"/>
    <cellStyle name="Normal 5 2 4 2 3 2 2 2" xfId="39948"/>
    <cellStyle name="Normal 5 2 4 2 3 2 2 2 2" xfId="39949"/>
    <cellStyle name="Normal 5 2 4 2 3 2 2 3" xfId="39950"/>
    <cellStyle name="Normal 5 2 4 2 3 2 3" xfId="39951"/>
    <cellStyle name="Normal 5 2 4 2 3 2 3 2" xfId="39952"/>
    <cellStyle name="Normal 5 2 4 2 3 2 4" xfId="39953"/>
    <cellStyle name="Normal 5 2 4 2 3 3" xfId="39954"/>
    <cellStyle name="Normal 5 2 4 2 3 3 2" xfId="39955"/>
    <cellStyle name="Normal 5 2 4 2 3 3 2 2" xfId="39956"/>
    <cellStyle name="Normal 5 2 4 2 3 3 3" xfId="39957"/>
    <cellStyle name="Normal 5 2 4 2 3 4" xfId="39958"/>
    <cellStyle name="Normal 5 2 4 2 3 4 2" xfId="39959"/>
    <cellStyle name="Normal 5 2 4 2 3 5" xfId="39960"/>
    <cellStyle name="Normal 5 2 4 2 4" xfId="3166"/>
    <cellStyle name="Normal 5 2 4 2 4 2" xfId="39961"/>
    <cellStyle name="Normal 5 2 4 2 4 2 2" xfId="39962"/>
    <cellStyle name="Normal 5 2 4 2 4 2 2 2" xfId="39963"/>
    <cellStyle name="Normal 5 2 4 2 4 2 3" xfId="39964"/>
    <cellStyle name="Normal 5 2 4 2 4 3" xfId="39965"/>
    <cellStyle name="Normal 5 2 4 2 4 3 2" xfId="39966"/>
    <cellStyle name="Normal 5 2 4 2 4 4" xfId="39967"/>
    <cellStyle name="Normal 5 2 4 2 5" xfId="39968"/>
    <cellStyle name="Normal 5 2 4 2 5 2" xfId="39969"/>
    <cellStyle name="Normal 5 2 4 2 5 2 2" xfId="39970"/>
    <cellStyle name="Normal 5 2 4 2 5 3" xfId="39971"/>
    <cellStyle name="Normal 5 2 4 2 6" xfId="39972"/>
    <cellStyle name="Normal 5 2 4 2 6 2" xfId="39973"/>
    <cellStyle name="Normal 5 2 4 2 7" xfId="39974"/>
    <cellStyle name="Normal 5 2 4 3" xfId="854"/>
    <cellStyle name="Normal 5 2 4 3 2" xfId="2214"/>
    <cellStyle name="Normal 5 2 4 3 2 2" xfId="4934"/>
    <cellStyle name="Normal 5 2 4 3 2 2 2" xfId="39975"/>
    <cellStyle name="Normal 5 2 4 3 2 2 2 2" xfId="39976"/>
    <cellStyle name="Normal 5 2 4 3 2 2 2 2 2" xfId="39977"/>
    <cellStyle name="Normal 5 2 4 3 2 2 2 3" xfId="39978"/>
    <cellStyle name="Normal 5 2 4 3 2 2 3" xfId="39979"/>
    <cellStyle name="Normal 5 2 4 3 2 2 3 2" xfId="39980"/>
    <cellStyle name="Normal 5 2 4 3 2 2 4" xfId="39981"/>
    <cellStyle name="Normal 5 2 4 3 2 3" xfId="39982"/>
    <cellStyle name="Normal 5 2 4 3 2 3 2" xfId="39983"/>
    <cellStyle name="Normal 5 2 4 3 2 3 2 2" xfId="39984"/>
    <cellStyle name="Normal 5 2 4 3 2 3 3" xfId="39985"/>
    <cellStyle name="Normal 5 2 4 3 2 4" xfId="39986"/>
    <cellStyle name="Normal 5 2 4 3 2 4 2" xfId="39987"/>
    <cellStyle name="Normal 5 2 4 3 2 5" xfId="39988"/>
    <cellStyle name="Normal 5 2 4 3 3" xfId="3574"/>
    <cellStyle name="Normal 5 2 4 3 3 2" xfId="39989"/>
    <cellStyle name="Normal 5 2 4 3 3 2 2" xfId="39990"/>
    <cellStyle name="Normal 5 2 4 3 3 2 2 2" xfId="39991"/>
    <cellStyle name="Normal 5 2 4 3 3 2 3" xfId="39992"/>
    <cellStyle name="Normal 5 2 4 3 3 3" xfId="39993"/>
    <cellStyle name="Normal 5 2 4 3 3 3 2" xfId="39994"/>
    <cellStyle name="Normal 5 2 4 3 3 4" xfId="39995"/>
    <cellStyle name="Normal 5 2 4 3 4" xfId="39996"/>
    <cellStyle name="Normal 5 2 4 3 4 2" xfId="39997"/>
    <cellStyle name="Normal 5 2 4 3 4 2 2" xfId="39998"/>
    <cellStyle name="Normal 5 2 4 3 4 3" xfId="39999"/>
    <cellStyle name="Normal 5 2 4 3 5" xfId="40000"/>
    <cellStyle name="Normal 5 2 4 3 5 2" xfId="40001"/>
    <cellStyle name="Normal 5 2 4 3 6" xfId="40002"/>
    <cellStyle name="Normal 5 2 4 4" xfId="1534"/>
    <cellStyle name="Normal 5 2 4 4 2" xfId="4254"/>
    <cellStyle name="Normal 5 2 4 4 2 2" xfId="40003"/>
    <cellStyle name="Normal 5 2 4 4 2 2 2" xfId="40004"/>
    <cellStyle name="Normal 5 2 4 4 2 2 2 2" xfId="40005"/>
    <cellStyle name="Normal 5 2 4 4 2 2 3" xfId="40006"/>
    <cellStyle name="Normal 5 2 4 4 2 3" xfId="40007"/>
    <cellStyle name="Normal 5 2 4 4 2 3 2" xfId="40008"/>
    <cellStyle name="Normal 5 2 4 4 2 4" xfId="40009"/>
    <cellStyle name="Normal 5 2 4 4 3" xfId="40010"/>
    <cellStyle name="Normal 5 2 4 4 3 2" xfId="40011"/>
    <cellStyle name="Normal 5 2 4 4 3 2 2" xfId="40012"/>
    <cellStyle name="Normal 5 2 4 4 3 3" xfId="40013"/>
    <cellStyle name="Normal 5 2 4 4 4" xfId="40014"/>
    <cellStyle name="Normal 5 2 4 4 4 2" xfId="40015"/>
    <cellStyle name="Normal 5 2 4 4 5" xfId="40016"/>
    <cellStyle name="Normal 5 2 4 5" xfId="2894"/>
    <cellStyle name="Normal 5 2 4 5 2" xfId="40017"/>
    <cellStyle name="Normal 5 2 4 5 2 2" xfId="40018"/>
    <cellStyle name="Normal 5 2 4 5 2 2 2" xfId="40019"/>
    <cellStyle name="Normal 5 2 4 5 2 3" xfId="40020"/>
    <cellStyle name="Normal 5 2 4 5 3" xfId="40021"/>
    <cellStyle name="Normal 5 2 4 5 3 2" xfId="40022"/>
    <cellStyle name="Normal 5 2 4 5 4" xfId="40023"/>
    <cellStyle name="Normal 5 2 4 6" xfId="40024"/>
    <cellStyle name="Normal 5 2 4 6 2" xfId="40025"/>
    <cellStyle name="Normal 5 2 4 6 2 2" xfId="40026"/>
    <cellStyle name="Normal 5 2 4 6 3" xfId="40027"/>
    <cellStyle name="Normal 5 2 4 7" xfId="40028"/>
    <cellStyle name="Normal 5 2 4 7 2" xfId="40029"/>
    <cellStyle name="Normal 5 2 4 8" xfId="40030"/>
    <cellStyle name="Normal 5 2 5" xfId="310"/>
    <cellStyle name="Normal 5 2 5 2" xfId="990"/>
    <cellStyle name="Normal 5 2 5 2 2" xfId="2350"/>
    <cellStyle name="Normal 5 2 5 2 2 2" xfId="5070"/>
    <cellStyle name="Normal 5 2 5 2 2 2 2" xfId="40031"/>
    <cellStyle name="Normal 5 2 5 2 2 2 2 2" xfId="40032"/>
    <cellStyle name="Normal 5 2 5 2 2 2 2 2 2" xfId="40033"/>
    <cellStyle name="Normal 5 2 5 2 2 2 2 3" xfId="40034"/>
    <cellStyle name="Normal 5 2 5 2 2 2 3" xfId="40035"/>
    <cellStyle name="Normal 5 2 5 2 2 2 3 2" xfId="40036"/>
    <cellStyle name="Normal 5 2 5 2 2 2 4" xfId="40037"/>
    <cellStyle name="Normal 5 2 5 2 2 3" xfId="40038"/>
    <cellStyle name="Normal 5 2 5 2 2 3 2" xfId="40039"/>
    <cellStyle name="Normal 5 2 5 2 2 3 2 2" xfId="40040"/>
    <cellStyle name="Normal 5 2 5 2 2 3 3" xfId="40041"/>
    <cellStyle name="Normal 5 2 5 2 2 4" xfId="40042"/>
    <cellStyle name="Normal 5 2 5 2 2 4 2" xfId="40043"/>
    <cellStyle name="Normal 5 2 5 2 2 5" xfId="40044"/>
    <cellStyle name="Normal 5 2 5 2 3" xfId="3710"/>
    <cellStyle name="Normal 5 2 5 2 3 2" xfId="40045"/>
    <cellStyle name="Normal 5 2 5 2 3 2 2" xfId="40046"/>
    <cellStyle name="Normal 5 2 5 2 3 2 2 2" xfId="40047"/>
    <cellStyle name="Normal 5 2 5 2 3 2 3" xfId="40048"/>
    <cellStyle name="Normal 5 2 5 2 3 3" xfId="40049"/>
    <cellStyle name="Normal 5 2 5 2 3 3 2" xfId="40050"/>
    <cellStyle name="Normal 5 2 5 2 3 4" xfId="40051"/>
    <cellStyle name="Normal 5 2 5 2 4" xfId="40052"/>
    <cellStyle name="Normal 5 2 5 2 4 2" xfId="40053"/>
    <cellStyle name="Normal 5 2 5 2 4 2 2" xfId="40054"/>
    <cellStyle name="Normal 5 2 5 2 4 3" xfId="40055"/>
    <cellStyle name="Normal 5 2 5 2 5" xfId="40056"/>
    <cellStyle name="Normal 5 2 5 2 5 2" xfId="40057"/>
    <cellStyle name="Normal 5 2 5 2 6" xfId="40058"/>
    <cellStyle name="Normal 5 2 5 3" xfId="1670"/>
    <cellStyle name="Normal 5 2 5 3 2" xfId="4390"/>
    <cellStyle name="Normal 5 2 5 3 2 2" xfId="40059"/>
    <cellStyle name="Normal 5 2 5 3 2 2 2" xfId="40060"/>
    <cellStyle name="Normal 5 2 5 3 2 2 2 2" xfId="40061"/>
    <cellStyle name="Normal 5 2 5 3 2 2 3" xfId="40062"/>
    <cellStyle name="Normal 5 2 5 3 2 3" xfId="40063"/>
    <cellStyle name="Normal 5 2 5 3 2 3 2" xfId="40064"/>
    <cellStyle name="Normal 5 2 5 3 2 4" xfId="40065"/>
    <cellStyle name="Normal 5 2 5 3 3" xfId="40066"/>
    <cellStyle name="Normal 5 2 5 3 3 2" xfId="40067"/>
    <cellStyle name="Normal 5 2 5 3 3 2 2" xfId="40068"/>
    <cellStyle name="Normal 5 2 5 3 3 3" xfId="40069"/>
    <cellStyle name="Normal 5 2 5 3 4" xfId="40070"/>
    <cellStyle name="Normal 5 2 5 3 4 2" xfId="40071"/>
    <cellStyle name="Normal 5 2 5 3 5" xfId="40072"/>
    <cellStyle name="Normal 5 2 5 4" xfId="3030"/>
    <cellStyle name="Normal 5 2 5 4 2" xfId="40073"/>
    <cellStyle name="Normal 5 2 5 4 2 2" xfId="40074"/>
    <cellStyle name="Normal 5 2 5 4 2 2 2" xfId="40075"/>
    <cellStyle name="Normal 5 2 5 4 2 3" xfId="40076"/>
    <cellStyle name="Normal 5 2 5 4 3" xfId="40077"/>
    <cellStyle name="Normal 5 2 5 4 3 2" xfId="40078"/>
    <cellStyle name="Normal 5 2 5 4 4" xfId="40079"/>
    <cellStyle name="Normal 5 2 5 5" xfId="40080"/>
    <cellStyle name="Normal 5 2 5 5 2" xfId="40081"/>
    <cellStyle name="Normal 5 2 5 5 2 2" xfId="40082"/>
    <cellStyle name="Normal 5 2 5 5 3" xfId="40083"/>
    <cellStyle name="Normal 5 2 5 6" xfId="40084"/>
    <cellStyle name="Normal 5 2 5 6 2" xfId="40085"/>
    <cellStyle name="Normal 5 2 5 7" xfId="40086"/>
    <cellStyle name="Normal 5 2 6" xfId="582"/>
    <cellStyle name="Normal 5 2 6 2" xfId="1262"/>
    <cellStyle name="Normal 5 2 6 2 2" xfId="2622"/>
    <cellStyle name="Normal 5 2 6 2 2 2" xfId="5342"/>
    <cellStyle name="Normal 5 2 6 2 2 2 2" xfId="40087"/>
    <cellStyle name="Normal 5 2 6 2 2 2 2 2" xfId="40088"/>
    <cellStyle name="Normal 5 2 6 2 2 2 2 2 2" xfId="40089"/>
    <cellStyle name="Normal 5 2 6 2 2 2 2 3" xfId="40090"/>
    <cellStyle name="Normal 5 2 6 2 2 2 3" xfId="40091"/>
    <cellStyle name="Normal 5 2 6 2 2 2 3 2" xfId="40092"/>
    <cellStyle name="Normal 5 2 6 2 2 2 4" xfId="40093"/>
    <cellStyle name="Normal 5 2 6 2 2 3" xfId="40094"/>
    <cellStyle name="Normal 5 2 6 2 2 3 2" xfId="40095"/>
    <cellStyle name="Normal 5 2 6 2 2 3 2 2" xfId="40096"/>
    <cellStyle name="Normal 5 2 6 2 2 3 3" xfId="40097"/>
    <cellStyle name="Normal 5 2 6 2 2 4" xfId="40098"/>
    <cellStyle name="Normal 5 2 6 2 2 4 2" xfId="40099"/>
    <cellStyle name="Normal 5 2 6 2 2 5" xfId="40100"/>
    <cellStyle name="Normal 5 2 6 2 3" xfId="3982"/>
    <cellStyle name="Normal 5 2 6 2 3 2" xfId="40101"/>
    <cellStyle name="Normal 5 2 6 2 3 2 2" xfId="40102"/>
    <cellStyle name="Normal 5 2 6 2 3 2 2 2" xfId="40103"/>
    <cellStyle name="Normal 5 2 6 2 3 2 3" xfId="40104"/>
    <cellStyle name="Normal 5 2 6 2 3 3" xfId="40105"/>
    <cellStyle name="Normal 5 2 6 2 3 3 2" xfId="40106"/>
    <cellStyle name="Normal 5 2 6 2 3 4" xfId="40107"/>
    <cellStyle name="Normal 5 2 6 2 4" xfId="40108"/>
    <cellStyle name="Normal 5 2 6 2 4 2" xfId="40109"/>
    <cellStyle name="Normal 5 2 6 2 4 2 2" xfId="40110"/>
    <cellStyle name="Normal 5 2 6 2 4 3" xfId="40111"/>
    <cellStyle name="Normal 5 2 6 2 5" xfId="40112"/>
    <cellStyle name="Normal 5 2 6 2 5 2" xfId="40113"/>
    <cellStyle name="Normal 5 2 6 2 6" xfId="40114"/>
    <cellStyle name="Normal 5 2 6 3" xfId="1942"/>
    <cellStyle name="Normal 5 2 6 3 2" xfId="4662"/>
    <cellStyle name="Normal 5 2 6 3 2 2" xfId="40115"/>
    <cellStyle name="Normal 5 2 6 3 2 2 2" xfId="40116"/>
    <cellStyle name="Normal 5 2 6 3 2 2 2 2" xfId="40117"/>
    <cellStyle name="Normal 5 2 6 3 2 2 3" xfId="40118"/>
    <cellStyle name="Normal 5 2 6 3 2 3" xfId="40119"/>
    <cellStyle name="Normal 5 2 6 3 2 3 2" xfId="40120"/>
    <cellStyle name="Normal 5 2 6 3 2 4" xfId="40121"/>
    <cellStyle name="Normal 5 2 6 3 3" xfId="40122"/>
    <cellStyle name="Normal 5 2 6 3 3 2" xfId="40123"/>
    <cellStyle name="Normal 5 2 6 3 3 2 2" xfId="40124"/>
    <cellStyle name="Normal 5 2 6 3 3 3" xfId="40125"/>
    <cellStyle name="Normal 5 2 6 3 4" xfId="40126"/>
    <cellStyle name="Normal 5 2 6 3 4 2" xfId="40127"/>
    <cellStyle name="Normal 5 2 6 3 5" xfId="40128"/>
    <cellStyle name="Normal 5 2 6 4" xfId="3302"/>
    <cellStyle name="Normal 5 2 6 4 2" xfId="40129"/>
    <cellStyle name="Normal 5 2 6 4 2 2" xfId="40130"/>
    <cellStyle name="Normal 5 2 6 4 2 2 2" xfId="40131"/>
    <cellStyle name="Normal 5 2 6 4 2 3" xfId="40132"/>
    <cellStyle name="Normal 5 2 6 4 3" xfId="40133"/>
    <cellStyle name="Normal 5 2 6 4 3 2" xfId="40134"/>
    <cellStyle name="Normal 5 2 6 4 4" xfId="40135"/>
    <cellStyle name="Normal 5 2 6 5" xfId="40136"/>
    <cellStyle name="Normal 5 2 6 5 2" xfId="40137"/>
    <cellStyle name="Normal 5 2 6 5 2 2" xfId="40138"/>
    <cellStyle name="Normal 5 2 6 5 3" xfId="40139"/>
    <cellStyle name="Normal 5 2 6 6" xfId="40140"/>
    <cellStyle name="Normal 5 2 6 6 2" xfId="40141"/>
    <cellStyle name="Normal 5 2 6 7" xfId="40142"/>
    <cellStyle name="Normal 5 2 7" xfId="718"/>
    <cellStyle name="Normal 5 2 7 2" xfId="2078"/>
    <cellStyle name="Normal 5 2 7 2 2" xfId="4798"/>
    <cellStyle name="Normal 5 2 7 2 2 2" xfId="40143"/>
    <cellStyle name="Normal 5 2 7 2 2 2 2" xfId="40144"/>
    <cellStyle name="Normal 5 2 7 2 2 2 2 2" xfId="40145"/>
    <cellStyle name="Normal 5 2 7 2 2 2 3" xfId="40146"/>
    <cellStyle name="Normal 5 2 7 2 2 3" xfId="40147"/>
    <cellStyle name="Normal 5 2 7 2 2 3 2" xfId="40148"/>
    <cellStyle name="Normal 5 2 7 2 2 4" xfId="40149"/>
    <cellStyle name="Normal 5 2 7 2 3" xfId="40150"/>
    <cellStyle name="Normal 5 2 7 2 3 2" xfId="40151"/>
    <cellStyle name="Normal 5 2 7 2 3 2 2" xfId="40152"/>
    <cellStyle name="Normal 5 2 7 2 3 3" xfId="40153"/>
    <cellStyle name="Normal 5 2 7 2 4" xfId="40154"/>
    <cellStyle name="Normal 5 2 7 2 4 2" xfId="40155"/>
    <cellStyle name="Normal 5 2 7 2 5" xfId="40156"/>
    <cellStyle name="Normal 5 2 7 3" xfId="3438"/>
    <cellStyle name="Normal 5 2 7 3 2" xfId="40157"/>
    <cellStyle name="Normal 5 2 7 3 2 2" xfId="40158"/>
    <cellStyle name="Normal 5 2 7 3 2 2 2" xfId="40159"/>
    <cellStyle name="Normal 5 2 7 3 2 3" xfId="40160"/>
    <cellStyle name="Normal 5 2 7 3 3" xfId="40161"/>
    <cellStyle name="Normal 5 2 7 3 3 2" xfId="40162"/>
    <cellStyle name="Normal 5 2 7 3 4" xfId="40163"/>
    <cellStyle name="Normal 5 2 7 4" xfId="40164"/>
    <cellStyle name="Normal 5 2 7 4 2" xfId="40165"/>
    <cellStyle name="Normal 5 2 7 4 2 2" xfId="40166"/>
    <cellStyle name="Normal 5 2 7 4 3" xfId="40167"/>
    <cellStyle name="Normal 5 2 7 5" xfId="40168"/>
    <cellStyle name="Normal 5 2 7 5 2" xfId="40169"/>
    <cellStyle name="Normal 5 2 7 6" xfId="40170"/>
    <cellStyle name="Normal 5 2 8" xfId="1398"/>
    <cellStyle name="Normal 5 2 8 2" xfId="4118"/>
    <cellStyle name="Normal 5 2 8 2 2" xfId="40171"/>
    <cellStyle name="Normal 5 2 8 2 2 2" xfId="40172"/>
    <cellStyle name="Normal 5 2 8 2 2 2 2" xfId="40173"/>
    <cellStyle name="Normal 5 2 8 2 2 3" xfId="40174"/>
    <cellStyle name="Normal 5 2 8 2 3" xfId="40175"/>
    <cellStyle name="Normal 5 2 8 2 3 2" xfId="40176"/>
    <cellStyle name="Normal 5 2 8 2 4" xfId="40177"/>
    <cellStyle name="Normal 5 2 8 3" xfId="40178"/>
    <cellStyle name="Normal 5 2 8 3 2" xfId="40179"/>
    <cellStyle name="Normal 5 2 8 3 2 2" xfId="40180"/>
    <cellStyle name="Normal 5 2 8 3 3" xfId="40181"/>
    <cellStyle name="Normal 5 2 8 4" xfId="40182"/>
    <cellStyle name="Normal 5 2 8 4 2" xfId="40183"/>
    <cellStyle name="Normal 5 2 8 5" xfId="40184"/>
    <cellStyle name="Normal 5 2 9" xfId="2758"/>
    <cellStyle name="Normal 5 2 9 2" xfId="40185"/>
    <cellStyle name="Normal 5 2 9 2 2" xfId="40186"/>
    <cellStyle name="Normal 5 2 9 2 2 2" xfId="40187"/>
    <cellStyle name="Normal 5 2 9 2 3" xfId="40188"/>
    <cellStyle name="Normal 5 2 9 3" xfId="40189"/>
    <cellStyle name="Normal 5 2 9 3 2" xfId="40190"/>
    <cellStyle name="Normal 5 2 9 4" xfId="40191"/>
    <cellStyle name="Normal 5 3" xfId="54"/>
    <cellStyle name="Normal 5 3 10" xfId="40192"/>
    <cellStyle name="Normal 5 3 10 2" xfId="40193"/>
    <cellStyle name="Normal 5 3 11" xfId="40194"/>
    <cellStyle name="Normal 5 3 2" xfId="122"/>
    <cellStyle name="Normal 5 3 2 10" xfId="40195"/>
    <cellStyle name="Normal 5 3 2 2" xfId="259"/>
    <cellStyle name="Normal 5 3 2 2 2" xfId="531"/>
    <cellStyle name="Normal 5 3 2 2 2 2" xfId="1211"/>
    <cellStyle name="Normal 5 3 2 2 2 2 2" xfId="2571"/>
    <cellStyle name="Normal 5 3 2 2 2 2 2 2" xfId="5291"/>
    <cellStyle name="Normal 5 3 2 2 2 2 2 2 2" xfId="40196"/>
    <cellStyle name="Normal 5 3 2 2 2 2 2 2 2 2" xfId="40197"/>
    <cellStyle name="Normal 5 3 2 2 2 2 2 2 2 2 2" xfId="40198"/>
    <cellStyle name="Normal 5 3 2 2 2 2 2 2 2 3" xfId="40199"/>
    <cellStyle name="Normal 5 3 2 2 2 2 2 2 3" xfId="40200"/>
    <cellStyle name="Normal 5 3 2 2 2 2 2 2 3 2" xfId="40201"/>
    <cellStyle name="Normal 5 3 2 2 2 2 2 2 4" xfId="40202"/>
    <cellStyle name="Normal 5 3 2 2 2 2 2 3" xfId="40203"/>
    <cellStyle name="Normal 5 3 2 2 2 2 2 3 2" xfId="40204"/>
    <cellStyle name="Normal 5 3 2 2 2 2 2 3 2 2" xfId="40205"/>
    <cellStyle name="Normal 5 3 2 2 2 2 2 3 3" xfId="40206"/>
    <cellStyle name="Normal 5 3 2 2 2 2 2 4" xfId="40207"/>
    <cellStyle name="Normal 5 3 2 2 2 2 2 4 2" xfId="40208"/>
    <cellStyle name="Normal 5 3 2 2 2 2 2 5" xfId="40209"/>
    <cellStyle name="Normal 5 3 2 2 2 2 3" xfId="3931"/>
    <cellStyle name="Normal 5 3 2 2 2 2 3 2" xfId="40210"/>
    <cellStyle name="Normal 5 3 2 2 2 2 3 2 2" xfId="40211"/>
    <cellStyle name="Normal 5 3 2 2 2 2 3 2 2 2" xfId="40212"/>
    <cellStyle name="Normal 5 3 2 2 2 2 3 2 3" xfId="40213"/>
    <cellStyle name="Normal 5 3 2 2 2 2 3 3" xfId="40214"/>
    <cellStyle name="Normal 5 3 2 2 2 2 3 3 2" xfId="40215"/>
    <cellStyle name="Normal 5 3 2 2 2 2 3 4" xfId="40216"/>
    <cellStyle name="Normal 5 3 2 2 2 2 4" xfId="40217"/>
    <cellStyle name="Normal 5 3 2 2 2 2 4 2" xfId="40218"/>
    <cellStyle name="Normal 5 3 2 2 2 2 4 2 2" xfId="40219"/>
    <cellStyle name="Normal 5 3 2 2 2 2 4 3" xfId="40220"/>
    <cellStyle name="Normal 5 3 2 2 2 2 5" xfId="40221"/>
    <cellStyle name="Normal 5 3 2 2 2 2 5 2" xfId="40222"/>
    <cellStyle name="Normal 5 3 2 2 2 2 6" xfId="40223"/>
    <cellStyle name="Normal 5 3 2 2 2 3" xfId="1891"/>
    <cellStyle name="Normal 5 3 2 2 2 3 2" xfId="4611"/>
    <cellStyle name="Normal 5 3 2 2 2 3 2 2" xfId="40224"/>
    <cellStyle name="Normal 5 3 2 2 2 3 2 2 2" xfId="40225"/>
    <cellStyle name="Normal 5 3 2 2 2 3 2 2 2 2" xfId="40226"/>
    <cellStyle name="Normal 5 3 2 2 2 3 2 2 3" xfId="40227"/>
    <cellStyle name="Normal 5 3 2 2 2 3 2 3" xfId="40228"/>
    <cellStyle name="Normal 5 3 2 2 2 3 2 3 2" xfId="40229"/>
    <cellStyle name="Normal 5 3 2 2 2 3 2 4" xfId="40230"/>
    <cellStyle name="Normal 5 3 2 2 2 3 3" xfId="40231"/>
    <cellStyle name="Normal 5 3 2 2 2 3 3 2" xfId="40232"/>
    <cellStyle name="Normal 5 3 2 2 2 3 3 2 2" xfId="40233"/>
    <cellStyle name="Normal 5 3 2 2 2 3 3 3" xfId="40234"/>
    <cellStyle name="Normal 5 3 2 2 2 3 4" xfId="40235"/>
    <cellStyle name="Normal 5 3 2 2 2 3 4 2" xfId="40236"/>
    <cellStyle name="Normal 5 3 2 2 2 3 5" xfId="40237"/>
    <cellStyle name="Normal 5 3 2 2 2 4" xfId="3251"/>
    <cellStyle name="Normal 5 3 2 2 2 4 2" xfId="40238"/>
    <cellStyle name="Normal 5 3 2 2 2 4 2 2" xfId="40239"/>
    <cellStyle name="Normal 5 3 2 2 2 4 2 2 2" xfId="40240"/>
    <cellStyle name="Normal 5 3 2 2 2 4 2 3" xfId="40241"/>
    <cellStyle name="Normal 5 3 2 2 2 4 3" xfId="40242"/>
    <cellStyle name="Normal 5 3 2 2 2 4 3 2" xfId="40243"/>
    <cellStyle name="Normal 5 3 2 2 2 4 4" xfId="40244"/>
    <cellStyle name="Normal 5 3 2 2 2 5" xfId="40245"/>
    <cellStyle name="Normal 5 3 2 2 2 5 2" xfId="40246"/>
    <cellStyle name="Normal 5 3 2 2 2 5 2 2" xfId="40247"/>
    <cellStyle name="Normal 5 3 2 2 2 5 3" xfId="40248"/>
    <cellStyle name="Normal 5 3 2 2 2 6" xfId="40249"/>
    <cellStyle name="Normal 5 3 2 2 2 6 2" xfId="40250"/>
    <cellStyle name="Normal 5 3 2 2 2 7" xfId="40251"/>
    <cellStyle name="Normal 5 3 2 2 3" xfId="939"/>
    <cellStyle name="Normal 5 3 2 2 3 2" xfId="2299"/>
    <cellStyle name="Normal 5 3 2 2 3 2 2" xfId="5019"/>
    <cellStyle name="Normal 5 3 2 2 3 2 2 2" xfId="40252"/>
    <cellStyle name="Normal 5 3 2 2 3 2 2 2 2" xfId="40253"/>
    <cellStyle name="Normal 5 3 2 2 3 2 2 2 2 2" xfId="40254"/>
    <cellStyle name="Normal 5 3 2 2 3 2 2 2 3" xfId="40255"/>
    <cellStyle name="Normal 5 3 2 2 3 2 2 3" xfId="40256"/>
    <cellStyle name="Normal 5 3 2 2 3 2 2 3 2" xfId="40257"/>
    <cellStyle name="Normal 5 3 2 2 3 2 2 4" xfId="40258"/>
    <cellStyle name="Normal 5 3 2 2 3 2 3" xfId="40259"/>
    <cellStyle name="Normal 5 3 2 2 3 2 3 2" xfId="40260"/>
    <cellStyle name="Normal 5 3 2 2 3 2 3 2 2" xfId="40261"/>
    <cellStyle name="Normal 5 3 2 2 3 2 3 3" xfId="40262"/>
    <cellStyle name="Normal 5 3 2 2 3 2 4" xfId="40263"/>
    <cellStyle name="Normal 5 3 2 2 3 2 4 2" xfId="40264"/>
    <cellStyle name="Normal 5 3 2 2 3 2 5" xfId="40265"/>
    <cellStyle name="Normal 5 3 2 2 3 3" xfId="3659"/>
    <cellStyle name="Normal 5 3 2 2 3 3 2" xfId="40266"/>
    <cellStyle name="Normal 5 3 2 2 3 3 2 2" xfId="40267"/>
    <cellStyle name="Normal 5 3 2 2 3 3 2 2 2" xfId="40268"/>
    <cellStyle name="Normal 5 3 2 2 3 3 2 3" xfId="40269"/>
    <cellStyle name="Normal 5 3 2 2 3 3 3" xfId="40270"/>
    <cellStyle name="Normal 5 3 2 2 3 3 3 2" xfId="40271"/>
    <cellStyle name="Normal 5 3 2 2 3 3 4" xfId="40272"/>
    <cellStyle name="Normal 5 3 2 2 3 4" xfId="40273"/>
    <cellStyle name="Normal 5 3 2 2 3 4 2" xfId="40274"/>
    <cellStyle name="Normal 5 3 2 2 3 4 2 2" xfId="40275"/>
    <cellStyle name="Normal 5 3 2 2 3 4 3" xfId="40276"/>
    <cellStyle name="Normal 5 3 2 2 3 5" xfId="40277"/>
    <cellStyle name="Normal 5 3 2 2 3 5 2" xfId="40278"/>
    <cellStyle name="Normal 5 3 2 2 3 6" xfId="40279"/>
    <cellStyle name="Normal 5 3 2 2 4" xfId="1619"/>
    <cellStyle name="Normal 5 3 2 2 4 2" xfId="4339"/>
    <cellStyle name="Normal 5 3 2 2 4 2 2" xfId="40280"/>
    <cellStyle name="Normal 5 3 2 2 4 2 2 2" xfId="40281"/>
    <cellStyle name="Normal 5 3 2 2 4 2 2 2 2" xfId="40282"/>
    <cellStyle name="Normal 5 3 2 2 4 2 2 3" xfId="40283"/>
    <cellStyle name="Normal 5 3 2 2 4 2 3" xfId="40284"/>
    <cellStyle name="Normal 5 3 2 2 4 2 3 2" xfId="40285"/>
    <cellStyle name="Normal 5 3 2 2 4 2 4" xfId="40286"/>
    <cellStyle name="Normal 5 3 2 2 4 3" xfId="40287"/>
    <cellStyle name="Normal 5 3 2 2 4 3 2" xfId="40288"/>
    <cellStyle name="Normal 5 3 2 2 4 3 2 2" xfId="40289"/>
    <cellStyle name="Normal 5 3 2 2 4 3 3" xfId="40290"/>
    <cellStyle name="Normal 5 3 2 2 4 4" xfId="40291"/>
    <cellStyle name="Normal 5 3 2 2 4 4 2" xfId="40292"/>
    <cellStyle name="Normal 5 3 2 2 4 5" xfId="40293"/>
    <cellStyle name="Normal 5 3 2 2 5" xfId="2979"/>
    <cellStyle name="Normal 5 3 2 2 5 2" xfId="40294"/>
    <cellStyle name="Normal 5 3 2 2 5 2 2" xfId="40295"/>
    <cellStyle name="Normal 5 3 2 2 5 2 2 2" xfId="40296"/>
    <cellStyle name="Normal 5 3 2 2 5 2 3" xfId="40297"/>
    <cellStyle name="Normal 5 3 2 2 5 3" xfId="40298"/>
    <cellStyle name="Normal 5 3 2 2 5 3 2" xfId="40299"/>
    <cellStyle name="Normal 5 3 2 2 5 4" xfId="40300"/>
    <cellStyle name="Normal 5 3 2 2 6" xfId="40301"/>
    <cellStyle name="Normal 5 3 2 2 6 2" xfId="40302"/>
    <cellStyle name="Normal 5 3 2 2 6 2 2" xfId="40303"/>
    <cellStyle name="Normal 5 3 2 2 6 3" xfId="40304"/>
    <cellStyle name="Normal 5 3 2 2 7" xfId="40305"/>
    <cellStyle name="Normal 5 3 2 2 7 2" xfId="40306"/>
    <cellStyle name="Normal 5 3 2 2 8" xfId="40307"/>
    <cellStyle name="Normal 5 3 2 3" xfId="395"/>
    <cellStyle name="Normal 5 3 2 3 2" xfId="1075"/>
    <cellStyle name="Normal 5 3 2 3 2 2" xfId="2435"/>
    <cellStyle name="Normal 5 3 2 3 2 2 2" xfId="5155"/>
    <cellStyle name="Normal 5 3 2 3 2 2 2 2" xfId="40308"/>
    <cellStyle name="Normal 5 3 2 3 2 2 2 2 2" xfId="40309"/>
    <cellStyle name="Normal 5 3 2 3 2 2 2 2 2 2" xfId="40310"/>
    <cellStyle name="Normal 5 3 2 3 2 2 2 2 3" xfId="40311"/>
    <cellStyle name="Normal 5 3 2 3 2 2 2 3" xfId="40312"/>
    <cellStyle name="Normal 5 3 2 3 2 2 2 3 2" xfId="40313"/>
    <cellStyle name="Normal 5 3 2 3 2 2 2 4" xfId="40314"/>
    <cellStyle name="Normal 5 3 2 3 2 2 3" xfId="40315"/>
    <cellStyle name="Normal 5 3 2 3 2 2 3 2" xfId="40316"/>
    <cellStyle name="Normal 5 3 2 3 2 2 3 2 2" xfId="40317"/>
    <cellStyle name="Normal 5 3 2 3 2 2 3 3" xfId="40318"/>
    <cellStyle name="Normal 5 3 2 3 2 2 4" xfId="40319"/>
    <cellStyle name="Normal 5 3 2 3 2 2 4 2" xfId="40320"/>
    <cellStyle name="Normal 5 3 2 3 2 2 5" xfId="40321"/>
    <cellStyle name="Normal 5 3 2 3 2 3" xfId="3795"/>
    <cellStyle name="Normal 5 3 2 3 2 3 2" xfId="40322"/>
    <cellStyle name="Normal 5 3 2 3 2 3 2 2" xfId="40323"/>
    <cellStyle name="Normal 5 3 2 3 2 3 2 2 2" xfId="40324"/>
    <cellStyle name="Normal 5 3 2 3 2 3 2 3" xfId="40325"/>
    <cellStyle name="Normal 5 3 2 3 2 3 3" xfId="40326"/>
    <cellStyle name="Normal 5 3 2 3 2 3 3 2" xfId="40327"/>
    <cellStyle name="Normal 5 3 2 3 2 3 4" xfId="40328"/>
    <cellStyle name="Normal 5 3 2 3 2 4" xfId="40329"/>
    <cellStyle name="Normal 5 3 2 3 2 4 2" xfId="40330"/>
    <cellStyle name="Normal 5 3 2 3 2 4 2 2" xfId="40331"/>
    <cellStyle name="Normal 5 3 2 3 2 4 3" xfId="40332"/>
    <cellStyle name="Normal 5 3 2 3 2 5" xfId="40333"/>
    <cellStyle name="Normal 5 3 2 3 2 5 2" xfId="40334"/>
    <cellStyle name="Normal 5 3 2 3 2 6" xfId="40335"/>
    <cellStyle name="Normal 5 3 2 3 3" xfId="1755"/>
    <cellStyle name="Normal 5 3 2 3 3 2" xfId="4475"/>
    <cellStyle name="Normal 5 3 2 3 3 2 2" xfId="40336"/>
    <cellStyle name="Normal 5 3 2 3 3 2 2 2" xfId="40337"/>
    <cellStyle name="Normal 5 3 2 3 3 2 2 2 2" xfId="40338"/>
    <cellStyle name="Normal 5 3 2 3 3 2 2 3" xfId="40339"/>
    <cellStyle name="Normal 5 3 2 3 3 2 3" xfId="40340"/>
    <cellStyle name="Normal 5 3 2 3 3 2 3 2" xfId="40341"/>
    <cellStyle name="Normal 5 3 2 3 3 2 4" xfId="40342"/>
    <cellStyle name="Normal 5 3 2 3 3 3" xfId="40343"/>
    <cellStyle name="Normal 5 3 2 3 3 3 2" xfId="40344"/>
    <cellStyle name="Normal 5 3 2 3 3 3 2 2" xfId="40345"/>
    <cellStyle name="Normal 5 3 2 3 3 3 3" xfId="40346"/>
    <cellStyle name="Normal 5 3 2 3 3 4" xfId="40347"/>
    <cellStyle name="Normal 5 3 2 3 3 4 2" xfId="40348"/>
    <cellStyle name="Normal 5 3 2 3 3 5" xfId="40349"/>
    <cellStyle name="Normal 5 3 2 3 4" xfId="3115"/>
    <cellStyle name="Normal 5 3 2 3 4 2" xfId="40350"/>
    <cellStyle name="Normal 5 3 2 3 4 2 2" xfId="40351"/>
    <cellStyle name="Normal 5 3 2 3 4 2 2 2" xfId="40352"/>
    <cellStyle name="Normal 5 3 2 3 4 2 3" xfId="40353"/>
    <cellStyle name="Normal 5 3 2 3 4 3" xfId="40354"/>
    <cellStyle name="Normal 5 3 2 3 4 3 2" xfId="40355"/>
    <cellStyle name="Normal 5 3 2 3 4 4" xfId="40356"/>
    <cellStyle name="Normal 5 3 2 3 5" xfId="40357"/>
    <cellStyle name="Normal 5 3 2 3 5 2" xfId="40358"/>
    <cellStyle name="Normal 5 3 2 3 5 2 2" xfId="40359"/>
    <cellStyle name="Normal 5 3 2 3 5 3" xfId="40360"/>
    <cellStyle name="Normal 5 3 2 3 6" xfId="40361"/>
    <cellStyle name="Normal 5 3 2 3 6 2" xfId="40362"/>
    <cellStyle name="Normal 5 3 2 3 7" xfId="40363"/>
    <cellStyle name="Normal 5 3 2 4" xfId="667"/>
    <cellStyle name="Normal 5 3 2 4 2" xfId="1347"/>
    <cellStyle name="Normal 5 3 2 4 2 2" xfId="2707"/>
    <cellStyle name="Normal 5 3 2 4 2 2 2" xfId="5427"/>
    <cellStyle name="Normal 5 3 2 4 2 2 2 2" xfId="40364"/>
    <cellStyle name="Normal 5 3 2 4 2 2 2 2 2" xfId="40365"/>
    <cellStyle name="Normal 5 3 2 4 2 2 2 2 2 2" xfId="40366"/>
    <cellStyle name="Normal 5 3 2 4 2 2 2 2 3" xfId="40367"/>
    <cellStyle name="Normal 5 3 2 4 2 2 2 3" xfId="40368"/>
    <cellStyle name="Normal 5 3 2 4 2 2 2 3 2" xfId="40369"/>
    <cellStyle name="Normal 5 3 2 4 2 2 2 4" xfId="40370"/>
    <cellStyle name="Normal 5 3 2 4 2 2 3" xfId="40371"/>
    <cellStyle name="Normal 5 3 2 4 2 2 3 2" xfId="40372"/>
    <cellStyle name="Normal 5 3 2 4 2 2 3 2 2" xfId="40373"/>
    <cellStyle name="Normal 5 3 2 4 2 2 3 3" xfId="40374"/>
    <cellStyle name="Normal 5 3 2 4 2 2 4" xfId="40375"/>
    <cellStyle name="Normal 5 3 2 4 2 2 4 2" xfId="40376"/>
    <cellStyle name="Normal 5 3 2 4 2 2 5" xfId="40377"/>
    <cellStyle name="Normal 5 3 2 4 2 3" xfId="4067"/>
    <cellStyle name="Normal 5 3 2 4 2 3 2" xfId="40378"/>
    <cellStyle name="Normal 5 3 2 4 2 3 2 2" xfId="40379"/>
    <cellStyle name="Normal 5 3 2 4 2 3 2 2 2" xfId="40380"/>
    <cellStyle name="Normal 5 3 2 4 2 3 2 3" xfId="40381"/>
    <cellStyle name="Normal 5 3 2 4 2 3 3" xfId="40382"/>
    <cellStyle name="Normal 5 3 2 4 2 3 3 2" xfId="40383"/>
    <cellStyle name="Normal 5 3 2 4 2 3 4" xfId="40384"/>
    <cellStyle name="Normal 5 3 2 4 2 4" xfId="40385"/>
    <cellStyle name="Normal 5 3 2 4 2 4 2" xfId="40386"/>
    <cellStyle name="Normal 5 3 2 4 2 4 2 2" xfId="40387"/>
    <cellStyle name="Normal 5 3 2 4 2 4 3" xfId="40388"/>
    <cellStyle name="Normal 5 3 2 4 2 5" xfId="40389"/>
    <cellStyle name="Normal 5 3 2 4 2 5 2" xfId="40390"/>
    <cellStyle name="Normal 5 3 2 4 2 6" xfId="40391"/>
    <cellStyle name="Normal 5 3 2 4 3" xfId="2027"/>
    <cellStyle name="Normal 5 3 2 4 3 2" xfId="4747"/>
    <cellStyle name="Normal 5 3 2 4 3 2 2" xfId="40392"/>
    <cellStyle name="Normal 5 3 2 4 3 2 2 2" xfId="40393"/>
    <cellStyle name="Normal 5 3 2 4 3 2 2 2 2" xfId="40394"/>
    <cellStyle name="Normal 5 3 2 4 3 2 2 3" xfId="40395"/>
    <cellStyle name="Normal 5 3 2 4 3 2 3" xfId="40396"/>
    <cellStyle name="Normal 5 3 2 4 3 2 3 2" xfId="40397"/>
    <cellStyle name="Normal 5 3 2 4 3 2 4" xfId="40398"/>
    <cellStyle name="Normal 5 3 2 4 3 3" xfId="40399"/>
    <cellStyle name="Normal 5 3 2 4 3 3 2" xfId="40400"/>
    <cellStyle name="Normal 5 3 2 4 3 3 2 2" xfId="40401"/>
    <cellStyle name="Normal 5 3 2 4 3 3 3" xfId="40402"/>
    <cellStyle name="Normal 5 3 2 4 3 4" xfId="40403"/>
    <cellStyle name="Normal 5 3 2 4 3 4 2" xfId="40404"/>
    <cellStyle name="Normal 5 3 2 4 3 5" xfId="40405"/>
    <cellStyle name="Normal 5 3 2 4 4" xfId="3387"/>
    <cellStyle name="Normal 5 3 2 4 4 2" xfId="40406"/>
    <cellStyle name="Normal 5 3 2 4 4 2 2" xfId="40407"/>
    <cellStyle name="Normal 5 3 2 4 4 2 2 2" xfId="40408"/>
    <cellStyle name="Normal 5 3 2 4 4 2 3" xfId="40409"/>
    <cellStyle name="Normal 5 3 2 4 4 3" xfId="40410"/>
    <cellStyle name="Normal 5 3 2 4 4 3 2" xfId="40411"/>
    <cellStyle name="Normal 5 3 2 4 4 4" xfId="40412"/>
    <cellStyle name="Normal 5 3 2 4 5" xfId="40413"/>
    <cellStyle name="Normal 5 3 2 4 5 2" xfId="40414"/>
    <cellStyle name="Normal 5 3 2 4 5 2 2" xfId="40415"/>
    <cellStyle name="Normal 5 3 2 4 5 3" xfId="40416"/>
    <cellStyle name="Normal 5 3 2 4 6" xfId="40417"/>
    <cellStyle name="Normal 5 3 2 4 6 2" xfId="40418"/>
    <cellStyle name="Normal 5 3 2 4 7" xfId="40419"/>
    <cellStyle name="Normal 5 3 2 5" xfId="803"/>
    <cellStyle name="Normal 5 3 2 5 2" xfId="2163"/>
    <cellStyle name="Normal 5 3 2 5 2 2" xfId="4883"/>
    <cellStyle name="Normal 5 3 2 5 2 2 2" xfId="40420"/>
    <cellStyle name="Normal 5 3 2 5 2 2 2 2" xfId="40421"/>
    <cellStyle name="Normal 5 3 2 5 2 2 2 2 2" xfId="40422"/>
    <cellStyle name="Normal 5 3 2 5 2 2 2 3" xfId="40423"/>
    <cellStyle name="Normal 5 3 2 5 2 2 3" xfId="40424"/>
    <cellStyle name="Normal 5 3 2 5 2 2 3 2" xfId="40425"/>
    <cellStyle name="Normal 5 3 2 5 2 2 4" xfId="40426"/>
    <cellStyle name="Normal 5 3 2 5 2 3" xfId="40427"/>
    <cellStyle name="Normal 5 3 2 5 2 3 2" xfId="40428"/>
    <cellStyle name="Normal 5 3 2 5 2 3 2 2" xfId="40429"/>
    <cellStyle name="Normal 5 3 2 5 2 3 3" xfId="40430"/>
    <cellStyle name="Normal 5 3 2 5 2 4" xfId="40431"/>
    <cellStyle name="Normal 5 3 2 5 2 4 2" xfId="40432"/>
    <cellStyle name="Normal 5 3 2 5 2 5" xfId="40433"/>
    <cellStyle name="Normal 5 3 2 5 3" xfId="3523"/>
    <cellStyle name="Normal 5 3 2 5 3 2" xfId="40434"/>
    <cellStyle name="Normal 5 3 2 5 3 2 2" xfId="40435"/>
    <cellStyle name="Normal 5 3 2 5 3 2 2 2" xfId="40436"/>
    <cellStyle name="Normal 5 3 2 5 3 2 3" xfId="40437"/>
    <cellStyle name="Normal 5 3 2 5 3 3" xfId="40438"/>
    <cellStyle name="Normal 5 3 2 5 3 3 2" xfId="40439"/>
    <cellStyle name="Normal 5 3 2 5 3 4" xfId="40440"/>
    <cellStyle name="Normal 5 3 2 5 4" xfId="40441"/>
    <cellStyle name="Normal 5 3 2 5 4 2" xfId="40442"/>
    <cellStyle name="Normal 5 3 2 5 4 2 2" xfId="40443"/>
    <cellStyle name="Normal 5 3 2 5 4 3" xfId="40444"/>
    <cellStyle name="Normal 5 3 2 5 5" xfId="40445"/>
    <cellStyle name="Normal 5 3 2 5 5 2" xfId="40446"/>
    <cellStyle name="Normal 5 3 2 5 6" xfId="40447"/>
    <cellStyle name="Normal 5 3 2 6" xfId="1483"/>
    <cellStyle name="Normal 5 3 2 6 2" xfId="4203"/>
    <cellStyle name="Normal 5 3 2 6 2 2" xfId="40448"/>
    <cellStyle name="Normal 5 3 2 6 2 2 2" xfId="40449"/>
    <cellStyle name="Normal 5 3 2 6 2 2 2 2" xfId="40450"/>
    <cellStyle name="Normal 5 3 2 6 2 2 3" xfId="40451"/>
    <cellStyle name="Normal 5 3 2 6 2 3" xfId="40452"/>
    <cellStyle name="Normal 5 3 2 6 2 3 2" xfId="40453"/>
    <cellStyle name="Normal 5 3 2 6 2 4" xfId="40454"/>
    <cellStyle name="Normal 5 3 2 6 3" xfId="40455"/>
    <cellStyle name="Normal 5 3 2 6 3 2" xfId="40456"/>
    <cellStyle name="Normal 5 3 2 6 3 2 2" xfId="40457"/>
    <cellStyle name="Normal 5 3 2 6 3 3" xfId="40458"/>
    <cellStyle name="Normal 5 3 2 6 4" xfId="40459"/>
    <cellStyle name="Normal 5 3 2 6 4 2" xfId="40460"/>
    <cellStyle name="Normal 5 3 2 6 5" xfId="40461"/>
    <cellStyle name="Normal 5 3 2 7" xfId="2843"/>
    <cellStyle name="Normal 5 3 2 7 2" xfId="40462"/>
    <cellStyle name="Normal 5 3 2 7 2 2" xfId="40463"/>
    <cellStyle name="Normal 5 3 2 7 2 2 2" xfId="40464"/>
    <cellStyle name="Normal 5 3 2 7 2 3" xfId="40465"/>
    <cellStyle name="Normal 5 3 2 7 3" xfId="40466"/>
    <cellStyle name="Normal 5 3 2 7 3 2" xfId="40467"/>
    <cellStyle name="Normal 5 3 2 7 4" xfId="40468"/>
    <cellStyle name="Normal 5 3 2 8" xfId="40469"/>
    <cellStyle name="Normal 5 3 2 8 2" xfId="40470"/>
    <cellStyle name="Normal 5 3 2 8 2 2" xfId="40471"/>
    <cellStyle name="Normal 5 3 2 8 3" xfId="40472"/>
    <cellStyle name="Normal 5 3 2 9" xfId="40473"/>
    <cellStyle name="Normal 5 3 2 9 2" xfId="40474"/>
    <cellStyle name="Normal 5 3 3" xfId="191"/>
    <cellStyle name="Normal 5 3 3 2" xfId="463"/>
    <cellStyle name="Normal 5 3 3 2 2" xfId="1143"/>
    <cellStyle name="Normal 5 3 3 2 2 2" xfId="2503"/>
    <cellStyle name="Normal 5 3 3 2 2 2 2" xfId="5223"/>
    <cellStyle name="Normal 5 3 3 2 2 2 2 2" xfId="40475"/>
    <cellStyle name="Normal 5 3 3 2 2 2 2 2 2" xfId="40476"/>
    <cellStyle name="Normal 5 3 3 2 2 2 2 2 2 2" xfId="40477"/>
    <cellStyle name="Normal 5 3 3 2 2 2 2 2 3" xfId="40478"/>
    <cellStyle name="Normal 5 3 3 2 2 2 2 3" xfId="40479"/>
    <cellStyle name="Normal 5 3 3 2 2 2 2 3 2" xfId="40480"/>
    <cellStyle name="Normal 5 3 3 2 2 2 2 4" xfId="40481"/>
    <cellStyle name="Normal 5 3 3 2 2 2 3" xfId="40482"/>
    <cellStyle name="Normal 5 3 3 2 2 2 3 2" xfId="40483"/>
    <cellStyle name="Normal 5 3 3 2 2 2 3 2 2" xfId="40484"/>
    <cellStyle name="Normal 5 3 3 2 2 2 3 3" xfId="40485"/>
    <cellStyle name="Normal 5 3 3 2 2 2 4" xfId="40486"/>
    <cellStyle name="Normal 5 3 3 2 2 2 4 2" xfId="40487"/>
    <cellStyle name="Normal 5 3 3 2 2 2 5" xfId="40488"/>
    <cellStyle name="Normal 5 3 3 2 2 3" xfId="3863"/>
    <cellStyle name="Normal 5 3 3 2 2 3 2" xfId="40489"/>
    <cellStyle name="Normal 5 3 3 2 2 3 2 2" xfId="40490"/>
    <cellStyle name="Normal 5 3 3 2 2 3 2 2 2" xfId="40491"/>
    <cellStyle name="Normal 5 3 3 2 2 3 2 3" xfId="40492"/>
    <cellStyle name="Normal 5 3 3 2 2 3 3" xfId="40493"/>
    <cellStyle name="Normal 5 3 3 2 2 3 3 2" xfId="40494"/>
    <cellStyle name="Normal 5 3 3 2 2 3 4" xfId="40495"/>
    <cellStyle name="Normal 5 3 3 2 2 4" xfId="40496"/>
    <cellStyle name="Normal 5 3 3 2 2 4 2" xfId="40497"/>
    <cellStyle name="Normal 5 3 3 2 2 4 2 2" xfId="40498"/>
    <cellStyle name="Normal 5 3 3 2 2 4 3" xfId="40499"/>
    <cellStyle name="Normal 5 3 3 2 2 5" xfId="40500"/>
    <cellStyle name="Normal 5 3 3 2 2 5 2" xfId="40501"/>
    <cellStyle name="Normal 5 3 3 2 2 6" xfId="40502"/>
    <cellStyle name="Normal 5 3 3 2 3" xfId="1823"/>
    <cellStyle name="Normal 5 3 3 2 3 2" xfId="4543"/>
    <cellStyle name="Normal 5 3 3 2 3 2 2" xfId="40503"/>
    <cellStyle name="Normal 5 3 3 2 3 2 2 2" xfId="40504"/>
    <cellStyle name="Normal 5 3 3 2 3 2 2 2 2" xfId="40505"/>
    <cellStyle name="Normal 5 3 3 2 3 2 2 3" xfId="40506"/>
    <cellStyle name="Normal 5 3 3 2 3 2 3" xfId="40507"/>
    <cellStyle name="Normal 5 3 3 2 3 2 3 2" xfId="40508"/>
    <cellStyle name="Normal 5 3 3 2 3 2 4" xfId="40509"/>
    <cellStyle name="Normal 5 3 3 2 3 3" xfId="40510"/>
    <cellStyle name="Normal 5 3 3 2 3 3 2" xfId="40511"/>
    <cellStyle name="Normal 5 3 3 2 3 3 2 2" xfId="40512"/>
    <cellStyle name="Normal 5 3 3 2 3 3 3" xfId="40513"/>
    <cellStyle name="Normal 5 3 3 2 3 4" xfId="40514"/>
    <cellStyle name="Normal 5 3 3 2 3 4 2" xfId="40515"/>
    <cellStyle name="Normal 5 3 3 2 3 5" xfId="40516"/>
    <cellStyle name="Normal 5 3 3 2 4" xfId="3183"/>
    <cellStyle name="Normal 5 3 3 2 4 2" xfId="40517"/>
    <cellStyle name="Normal 5 3 3 2 4 2 2" xfId="40518"/>
    <cellStyle name="Normal 5 3 3 2 4 2 2 2" xfId="40519"/>
    <cellStyle name="Normal 5 3 3 2 4 2 3" xfId="40520"/>
    <cellStyle name="Normal 5 3 3 2 4 3" xfId="40521"/>
    <cellStyle name="Normal 5 3 3 2 4 3 2" xfId="40522"/>
    <cellStyle name="Normal 5 3 3 2 4 4" xfId="40523"/>
    <cellStyle name="Normal 5 3 3 2 5" xfId="40524"/>
    <cellStyle name="Normal 5 3 3 2 5 2" xfId="40525"/>
    <cellStyle name="Normal 5 3 3 2 5 2 2" xfId="40526"/>
    <cellStyle name="Normal 5 3 3 2 5 3" xfId="40527"/>
    <cellStyle name="Normal 5 3 3 2 6" xfId="40528"/>
    <cellStyle name="Normal 5 3 3 2 6 2" xfId="40529"/>
    <cellStyle name="Normal 5 3 3 2 7" xfId="40530"/>
    <cellStyle name="Normal 5 3 3 3" xfId="871"/>
    <cellStyle name="Normal 5 3 3 3 2" xfId="2231"/>
    <cellStyle name="Normal 5 3 3 3 2 2" xfId="4951"/>
    <cellStyle name="Normal 5 3 3 3 2 2 2" xfId="40531"/>
    <cellStyle name="Normal 5 3 3 3 2 2 2 2" xfId="40532"/>
    <cellStyle name="Normal 5 3 3 3 2 2 2 2 2" xfId="40533"/>
    <cellStyle name="Normal 5 3 3 3 2 2 2 3" xfId="40534"/>
    <cellStyle name="Normal 5 3 3 3 2 2 3" xfId="40535"/>
    <cellStyle name="Normal 5 3 3 3 2 2 3 2" xfId="40536"/>
    <cellStyle name="Normal 5 3 3 3 2 2 4" xfId="40537"/>
    <cellStyle name="Normal 5 3 3 3 2 3" xfId="40538"/>
    <cellStyle name="Normal 5 3 3 3 2 3 2" xfId="40539"/>
    <cellStyle name="Normal 5 3 3 3 2 3 2 2" xfId="40540"/>
    <cellStyle name="Normal 5 3 3 3 2 3 3" xfId="40541"/>
    <cellStyle name="Normal 5 3 3 3 2 4" xfId="40542"/>
    <cellStyle name="Normal 5 3 3 3 2 4 2" xfId="40543"/>
    <cellStyle name="Normal 5 3 3 3 2 5" xfId="40544"/>
    <cellStyle name="Normal 5 3 3 3 3" xfId="3591"/>
    <cellStyle name="Normal 5 3 3 3 3 2" xfId="40545"/>
    <cellStyle name="Normal 5 3 3 3 3 2 2" xfId="40546"/>
    <cellStyle name="Normal 5 3 3 3 3 2 2 2" xfId="40547"/>
    <cellStyle name="Normal 5 3 3 3 3 2 3" xfId="40548"/>
    <cellStyle name="Normal 5 3 3 3 3 3" xfId="40549"/>
    <cellStyle name="Normal 5 3 3 3 3 3 2" xfId="40550"/>
    <cellStyle name="Normal 5 3 3 3 3 4" xfId="40551"/>
    <cellStyle name="Normal 5 3 3 3 4" xfId="40552"/>
    <cellStyle name="Normal 5 3 3 3 4 2" xfId="40553"/>
    <cellStyle name="Normal 5 3 3 3 4 2 2" xfId="40554"/>
    <cellStyle name="Normal 5 3 3 3 4 3" xfId="40555"/>
    <cellStyle name="Normal 5 3 3 3 5" xfId="40556"/>
    <cellStyle name="Normal 5 3 3 3 5 2" xfId="40557"/>
    <cellStyle name="Normal 5 3 3 3 6" xfId="40558"/>
    <cellStyle name="Normal 5 3 3 4" xfId="1551"/>
    <cellStyle name="Normal 5 3 3 4 2" xfId="4271"/>
    <cellStyle name="Normal 5 3 3 4 2 2" xfId="40559"/>
    <cellStyle name="Normal 5 3 3 4 2 2 2" xfId="40560"/>
    <cellStyle name="Normal 5 3 3 4 2 2 2 2" xfId="40561"/>
    <cellStyle name="Normal 5 3 3 4 2 2 3" xfId="40562"/>
    <cellStyle name="Normal 5 3 3 4 2 3" xfId="40563"/>
    <cellStyle name="Normal 5 3 3 4 2 3 2" xfId="40564"/>
    <cellStyle name="Normal 5 3 3 4 2 4" xfId="40565"/>
    <cellStyle name="Normal 5 3 3 4 3" xfId="40566"/>
    <cellStyle name="Normal 5 3 3 4 3 2" xfId="40567"/>
    <cellStyle name="Normal 5 3 3 4 3 2 2" xfId="40568"/>
    <cellStyle name="Normal 5 3 3 4 3 3" xfId="40569"/>
    <cellStyle name="Normal 5 3 3 4 4" xfId="40570"/>
    <cellStyle name="Normal 5 3 3 4 4 2" xfId="40571"/>
    <cellStyle name="Normal 5 3 3 4 5" xfId="40572"/>
    <cellStyle name="Normal 5 3 3 5" xfId="2911"/>
    <cellStyle name="Normal 5 3 3 5 2" xfId="40573"/>
    <cellStyle name="Normal 5 3 3 5 2 2" xfId="40574"/>
    <cellStyle name="Normal 5 3 3 5 2 2 2" xfId="40575"/>
    <cellStyle name="Normal 5 3 3 5 2 3" xfId="40576"/>
    <cellStyle name="Normal 5 3 3 5 3" xfId="40577"/>
    <cellStyle name="Normal 5 3 3 5 3 2" xfId="40578"/>
    <cellStyle name="Normal 5 3 3 5 4" xfId="40579"/>
    <cellStyle name="Normal 5 3 3 6" xfId="40580"/>
    <cellStyle name="Normal 5 3 3 6 2" xfId="40581"/>
    <cellStyle name="Normal 5 3 3 6 2 2" xfId="40582"/>
    <cellStyle name="Normal 5 3 3 6 3" xfId="40583"/>
    <cellStyle name="Normal 5 3 3 7" xfId="40584"/>
    <cellStyle name="Normal 5 3 3 7 2" xfId="40585"/>
    <cellStyle name="Normal 5 3 3 8" xfId="40586"/>
    <cellStyle name="Normal 5 3 4" xfId="327"/>
    <cellStyle name="Normal 5 3 4 2" xfId="1007"/>
    <cellStyle name="Normal 5 3 4 2 2" xfId="2367"/>
    <cellStyle name="Normal 5 3 4 2 2 2" xfId="5087"/>
    <cellStyle name="Normal 5 3 4 2 2 2 2" xfId="40587"/>
    <cellStyle name="Normal 5 3 4 2 2 2 2 2" xfId="40588"/>
    <cellStyle name="Normal 5 3 4 2 2 2 2 2 2" xfId="40589"/>
    <cellStyle name="Normal 5 3 4 2 2 2 2 3" xfId="40590"/>
    <cellStyle name="Normal 5 3 4 2 2 2 3" xfId="40591"/>
    <cellStyle name="Normal 5 3 4 2 2 2 3 2" xfId="40592"/>
    <cellStyle name="Normal 5 3 4 2 2 2 4" xfId="40593"/>
    <cellStyle name="Normal 5 3 4 2 2 3" xfId="40594"/>
    <cellStyle name="Normal 5 3 4 2 2 3 2" xfId="40595"/>
    <cellStyle name="Normal 5 3 4 2 2 3 2 2" xfId="40596"/>
    <cellStyle name="Normal 5 3 4 2 2 3 3" xfId="40597"/>
    <cellStyle name="Normal 5 3 4 2 2 4" xfId="40598"/>
    <cellStyle name="Normal 5 3 4 2 2 4 2" xfId="40599"/>
    <cellStyle name="Normal 5 3 4 2 2 5" xfId="40600"/>
    <cellStyle name="Normal 5 3 4 2 3" xfId="3727"/>
    <cellStyle name="Normal 5 3 4 2 3 2" xfId="40601"/>
    <cellStyle name="Normal 5 3 4 2 3 2 2" xfId="40602"/>
    <cellStyle name="Normal 5 3 4 2 3 2 2 2" xfId="40603"/>
    <cellStyle name="Normal 5 3 4 2 3 2 3" xfId="40604"/>
    <cellStyle name="Normal 5 3 4 2 3 3" xfId="40605"/>
    <cellStyle name="Normal 5 3 4 2 3 3 2" xfId="40606"/>
    <cellStyle name="Normal 5 3 4 2 3 4" xfId="40607"/>
    <cellStyle name="Normal 5 3 4 2 4" xfId="40608"/>
    <cellStyle name="Normal 5 3 4 2 4 2" xfId="40609"/>
    <cellStyle name="Normal 5 3 4 2 4 2 2" xfId="40610"/>
    <cellStyle name="Normal 5 3 4 2 4 3" xfId="40611"/>
    <cellStyle name="Normal 5 3 4 2 5" xfId="40612"/>
    <cellStyle name="Normal 5 3 4 2 5 2" xfId="40613"/>
    <cellStyle name="Normal 5 3 4 2 6" xfId="40614"/>
    <cellStyle name="Normal 5 3 4 3" xfId="1687"/>
    <cellStyle name="Normal 5 3 4 3 2" xfId="4407"/>
    <cellStyle name="Normal 5 3 4 3 2 2" xfId="40615"/>
    <cellStyle name="Normal 5 3 4 3 2 2 2" xfId="40616"/>
    <cellStyle name="Normal 5 3 4 3 2 2 2 2" xfId="40617"/>
    <cellStyle name="Normal 5 3 4 3 2 2 3" xfId="40618"/>
    <cellStyle name="Normal 5 3 4 3 2 3" xfId="40619"/>
    <cellStyle name="Normal 5 3 4 3 2 3 2" xfId="40620"/>
    <cellStyle name="Normal 5 3 4 3 2 4" xfId="40621"/>
    <cellStyle name="Normal 5 3 4 3 3" xfId="40622"/>
    <cellStyle name="Normal 5 3 4 3 3 2" xfId="40623"/>
    <cellStyle name="Normal 5 3 4 3 3 2 2" xfId="40624"/>
    <cellStyle name="Normal 5 3 4 3 3 3" xfId="40625"/>
    <cellStyle name="Normal 5 3 4 3 4" xfId="40626"/>
    <cellStyle name="Normal 5 3 4 3 4 2" xfId="40627"/>
    <cellStyle name="Normal 5 3 4 3 5" xfId="40628"/>
    <cellStyle name="Normal 5 3 4 4" xfId="3047"/>
    <cellStyle name="Normal 5 3 4 4 2" xfId="40629"/>
    <cellStyle name="Normal 5 3 4 4 2 2" xfId="40630"/>
    <cellStyle name="Normal 5 3 4 4 2 2 2" xfId="40631"/>
    <cellStyle name="Normal 5 3 4 4 2 3" xfId="40632"/>
    <cellStyle name="Normal 5 3 4 4 3" xfId="40633"/>
    <cellStyle name="Normal 5 3 4 4 3 2" xfId="40634"/>
    <cellStyle name="Normal 5 3 4 4 4" xfId="40635"/>
    <cellStyle name="Normal 5 3 4 5" xfId="40636"/>
    <cellStyle name="Normal 5 3 4 5 2" xfId="40637"/>
    <cellStyle name="Normal 5 3 4 5 2 2" xfId="40638"/>
    <cellStyle name="Normal 5 3 4 5 3" xfId="40639"/>
    <cellStyle name="Normal 5 3 4 6" xfId="40640"/>
    <cellStyle name="Normal 5 3 4 6 2" xfId="40641"/>
    <cellStyle name="Normal 5 3 4 7" xfId="40642"/>
    <cellStyle name="Normal 5 3 5" xfId="599"/>
    <cellStyle name="Normal 5 3 5 2" xfId="1279"/>
    <cellStyle name="Normal 5 3 5 2 2" xfId="2639"/>
    <cellStyle name="Normal 5 3 5 2 2 2" xfId="5359"/>
    <cellStyle name="Normal 5 3 5 2 2 2 2" xfId="40643"/>
    <cellStyle name="Normal 5 3 5 2 2 2 2 2" xfId="40644"/>
    <cellStyle name="Normal 5 3 5 2 2 2 2 2 2" xfId="40645"/>
    <cellStyle name="Normal 5 3 5 2 2 2 2 3" xfId="40646"/>
    <cellStyle name="Normal 5 3 5 2 2 2 3" xfId="40647"/>
    <cellStyle name="Normal 5 3 5 2 2 2 3 2" xfId="40648"/>
    <cellStyle name="Normal 5 3 5 2 2 2 4" xfId="40649"/>
    <cellStyle name="Normal 5 3 5 2 2 3" xfId="40650"/>
    <cellStyle name="Normal 5 3 5 2 2 3 2" xfId="40651"/>
    <cellStyle name="Normal 5 3 5 2 2 3 2 2" xfId="40652"/>
    <cellStyle name="Normal 5 3 5 2 2 3 3" xfId="40653"/>
    <cellStyle name="Normal 5 3 5 2 2 4" xfId="40654"/>
    <cellStyle name="Normal 5 3 5 2 2 4 2" xfId="40655"/>
    <cellStyle name="Normal 5 3 5 2 2 5" xfId="40656"/>
    <cellStyle name="Normal 5 3 5 2 3" xfId="3999"/>
    <cellStyle name="Normal 5 3 5 2 3 2" xfId="40657"/>
    <cellStyle name="Normal 5 3 5 2 3 2 2" xfId="40658"/>
    <cellStyle name="Normal 5 3 5 2 3 2 2 2" xfId="40659"/>
    <cellStyle name="Normal 5 3 5 2 3 2 3" xfId="40660"/>
    <cellStyle name="Normal 5 3 5 2 3 3" xfId="40661"/>
    <cellStyle name="Normal 5 3 5 2 3 3 2" xfId="40662"/>
    <cellStyle name="Normal 5 3 5 2 3 4" xfId="40663"/>
    <cellStyle name="Normal 5 3 5 2 4" xfId="40664"/>
    <cellStyle name="Normal 5 3 5 2 4 2" xfId="40665"/>
    <cellStyle name="Normal 5 3 5 2 4 2 2" xfId="40666"/>
    <cellStyle name="Normal 5 3 5 2 4 3" xfId="40667"/>
    <cellStyle name="Normal 5 3 5 2 5" xfId="40668"/>
    <cellStyle name="Normal 5 3 5 2 5 2" xfId="40669"/>
    <cellStyle name="Normal 5 3 5 2 6" xfId="40670"/>
    <cellStyle name="Normal 5 3 5 3" xfId="1959"/>
    <cellStyle name="Normal 5 3 5 3 2" xfId="4679"/>
    <cellStyle name="Normal 5 3 5 3 2 2" xfId="40671"/>
    <cellStyle name="Normal 5 3 5 3 2 2 2" xfId="40672"/>
    <cellStyle name="Normal 5 3 5 3 2 2 2 2" xfId="40673"/>
    <cellStyle name="Normal 5 3 5 3 2 2 3" xfId="40674"/>
    <cellStyle name="Normal 5 3 5 3 2 3" xfId="40675"/>
    <cellStyle name="Normal 5 3 5 3 2 3 2" xfId="40676"/>
    <cellStyle name="Normal 5 3 5 3 2 4" xfId="40677"/>
    <cellStyle name="Normal 5 3 5 3 3" xfId="40678"/>
    <cellStyle name="Normal 5 3 5 3 3 2" xfId="40679"/>
    <cellStyle name="Normal 5 3 5 3 3 2 2" xfId="40680"/>
    <cellStyle name="Normal 5 3 5 3 3 3" xfId="40681"/>
    <cellStyle name="Normal 5 3 5 3 4" xfId="40682"/>
    <cellStyle name="Normal 5 3 5 3 4 2" xfId="40683"/>
    <cellStyle name="Normal 5 3 5 3 5" xfId="40684"/>
    <cellStyle name="Normal 5 3 5 4" xfId="3319"/>
    <cellStyle name="Normal 5 3 5 4 2" xfId="40685"/>
    <cellStyle name="Normal 5 3 5 4 2 2" xfId="40686"/>
    <cellStyle name="Normal 5 3 5 4 2 2 2" xfId="40687"/>
    <cellStyle name="Normal 5 3 5 4 2 3" xfId="40688"/>
    <cellStyle name="Normal 5 3 5 4 3" xfId="40689"/>
    <cellStyle name="Normal 5 3 5 4 3 2" xfId="40690"/>
    <cellStyle name="Normal 5 3 5 4 4" xfId="40691"/>
    <cellStyle name="Normal 5 3 5 5" xfId="40692"/>
    <cellStyle name="Normal 5 3 5 5 2" xfId="40693"/>
    <cellStyle name="Normal 5 3 5 5 2 2" xfId="40694"/>
    <cellStyle name="Normal 5 3 5 5 3" xfId="40695"/>
    <cellStyle name="Normal 5 3 5 6" xfId="40696"/>
    <cellStyle name="Normal 5 3 5 6 2" xfId="40697"/>
    <cellStyle name="Normal 5 3 5 7" xfId="40698"/>
    <cellStyle name="Normal 5 3 6" xfId="735"/>
    <cellStyle name="Normal 5 3 6 2" xfId="2095"/>
    <cellStyle name="Normal 5 3 6 2 2" xfId="4815"/>
    <cellStyle name="Normal 5 3 6 2 2 2" xfId="40699"/>
    <cellStyle name="Normal 5 3 6 2 2 2 2" xfId="40700"/>
    <cellStyle name="Normal 5 3 6 2 2 2 2 2" xfId="40701"/>
    <cellStyle name="Normal 5 3 6 2 2 2 3" xfId="40702"/>
    <cellStyle name="Normal 5 3 6 2 2 3" xfId="40703"/>
    <cellStyle name="Normal 5 3 6 2 2 3 2" xfId="40704"/>
    <cellStyle name="Normal 5 3 6 2 2 4" xfId="40705"/>
    <cellStyle name="Normal 5 3 6 2 3" xfId="40706"/>
    <cellStyle name="Normal 5 3 6 2 3 2" xfId="40707"/>
    <cellStyle name="Normal 5 3 6 2 3 2 2" xfId="40708"/>
    <cellStyle name="Normal 5 3 6 2 3 3" xfId="40709"/>
    <cellStyle name="Normal 5 3 6 2 4" xfId="40710"/>
    <cellStyle name="Normal 5 3 6 2 4 2" xfId="40711"/>
    <cellStyle name="Normal 5 3 6 2 5" xfId="40712"/>
    <cellStyle name="Normal 5 3 6 3" xfId="3455"/>
    <cellStyle name="Normal 5 3 6 3 2" xfId="40713"/>
    <cellStyle name="Normal 5 3 6 3 2 2" xfId="40714"/>
    <cellStyle name="Normal 5 3 6 3 2 2 2" xfId="40715"/>
    <cellStyle name="Normal 5 3 6 3 2 3" xfId="40716"/>
    <cellStyle name="Normal 5 3 6 3 3" xfId="40717"/>
    <cellStyle name="Normal 5 3 6 3 3 2" xfId="40718"/>
    <cellStyle name="Normal 5 3 6 3 4" xfId="40719"/>
    <cellStyle name="Normal 5 3 6 4" xfId="40720"/>
    <cellStyle name="Normal 5 3 6 4 2" xfId="40721"/>
    <cellStyle name="Normal 5 3 6 4 2 2" xfId="40722"/>
    <cellStyle name="Normal 5 3 6 4 3" xfId="40723"/>
    <cellStyle name="Normal 5 3 6 5" xfId="40724"/>
    <cellStyle name="Normal 5 3 6 5 2" xfId="40725"/>
    <cellStyle name="Normal 5 3 6 6" xfId="40726"/>
    <cellStyle name="Normal 5 3 7" xfId="1415"/>
    <cellStyle name="Normal 5 3 7 2" xfId="4135"/>
    <cellStyle name="Normal 5 3 7 2 2" xfId="40727"/>
    <cellStyle name="Normal 5 3 7 2 2 2" xfId="40728"/>
    <cellStyle name="Normal 5 3 7 2 2 2 2" xfId="40729"/>
    <cellStyle name="Normal 5 3 7 2 2 3" xfId="40730"/>
    <cellStyle name="Normal 5 3 7 2 3" xfId="40731"/>
    <cellStyle name="Normal 5 3 7 2 3 2" xfId="40732"/>
    <cellStyle name="Normal 5 3 7 2 4" xfId="40733"/>
    <cellStyle name="Normal 5 3 7 3" xfId="40734"/>
    <cellStyle name="Normal 5 3 7 3 2" xfId="40735"/>
    <cellStyle name="Normal 5 3 7 3 2 2" xfId="40736"/>
    <cellStyle name="Normal 5 3 7 3 3" xfId="40737"/>
    <cellStyle name="Normal 5 3 7 4" xfId="40738"/>
    <cellStyle name="Normal 5 3 7 4 2" xfId="40739"/>
    <cellStyle name="Normal 5 3 7 5" xfId="40740"/>
    <cellStyle name="Normal 5 3 8" xfId="2775"/>
    <cellStyle name="Normal 5 3 8 2" xfId="40741"/>
    <cellStyle name="Normal 5 3 8 2 2" xfId="40742"/>
    <cellStyle name="Normal 5 3 8 2 2 2" xfId="40743"/>
    <cellStyle name="Normal 5 3 8 2 3" xfId="40744"/>
    <cellStyle name="Normal 5 3 8 3" xfId="40745"/>
    <cellStyle name="Normal 5 3 8 3 2" xfId="40746"/>
    <cellStyle name="Normal 5 3 8 4" xfId="40747"/>
    <cellStyle name="Normal 5 3 9" xfId="40748"/>
    <cellStyle name="Normal 5 3 9 2" xfId="40749"/>
    <cellStyle name="Normal 5 3 9 2 2" xfId="40750"/>
    <cellStyle name="Normal 5 3 9 3" xfId="40751"/>
    <cellStyle name="Normal 5 4" xfId="88"/>
    <cellStyle name="Normal 5 4 10" xfId="40752"/>
    <cellStyle name="Normal 5 4 2" xfId="225"/>
    <cellStyle name="Normal 5 4 2 2" xfId="497"/>
    <cellStyle name="Normal 5 4 2 2 2" xfId="1177"/>
    <cellStyle name="Normal 5 4 2 2 2 2" xfId="2537"/>
    <cellStyle name="Normal 5 4 2 2 2 2 2" xfId="5257"/>
    <cellStyle name="Normal 5 4 2 2 2 2 2 2" xfId="40753"/>
    <cellStyle name="Normal 5 4 2 2 2 2 2 2 2" xfId="40754"/>
    <cellStyle name="Normal 5 4 2 2 2 2 2 2 2 2" xfId="40755"/>
    <cellStyle name="Normal 5 4 2 2 2 2 2 2 3" xfId="40756"/>
    <cellStyle name="Normal 5 4 2 2 2 2 2 3" xfId="40757"/>
    <cellStyle name="Normal 5 4 2 2 2 2 2 3 2" xfId="40758"/>
    <cellStyle name="Normal 5 4 2 2 2 2 2 4" xfId="40759"/>
    <cellStyle name="Normal 5 4 2 2 2 2 3" xfId="40760"/>
    <cellStyle name="Normal 5 4 2 2 2 2 3 2" xfId="40761"/>
    <cellStyle name="Normal 5 4 2 2 2 2 3 2 2" xfId="40762"/>
    <cellStyle name="Normal 5 4 2 2 2 2 3 3" xfId="40763"/>
    <cellStyle name="Normal 5 4 2 2 2 2 4" xfId="40764"/>
    <cellStyle name="Normal 5 4 2 2 2 2 4 2" xfId="40765"/>
    <cellStyle name="Normal 5 4 2 2 2 2 5" xfId="40766"/>
    <cellStyle name="Normal 5 4 2 2 2 3" xfId="3897"/>
    <cellStyle name="Normal 5 4 2 2 2 3 2" xfId="40767"/>
    <cellStyle name="Normal 5 4 2 2 2 3 2 2" xfId="40768"/>
    <cellStyle name="Normal 5 4 2 2 2 3 2 2 2" xfId="40769"/>
    <cellStyle name="Normal 5 4 2 2 2 3 2 3" xfId="40770"/>
    <cellStyle name="Normal 5 4 2 2 2 3 3" xfId="40771"/>
    <cellStyle name="Normal 5 4 2 2 2 3 3 2" xfId="40772"/>
    <cellStyle name="Normal 5 4 2 2 2 3 4" xfId="40773"/>
    <cellStyle name="Normal 5 4 2 2 2 4" xfId="40774"/>
    <cellStyle name="Normal 5 4 2 2 2 4 2" xfId="40775"/>
    <cellStyle name="Normal 5 4 2 2 2 4 2 2" xfId="40776"/>
    <cellStyle name="Normal 5 4 2 2 2 4 3" xfId="40777"/>
    <cellStyle name="Normal 5 4 2 2 2 5" xfId="40778"/>
    <cellStyle name="Normal 5 4 2 2 2 5 2" xfId="40779"/>
    <cellStyle name="Normal 5 4 2 2 2 6" xfId="40780"/>
    <cellStyle name="Normal 5 4 2 2 3" xfId="1857"/>
    <cellStyle name="Normal 5 4 2 2 3 2" xfId="4577"/>
    <cellStyle name="Normal 5 4 2 2 3 2 2" xfId="40781"/>
    <cellStyle name="Normal 5 4 2 2 3 2 2 2" xfId="40782"/>
    <cellStyle name="Normal 5 4 2 2 3 2 2 2 2" xfId="40783"/>
    <cellStyle name="Normal 5 4 2 2 3 2 2 3" xfId="40784"/>
    <cellStyle name="Normal 5 4 2 2 3 2 3" xfId="40785"/>
    <cellStyle name="Normal 5 4 2 2 3 2 3 2" xfId="40786"/>
    <cellStyle name="Normal 5 4 2 2 3 2 4" xfId="40787"/>
    <cellStyle name="Normal 5 4 2 2 3 3" xfId="40788"/>
    <cellStyle name="Normal 5 4 2 2 3 3 2" xfId="40789"/>
    <cellStyle name="Normal 5 4 2 2 3 3 2 2" xfId="40790"/>
    <cellStyle name="Normal 5 4 2 2 3 3 3" xfId="40791"/>
    <cellStyle name="Normal 5 4 2 2 3 4" xfId="40792"/>
    <cellStyle name="Normal 5 4 2 2 3 4 2" xfId="40793"/>
    <cellStyle name="Normal 5 4 2 2 3 5" xfId="40794"/>
    <cellStyle name="Normal 5 4 2 2 4" xfId="3217"/>
    <cellStyle name="Normal 5 4 2 2 4 2" xfId="40795"/>
    <cellStyle name="Normal 5 4 2 2 4 2 2" xfId="40796"/>
    <cellStyle name="Normal 5 4 2 2 4 2 2 2" xfId="40797"/>
    <cellStyle name="Normal 5 4 2 2 4 2 3" xfId="40798"/>
    <cellStyle name="Normal 5 4 2 2 4 3" xfId="40799"/>
    <cellStyle name="Normal 5 4 2 2 4 3 2" xfId="40800"/>
    <cellStyle name="Normal 5 4 2 2 4 4" xfId="40801"/>
    <cellStyle name="Normal 5 4 2 2 5" xfId="40802"/>
    <cellStyle name="Normal 5 4 2 2 5 2" xfId="40803"/>
    <cellStyle name="Normal 5 4 2 2 5 2 2" xfId="40804"/>
    <cellStyle name="Normal 5 4 2 2 5 3" xfId="40805"/>
    <cellStyle name="Normal 5 4 2 2 6" xfId="40806"/>
    <cellStyle name="Normal 5 4 2 2 6 2" xfId="40807"/>
    <cellStyle name="Normal 5 4 2 2 7" xfId="40808"/>
    <cellStyle name="Normal 5 4 2 3" xfId="905"/>
    <cellStyle name="Normal 5 4 2 3 2" xfId="2265"/>
    <cellStyle name="Normal 5 4 2 3 2 2" xfId="4985"/>
    <cellStyle name="Normal 5 4 2 3 2 2 2" xfId="40809"/>
    <cellStyle name="Normal 5 4 2 3 2 2 2 2" xfId="40810"/>
    <cellStyle name="Normal 5 4 2 3 2 2 2 2 2" xfId="40811"/>
    <cellStyle name="Normal 5 4 2 3 2 2 2 3" xfId="40812"/>
    <cellStyle name="Normal 5 4 2 3 2 2 3" xfId="40813"/>
    <cellStyle name="Normal 5 4 2 3 2 2 3 2" xfId="40814"/>
    <cellStyle name="Normal 5 4 2 3 2 2 4" xfId="40815"/>
    <cellStyle name="Normal 5 4 2 3 2 3" xfId="40816"/>
    <cellStyle name="Normal 5 4 2 3 2 3 2" xfId="40817"/>
    <cellStyle name="Normal 5 4 2 3 2 3 2 2" xfId="40818"/>
    <cellStyle name="Normal 5 4 2 3 2 3 3" xfId="40819"/>
    <cellStyle name="Normal 5 4 2 3 2 4" xfId="40820"/>
    <cellStyle name="Normal 5 4 2 3 2 4 2" xfId="40821"/>
    <cellStyle name="Normal 5 4 2 3 2 5" xfId="40822"/>
    <cellStyle name="Normal 5 4 2 3 3" xfId="3625"/>
    <cellStyle name="Normal 5 4 2 3 3 2" xfId="40823"/>
    <cellStyle name="Normal 5 4 2 3 3 2 2" xfId="40824"/>
    <cellStyle name="Normal 5 4 2 3 3 2 2 2" xfId="40825"/>
    <cellStyle name="Normal 5 4 2 3 3 2 3" xfId="40826"/>
    <cellStyle name="Normal 5 4 2 3 3 3" xfId="40827"/>
    <cellStyle name="Normal 5 4 2 3 3 3 2" xfId="40828"/>
    <cellStyle name="Normal 5 4 2 3 3 4" xfId="40829"/>
    <cellStyle name="Normal 5 4 2 3 4" xfId="40830"/>
    <cellStyle name="Normal 5 4 2 3 4 2" xfId="40831"/>
    <cellStyle name="Normal 5 4 2 3 4 2 2" xfId="40832"/>
    <cellStyle name="Normal 5 4 2 3 4 3" xfId="40833"/>
    <cellStyle name="Normal 5 4 2 3 5" xfId="40834"/>
    <cellStyle name="Normal 5 4 2 3 5 2" xfId="40835"/>
    <cellStyle name="Normal 5 4 2 3 6" xfId="40836"/>
    <cellStyle name="Normal 5 4 2 4" xfId="1585"/>
    <cellStyle name="Normal 5 4 2 4 2" xfId="4305"/>
    <cellStyle name="Normal 5 4 2 4 2 2" xfId="40837"/>
    <cellStyle name="Normal 5 4 2 4 2 2 2" xfId="40838"/>
    <cellStyle name="Normal 5 4 2 4 2 2 2 2" xfId="40839"/>
    <cellStyle name="Normal 5 4 2 4 2 2 3" xfId="40840"/>
    <cellStyle name="Normal 5 4 2 4 2 3" xfId="40841"/>
    <cellStyle name="Normal 5 4 2 4 2 3 2" xfId="40842"/>
    <cellStyle name="Normal 5 4 2 4 2 4" xfId="40843"/>
    <cellStyle name="Normal 5 4 2 4 3" xfId="40844"/>
    <cellStyle name="Normal 5 4 2 4 3 2" xfId="40845"/>
    <cellStyle name="Normal 5 4 2 4 3 2 2" xfId="40846"/>
    <cellStyle name="Normal 5 4 2 4 3 3" xfId="40847"/>
    <cellStyle name="Normal 5 4 2 4 4" xfId="40848"/>
    <cellStyle name="Normal 5 4 2 4 4 2" xfId="40849"/>
    <cellStyle name="Normal 5 4 2 4 5" xfId="40850"/>
    <cellStyle name="Normal 5 4 2 5" xfId="2945"/>
    <cellStyle name="Normal 5 4 2 5 2" xfId="40851"/>
    <cellStyle name="Normal 5 4 2 5 2 2" xfId="40852"/>
    <cellStyle name="Normal 5 4 2 5 2 2 2" xfId="40853"/>
    <cellStyle name="Normal 5 4 2 5 2 3" xfId="40854"/>
    <cellStyle name="Normal 5 4 2 5 3" xfId="40855"/>
    <cellStyle name="Normal 5 4 2 5 3 2" xfId="40856"/>
    <cellStyle name="Normal 5 4 2 5 4" xfId="40857"/>
    <cellStyle name="Normal 5 4 2 6" xfId="40858"/>
    <cellStyle name="Normal 5 4 2 6 2" xfId="40859"/>
    <cellStyle name="Normal 5 4 2 6 2 2" xfId="40860"/>
    <cellStyle name="Normal 5 4 2 6 3" xfId="40861"/>
    <cellStyle name="Normal 5 4 2 7" xfId="40862"/>
    <cellStyle name="Normal 5 4 2 7 2" xfId="40863"/>
    <cellStyle name="Normal 5 4 2 8" xfId="40864"/>
    <cellStyle name="Normal 5 4 3" xfId="361"/>
    <cellStyle name="Normal 5 4 3 2" xfId="1041"/>
    <cellStyle name="Normal 5 4 3 2 2" xfId="2401"/>
    <cellStyle name="Normal 5 4 3 2 2 2" xfId="5121"/>
    <cellStyle name="Normal 5 4 3 2 2 2 2" xfId="40865"/>
    <cellStyle name="Normal 5 4 3 2 2 2 2 2" xfId="40866"/>
    <cellStyle name="Normal 5 4 3 2 2 2 2 2 2" xfId="40867"/>
    <cellStyle name="Normal 5 4 3 2 2 2 2 3" xfId="40868"/>
    <cellStyle name="Normal 5 4 3 2 2 2 3" xfId="40869"/>
    <cellStyle name="Normal 5 4 3 2 2 2 3 2" xfId="40870"/>
    <cellStyle name="Normal 5 4 3 2 2 2 4" xfId="40871"/>
    <cellStyle name="Normal 5 4 3 2 2 3" xfId="40872"/>
    <cellStyle name="Normal 5 4 3 2 2 3 2" xfId="40873"/>
    <cellStyle name="Normal 5 4 3 2 2 3 2 2" xfId="40874"/>
    <cellStyle name="Normal 5 4 3 2 2 3 3" xfId="40875"/>
    <cellStyle name="Normal 5 4 3 2 2 4" xfId="40876"/>
    <cellStyle name="Normal 5 4 3 2 2 4 2" xfId="40877"/>
    <cellStyle name="Normal 5 4 3 2 2 5" xfId="40878"/>
    <cellStyle name="Normal 5 4 3 2 3" xfId="3761"/>
    <cellStyle name="Normal 5 4 3 2 3 2" xfId="40879"/>
    <cellStyle name="Normal 5 4 3 2 3 2 2" xfId="40880"/>
    <cellStyle name="Normal 5 4 3 2 3 2 2 2" xfId="40881"/>
    <cellStyle name="Normal 5 4 3 2 3 2 3" xfId="40882"/>
    <cellStyle name="Normal 5 4 3 2 3 3" xfId="40883"/>
    <cellStyle name="Normal 5 4 3 2 3 3 2" xfId="40884"/>
    <cellStyle name="Normal 5 4 3 2 3 4" xfId="40885"/>
    <cellStyle name="Normal 5 4 3 2 4" xfId="40886"/>
    <cellStyle name="Normal 5 4 3 2 4 2" xfId="40887"/>
    <cellStyle name="Normal 5 4 3 2 4 2 2" xfId="40888"/>
    <cellStyle name="Normal 5 4 3 2 4 3" xfId="40889"/>
    <cellStyle name="Normal 5 4 3 2 5" xfId="40890"/>
    <cellStyle name="Normal 5 4 3 2 5 2" xfId="40891"/>
    <cellStyle name="Normal 5 4 3 2 6" xfId="40892"/>
    <cellStyle name="Normal 5 4 3 3" xfId="1721"/>
    <cellStyle name="Normal 5 4 3 3 2" xfId="4441"/>
    <cellStyle name="Normal 5 4 3 3 2 2" xfId="40893"/>
    <cellStyle name="Normal 5 4 3 3 2 2 2" xfId="40894"/>
    <cellStyle name="Normal 5 4 3 3 2 2 2 2" xfId="40895"/>
    <cellStyle name="Normal 5 4 3 3 2 2 3" xfId="40896"/>
    <cellStyle name="Normal 5 4 3 3 2 3" xfId="40897"/>
    <cellStyle name="Normal 5 4 3 3 2 3 2" xfId="40898"/>
    <cellStyle name="Normal 5 4 3 3 2 4" xfId="40899"/>
    <cellStyle name="Normal 5 4 3 3 3" xfId="40900"/>
    <cellStyle name="Normal 5 4 3 3 3 2" xfId="40901"/>
    <cellStyle name="Normal 5 4 3 3 3 2 2" xfId="40902"/>
    <cellStyle name="Normal 5 4 3 3 3 3" xfId="40903"/>
    <cellStyle name="Normal 5 4 3 3 4" xfId="40904"/>
    <cellStyle name="Normal 5 4 3 3 4 2" xfId="40905"/>
    <cellStyle name="Normal 5 4 3 3 5" xfId="40906"/>
    <cellStyle name="Normal 5 4 3 4" xfId="3081"/>
    <cellStyle name="Normal 5 4 3 4 2" xfId="40907"/>
    <cellStyle name="Normal 5 4 3 4 2 2" xfId="40908"/>
    <cellStyle name="Normal 5 4 3 4 2 2 2" xfId="40909"/>
    <cellStyle name="Normal 5 4 3 4 2 3" xfId="40910"/>
    <cellStyle name="Normal 5 4 3 4 3" xfId="40911"/>
    <cellStyle name="Normal 5 4 3 4 3 2" xfId="40912"/>
    <cellStyle name="Normal 5 4 3 4 4" xfId="40913"/>
    <cellStyle name="Normal 5 4 3 5" xfId="40914"/>
    <cellStyle name="Normal 5 4 3 5 2" xfId="40915"/>
    <cellStyle name="Normal 5 4 3 5 2 2" xfId="40916"/>
    <cellStyle name="Normal 5 4 3 5 3" xfId="40917"/>
    <cellStyle name="Normal 5 4 3 6" xfId="40918"/>
    <cellStyle name="Normal 5 4 3 6 2" xfId="40919"/>
    <cellStyle name="Normal 5 4 3 7" xfId="40920"/>
    <cellStyle name="Normal 5 4 4" xfId="633"/>
    <cellStyle name="Normal 5 4 4 2" xfId="1313"/>
    <cellStyle name="Normal 5 4 4 2 2" xfId="2673"/>
    <cellStyle name="Normal 5 4 4 2 2 2" xfId="5393"/>
    <cellStyle name="Normal 5 4 4 2 2 2 2" xfId="40921"/>
    <cellStyle name="Normal 5 4 4 2 2 2 2 2" xfId="40922"/>
    <cellStyle name="Normal 5 4 4 2 2 2 2 2 2" xfId="40923"/>
    <cellStyle name="Normal 5 4 4 2 2 2 2 3" xfId="40924"/>
    <cellStyle name="Normal 5 4 4 2 2 2 3" xfId="40925"/>
    <cellStyle name="Normal 5 4 4 2 2 2 3 2" xfId="40926"/>
    <cellStyle name="Normal 5 4 4 2 2 2 4" xfId="40927"/>
    <cellStyle name="Normal 5 4 4 2 2 3" xfId="40928"/>
    <cellStyle name="Normal 5 4 4 2 2 3 2" xfId="40929"/>
    <cellStyle name="Normal 5 4 4 2 2 3 2 2" xfId="40930"/>
    <cellStyle name="Normal 5 4 4 2 2 3 3" xfId="40931"/>
    <cellStyle name="Normal 5 4 4 2 2 4" xfId="40932"/>
    <cellStyle name="Normal 5 4 4 2 2 4 2" xfId="40933"/>
    <cellStyle name="Normal 5 4 4 2 2 5" xfId="40934"/>
    <cellStyle name="Normal 5 4 4 2 3" xfId="4033"/>
    <cellStyle name="Normal 5 4 4 2 3 2" xfId="40935"/>
    <cellStyle name="Normal 5 4 4 2 3 2 2" xfId="40936"/>
    <cellStyle name="Normal 5 4 4 2 3 2 2 2" xfId="40937"/>
    <cellStyle name="Normal 5 4 4 2 3 2 3" xfId="40938"/>
    <cellStyle name="Normal 5 4 4 2 3 3" xfId="40939"/>
    <cellStyle name="Normal 5 4 4 2 3 3 2" xfId="40940"/>
    <cellStyle name="Normal 5 4 4 2 3 4" xfId="40941"/>
    <cellStyle name="Normal 5 4 4 2 4" xfId="40942"/>
    <cellStyle name="Normal 5 4 4 2 4 2" xfId="40943"/>
    <cellStyle name="Normal 5 4 4 2 4 2 2" xfId="40944"/>
    <cellStyle name="Normal 5 4 4 2 4 3" xfId="40945"/>
    <cellStyle name="Normal 5 4 4 2 5" xfId="40946"/>
    <cellStyle name="Normal 5 4 4 2 5 2" xfId="40947"/>
    <cellStyle name="Normal 5 4 4 2 6" xfId="40948"/>
    <cellStyle name="Normal 5 4 4 3" xfId="1993"/>
    <cellStyle name="Normal 5 4 4 3 2" xfId="4713"/>
    <cellStyle name="Normal 5 4 4 3 2 2" xfId="40949"/>
    <cellStyle name="Normal 5 4 4 3 2 2 2" xfId="40950"/>
    <cellStyle name="Normal 5 4 4 3 2 2 2 2" xfId="40951"/>
    <cellStyle name="Normal 5 4 4 3 2 2 3" xfId="40952"/>
    <cellStyle name="Normal 5 4 4 3 2 3" xfId="40953"/>
    <cellStyle name="Normal 5 4 4 3 2 3 2" xfId="40954"/>
    <cellStyle name="Normal 5 4 4 3 2 4" xfId="40955"/>
    <cellStyle name="Normal 5 4 4 3 3" xfId="40956"/>
    <cellStyle name="Normal 5 4 4 3 3 2" xfId="40957"/>
    <cellStyle name="Normal 5 4 4 3 3 2 2" xfId="40958"/>
    <cellStyle name="Normal 5 4 4 3 3 3" xfId="40959"/>
    <cellStyle name="Normal 5 4 4 3 4" xfId="40960"/>
    <cellStyle name="Normal 5 4 4 3 4 2" xfId="40961"/>
    <cellStyle name="Normal 5 4 4 3 5" xfId="40962"/>
    <cellStyle name="Normal 5 4 4 4" xfId="3353"/>
    <cellStyle name="Normal 5 4 4 4 2" xfId="40963"/>
    <cellStyle name="Normal 5 4 4 4 2 2" xfId="40964"/>
    <cellStyle name="Normal 5 4 4 4 2 2 2" xfId="40965"/>
    <cellStyle name="Normal 5 4 4 4 2 3" xfId="40966"/>
    <cellStyle name="Normal 5 4 4 4 3" xfId="40967"/>
    <cellStyle name="Normal 5 4 4 4 3 2" xfId="40968"/>
    <cellStyle name="Normal 5 4 4 4 4" xfId="40969"/>
    <cellStyle name="Normal 5 4 4 5" xfId="40970"/>
    <cellStyle name="Normal 5 4 4 5 2" xfId="40971"/>
    <cellStyle name="Normal 5 4 4 5 2 2" xfId="40972"/>
    <cellStyle name="Normal 5 4 4 5 3" xfId="40973"/>
    <cellStyle name="Normal 5 4 4 6" xfId="40974"/>
    <cellStyle name="Normal 5 4 4 6 2" xfId="40975"/>
    <cellStyle name="Normal 5 4 4 7" xfId="40976"/>
    <cellStyle name="Normal 5 4 5" xfId="769"/>
    <cellStyle name="Normal 5 4 5 2" xfId="2129"/>
    <cellStyle name="Normal 5 4 5 2 2" xfId="4849"/>
    <cellStyle name="Normal 5 4 5 2 2 2" xfId="40977"/>
    <cellStyle name="Normal 5 4 5 2 2 2 2" xfId="40978"/>
    <cellStyle name="Normal 5 4 5 2 2 2 2 2" xfId="40979"/>
    <cellStyle name="Normal 5 4 5 2 2 2 3" xfId="40980"/>
    <cellStyle name="Normal 5 4 5 2 2 3" xfId="40981"/>
    <cellStyle name="Normal 5 4 5 2 2 3 2" xfId="40982"/>
    <cellStyle name="Normal 5 4 5 2 2 4" xfId="40983"/>
    <cellStyle name="Normal 5 4 5 2 3" xfId="40984"/>
    <cellStyle name="Normal 5 4 5 2 3 2" xfId="40985"/>
    <cellStyle name="Normal 5 4 5 2 3 2 2" xfId="40986"/>
    <cellStyle name="Normal 5 4 5 2 3 3" xfId="40987"/>
    <cellStyle name="Normal 5 4 5 2 4" xfId="40988"/>
    <cellStyle name="Normal 5 4 5 2 4 2" xfId="40989"/>
    <cellStyle name="Normal 5 4 5 2 5" xfId="40990"/>
    <cellStyle name="Normal 5 4 5 3" xfId="3489"/>
    <cellStyle name="Normal 5 4 5 3 2" xfId="40991"/>
    <cellStyle name="Normal 5 4 5 3 2 2" xfId="40992"/>
    <cellStyle name="Normal 5 4 5 3 2 2 2" xfId="40993"/>
    <cellStyle name="Normal 5 4 5 3 2 3" xfId="40994"/>
    <cellStyle name="Normal 5 4 5 3 3" xfId="40995"/>
    <cellStyle name="Normal 5 4 5 3 3 2" xfId="40996"/>
    <cellStyle name="Normal 5 4 5 3 4" xfId="40997"/>
    <cellStyle name="Normal 5 4 5 4" xfId="40998"/>
    <cellStyle name="Normal 5 4 5 4 2" xfId="40999"/>
    <cellStyle name="Normal 5 4 5 4 2 2" xfId="41000"/>
    <cellStyle name="Normal 5 4 5 4 3" xfId="41001"/>
    <cellStyle name="Normal 5 4 5 5" xfId="41002"/>
    <cellStyle name="Normal 5 4 5 5 2" xfId="41003"/>
    <cellStyle name="Normal 5 4 5 6" xfId="41004"/>
    <cellStyle name="Normal 5 4 6" xfId="1449"/>
    <cellStyle name="Normal 5 4 6 2" xfId="4169"/>
    <cellStyle name="Normal 5 4 6 2 2" xfId="41005"/>
    <cellStyle name="Normal 5 4 6 2 2 2" xfId="41006"/>
    <cellStyle name="Normal 5 4 6 2 2 2 2" xfId="41007"/>
    <cellStyle name="Normal 5 4 6 2 2 3" xfId="41008"/>
    <cellStyle name="Normal 5 4 6 2 3" xfId="41009"/>
    <cellStyle name="Normal 5 4 6 2 3 2" xfId="41010"/>
    <cellStyle name="Normal 5 4 6 2 4" xfId="41011"/>
    <cellStyle name="Normal 5 4 6 3" xfId="41012"/>
    <cellStyle name="Normal 5 4 6 3 2" xfId="41013"/>
    <cellStyle name="Normal 5 4 6 3 2 2" xfId="41014"/>
    <cellStyle name="Normal 5 4 6 3 3" xfId="41015"/>
    <cellStyle name="Normal 5 4 6 4" xfId="41016"/>
    <cellStyle name="Normal 5 4 6 4 2" xfId="41017"/>
    <cellStyle name="Normal 5 4 6 5" xfId="41018"/>
    <cellStyle name="Normal 5 4 7" xfId="2809"/>
    <cellStyle name="Normal 5 4 7 2" xfId="41019"/>
    <cellStyle name="Normal 5 4 7 2 2" xfId="41020"/>
    <cellStyle name="Normal 5 4 7 2 2 2" xfId="41021"/>
    <cellStyle name="Normal 5 4 7 2 3" xfId="41022"/>
    <cellStyle name="Normal 5 4 7 3" xfId="41023"/>
    <cellStyle name="Normal 5 4 7 3 2" xfId="41024"/>
    <cellStyle name="Normal 5 4 7 4" xfId="41025"/>
    <cellStyle name="Normal 5 4 8" xfId="41026"/>
    <cellStyle name="Normal 5 4 8 2" xfId="41027"/>
    <cellStyle name="Normal 5 4 8 2 2" xfId="41028"/>
    <cellStyle name="Normal 5 4 8 3" xfId="41029"/>
    <cellStyle name="Normal 5 4 9" xfId="41030"/>
    <cellStyle name="Normal 5 4 9 2" xfId="41031"/>
    <cellStyle name="Normal 5 5" xfId="157"/>
    <cellStyle name="Normal 5 5 2" xfId="429"/>
    <cellStyle name="Normal 5 5 2 2" xfId="1109"/>
    <cellStyle name="Normal 5 5 2 2 2" xfId="2469"/>
    <cellStyle name="Normal 5 5 2 2 2 2" xfId="5189"/>
    <cellStyle name="Normal 5 5 2 2 2 2 2" xfId="41032"/>
    <cellStyle name="Normal 5 5 2 2 2 2 2 2" xfId="41033"/>
    <cellStyle name="Normal 5 5 2 2 2 2 2 2 2" xfId="41034"/>
    <cellStyle name="Normal 5 5 2 2 2 2 2 3" xfId="41035"/>
    <cellStyle name="Normal 5 5 2 2 2 2 3" xfId="41036"/>
    <cellStyle name="Normal 5 5 2 2 2 2 3 2" xfId="41037"/>
    <cellStyle name="Normal 5 5 2 2 2 2 4" xfId="41038"/>
    <cellStyle name="Normal 5 5 2 2 2 3" xfId="41039"/>
    <cellStyle name="Normal 5 5 2 2 2 3 2" xfId="41040"/>
    <cellStyle name="Normal 5 5 2 2 2 3 2 2" xfId="41041"/>
    <cellStyle name="Normal 5 5 2 2 2 3 3" xfId="41042"/>
    <cellStyle name="Normal 5 5 2 2 2 4" xfId="41043"/>
    <cellStyle name="Normal 5 5 2 2 2 4 2" xfId="41044"/>
    <cellStyle name="Normal 5 5 2 2 2 5" xfId="41045"/>
    <cellStyle name="Normal 5 5 2 2 3" xfId="3829"/>
    <cellStyle name="Normal 5 5 2 2 3 2" xfId="41046"/>
    <cellStyle name="Normal 5 5 2 2 3 2 2" xfId="41047"/>
    <cellStyle name="Normal 5 5 2 2 3 2 2 2" xfId="41048"/>
    <cellStyle name="Normal 5 5 2 2 3 2 3" xfId="41049"/>
    <cellStyle name="Normal 5 5 2 2 3 3" xfId="41050"/>
    <cellStyle name="Normal 5 5 2 2 3 3 2" xfId="41051"/>
    <cellStyle name="Normal 5 5 2 2 3 4" xfId="41052"/>
    <cellStyle name="Normal 5 5 2 2 4" xfId="41053"/>
    <cellStyle name="Normal 5 5 2 2 4 2" xfId="41054"/>
    <cellStyle name="Normal 5 5 2 2 4 2 2" xfId="41055"/>
    <cellStyle name="Normal 5 5 2 2 4 3" xfId="41056"/>
    <cellStyle name="Normal 5 5 2 2 5" xfId="41057"/>
    <cellStyle name="Normal 5 5 2 2 5 2" xfId="41058"/>
    <cellStyle name="Normal 5 5 2 2 6" xfId="41059"/>
    <cellStyle name="Normal 5 5 2 3" xfId="1789"/>
    <cellStyle name="Normal 5 5 2 3 2" xfId="4509"/>
    <cellStyle name="Normal 5 5 2 3 2 2" xfId="41060"/>
    <cellStyle name="Normal 5 5 2 3 2 2 2" xfId="41061"/>
    <cellStyle name="Normal 5 5 2 3 2 2 2 2" xfId="41062"/>
    <cellStyle name="Normal 5 5 2 3 2 2 3" xfId="41063"/>
    <cellStyle name="Normal 5 5 2 3 2 3" xfId="41064"/>
    <cellStyle name="Normal 5 5 2 3 2 3 2" xfId="41065"/>
    <cellStyle name="Normal 5 5 2 3 2 4" xfId="41066"/>
    <cellStyle name="Normal 5 5 2 3 3" xfId="41067"/>
    <cellStyle name="Normal 5 5 2 3 3 2" xfId="41068"/>
    <cellStyle name="Normal 5 5 2 3 3 2 2" xfId="41069"/>
    <cellStyle name="Normal 5 5 2 3 3 3" xfId="41070"/>
    <cellStyle name="Normal 5 5 2 3 4" xfId="41071"/>
    <cellStyle name="Normal 5 5 2 3 4 2" xfId="41072"/>
    <cellStyle name="Normal 5 5 2 3 5" xfId="41073"/>
    <cellStyle name="Normal 5 5 2 4" xfId="3149"/>
    <cellStyle name="Normal 5 5 2 4 2" xfId="41074"/>
    <cellStyle name="Normal 5 5 2 4 2 2" xfId="41075"/>
    <cellStyle name="Normal 5 5 2 4 2 2 2" xfId="41076"/>
    <cellStyle name="Normal 5 5 2 4 2 3" xfId="41077"/>
    <cellStyle name="Normal 5 5 2 4 3" xfId="41078"/>
    <cellStyle name="Normal 5 5 2 4 3 2" xfId="41079"/>
    <cellStyle name="Normal 5 5 2 4 4" xfId="41080"/>
    <cellStyle name="Normal 5 5 2 5" xfId="41081"/>
    <cellStyle name="Normal 5 5 2 5 2" xfId="41082"/>
    <cellStyle name="Normal 5 5 2 5 2 2" xfId="41083"/>
    <cellStyle name="Normal 5 5 2 5 3" xfId="41084"/>
    <cellStyle name="Normal 5 5 2 6" xfId="41085"/>
    <cellStyle name="Normal 5 5 2 6 2" xfId="41086"/>
    <cellStyle name="Normal 5 5 2 7" xfId="41087"/>
    <cellStyle name="Normal 5 5 3" xfId="837"/>
    <cellStyle name="Normal 5 5 3 2" xfId="2197"/>
    <cellStyle name="Normal 5 5 3 2 2" xfId="4917"/>
    <cellStyle name="Normal 5 5 3 2 2 2" xfId="41088"/>
    <cellStyle name="Normal 5 5 3 2 2 2 2" xfId="41089"/>
    <cellStyle name="Normal 5 5 3 2 2 2 2 2" xfId="41090"/>
    <cellStyle name="Normal 5 5 3 2 2 2 3" xfId="41091"/>
    <cellStyle name="Normal 5 5 3 2 2 3" xfId="41092"/>
    <cellStyle name="Normal 5 5 3 2 2 3 2" xfId="41093"/>
    <cellStyle name="Normal 5 5 3 2 2 4" xfId="41094"/>
    <cellStyle name="Normal 5 5 3 2 3" xfId="41095"/>
    <cellStyle name="Normal 5 5 3 2 3 2" xfId="41096"/>
    <cellStyle name="Normal 5 5 3 2 3 2 2" xfId="41097"/>
    <cellStyle name="Normal 5 5 3 2 3 3" xfId="41098"/>
    <cellStyle name="Normal 5 5 3 2 4" xfId="41099"/>
    <cellStyle name="Normal 5 5 3 2 4 2" xfId="41100"/>
    <cellStyle name="Normal 5 5 3 2 5" xfId="41101"/>
    <cellStyle name="Normal 5 5 3 3" xfId="3557"/>
    <cellStyle name="Normal 5 5 3 3 2" xfId="41102"/>
    <cellStyle name="Normal 5 5 3 3 2 2" xfId="41103"/>
    <cellStyle name="Normal 5 5 3 3 2 2 2" xfId="41104"/>
    <cellStyle name="Normal 5 5 3 3 2 3" xfId="41105"/>
    <cellStyle name="Normal 5 5 3 3 3" xfId="41106"/>
    <cellStyle name="Normal 5 5 3 3 3 2" xfId="41107"/>
    <cellStyle name="Normal 5 5 3 3 4" xfId="41108"/>
    <cellStyle name="Normal 5 5 3 4" xfId="41109"/>
    <cellStyle name="Normal 5 5 3 4 2" xfId="41110"/>
    <cellStyle name="Normal 5 5 3 4 2 2" xfId="41111"/>
    <cellStyle name="Normal 5 5 3 4 3" xfId="41112"/>
    <cellStyle name="Normal 5 5 3 5" xfId="41113"/>
    <cellStyle name="Normal 5 5 3 5 2" xfId="41114"/>
    <cellStyle name="Normal 5 5 3 6" xfId="41115"/>
    <cellStyle name="Normal 5 5 4" xfId="1517"/>
    <cellStyle name="Normal 5 5 4 2" xfId="4237"/>
    <cellStyle name="Normal 5 5 4 2 2" xfId="41116"/>
    <cellStyle name="Normal 5 5 4 2 2 2" xfId="41117"/>
    <cellStyle name="Normal 5 5 4 2 2 2 2" xfId="41118"/>
    <cellStyle name="Normal 5 5 4 2 2 3" xfId="41119"/>
    <cellStyle name="Normal 5 5 4 2 3" xfId="41120"/>
    <cellStyle name="Normal 5 5 4 2 3 2" xfId="41121"/>
    <cellStyle name="Normal 5 5 4 2 4" xfId="41122"/>
    <cellStyle name="Normal 5 5 4 3" xfId="41123"/>
    <cellStyle name="Normal 5 5 4 3 2" xfId="41124"/>
    <cellStyle name="Normal 5 5 4 3 2 2" xfId="41125"/>
    <cellStyle name="Normal 5 5 4 3 3" xfId="41126"/>
    <cellStyle name="Normal 5 5 4 4" xfId="41127"/>
    <cellStyle name="Normal 5 5 4 4 2" xfId="41128"/>
    <cellStyle name="Normal 5 5 4 5" xfId="41129"/>
    <cellStyle name="Normal 5 5 5" xfId="2877"/>
    <cellStyle name="Normal 5 5 5 2" xfId="41130"/>
    <cellStyle name="Normal 5 5 5 2 2" xfId="41131"/>
    <cellStyle name="Normal 5 5 5 2 2 2" xfId="41132"/>
    <cellStyle name="Normal 5 5 5 2 3" xfId="41133"/>
    <cellStyle name="Normal 5 5 5 3" xfId="41134"/>
    <cellStyle name="Normal 5 5 5 3 2" xfId="41135"/>
    <cellStyle name="Normal 5 5 5 4" xfId="41136"/>
    <cellStyle name="Normal 5 5 6" xfId="41137"/>
    <cellStyle name="Normal 5 5 6 2" xfId="41138"/>
    <cellStyle name="Normal 5 5 6 2 2" xfId="41139"/>
    <cellStyle name="Normal 5 5 6 3" xfId="41140"/>
    <cellStyle name="Normal 5 5 7" xfId="41141"/>
    <cellStyle name="Normal 5 5 7 2" xfId="41142"/>
    <cellStyle name="Normal 5 5 8" xfId="41143"/>
    <cellStyle name="Normal 5 6" xfId="293"/>
    <cellStyle name="Normal 5 6 2" xfId="973"/>
    <cellStyle name="Normal 5 6 2 2" xfId="2333"/>
    <cellStyle name="Normal 5 6 2 2 2" xfId="5053"/>
    <cellStyle name="Normal 5 6 2 2 2 2" xfId="41144"/>
    <cellStyle name="Normal 5 6 2 2 2 2 2" xfId="41145"/>
    <cellStyle name="Normal 5 6 2 2 2 2 2 2" xfId="41146"/>
    <cellStyle name="Normal 5 6 2 2 2 2 3" xfId="41147"/>
    <cellStyle name="Normal 5 6 2 2 2 3" xfId="41148"/>
    <cellStyle name="Normal 5 6 2 2 2 3 2" xfId="41149"/>
    <cellStyle name="Normal 5 6 2 2 2 4" xfId="41150"/>
    <cellStyle name="Normal 5 6 2 2 3" xfId="41151"/>
    <cellStyle name="Normal 5 6 2 2 3 2" xfId="41152"/>
    <cellStyle name="Normal 5 6 2 2 3 2 2" xfId="41153"/>
    <cellStyle name="Normal 5 6 2 2 3 3" xfId="41154"/>
    <cellStyle name="Normal 5 6 2 2 4" xfId="41155"/>
    <cellStyle name="Normal 5 6 2 2 4 2" xfId="41156"/>
    <cellStyle name="Normal 5 6 2 2 5" xfId="41157"/>
    <cellStyle name="Normal 5 6 2 3" xfId="3693"/>
    <cellStyle name="Normal 5 6 2 3 2" xfId="41158"/>
    <cellStyle name="Normal 5 6 2 3 2 2" xfId="41159"/>
    <cellStyle name="Normal 5 6 2 3 2 2 2" xfId="41160"/>
    <cellStyle name="Normal 5 6 2 3 2 3" xfId="41161"/>
    <cellStyle name="Normal 5 6 2 3 3" xfId="41162"/>
    <cellStyle name="Normal 5 6 2 3 3 2" xfId="41163"/>
    <cellStyle name="Normal 5 6 2 3 4" xfId="41164"/>
    <cellStyle name="Normal 5 6 2 4" xfId="41165"/>
    <cellStyle name="Normal 5 6 2 4 2" xfId="41166"/>
    <cellStyle name="Normal 5 6 2 4 2 2" xfId="41167"/>
    <cellStyle name="Normal 5 6 2 4 3" xfId="41168"/>
    <cellStyle name="Normal 5 6 2 5" xfId="41169"/>
    <cellStyle name="Normal 5 6 2 5 2" xfId="41170"/>
    <cellStyle name="Normal 5 6 2 6" xfId="41171"/>
    <cellStyle name="Normal 5 6 3" xfId="1653"/>
    <cellStyle name="Normal 5 6 3 2" xfId="4373"/>
    <cellStyle name="Normal 5 6 3 2 2" xfId="41172"/>
    <cellStyle name="Normal 5 6 3 2 2 2" xfId="41173"/>
    <cellStyle name="Normal 5 6 3 2 2 2 2" xfId="41174"/>
    <cellStyle name="Normal 5 6 3 2 2 3" xfId="41175"/>
    <cellStyle name="Normal 5 6 3 2 3" xfId="41176"/>
    <cellStyle name="Normal 5 6 3 2 3 2" xfId="41177"/>
    <cellStyle name="Normal 5 6 3 2 4" xfId="41178"/>
    <cellStyle name="Normal 5 6 3 3" xfId="41179"/>
    <cellStyle name="Normal 5 6 3 3 2" xfId="41180"/>
    <cellStyle name="Normal 5 6 3 3 2 2" xfId="41181"/>
    <cellStyle name="Normal 5 6 3 3 3" xfId="41182"/>
    <cellStyle name="Normal 5 6 3 4" xfId="41183"/>
    <cellStyle name="Normal 5 6 3 4 2" xfId="41184"/>
    <cellStyle name="Normal 5 6 3 5" xfId="41185"/>
    <cellStyle name="Normal 5 6 4" xfId="3013"/>
    <cellStyle name="Normal 5 6 4 2" xfId="41186"/>
    <cellStyle name="Normal 5 6 4 2 2" xfId="41187"/>
    <cellStyle name="Normal 5 6 4 2 2 2" xfId="41188"/>
    <cellStyle name="Normal 5 6 4 2 3" xfId="41189"/>
    <cellStyle name="Normal 5 6 4 3" xfId="41190"/>
    <cellStyle name="Normal 5 6 4 3 2" xfId="41191"/>
    <cellStyle name="Normal 5 6 4 4" xfId="41192"/>
    <cellStyle name="Normal 5 6 5" xfId="41193"/>
    <cellStyle name="Normal 5 6 5 2" xfId="41194"/>
    <cellStyle name="Normal 5 6 5 2 2" xfId="41195"/>
    <cellStyle name="Normal 5 6 5 3" xfId="41196"/>
    <cellStyle name="Normal 5 6 6" xfId="41197"/>
    <cellStyle name="Normal 5 6 6 2" xfId="41198"/>
    <cellStyle name="Normal 5 6 7" xfId="41199"/>
    <cellStyle name="Normal 5 7" xfId="565"/>
    <cellStyle name="Normal 5 7 2" xfId="1245"/>
    <cellStyle name="Normal 5 7 2 2" xfId="2605"/>
    <cellStyle name="Normal 5 7 2 2 2" xfId="5325"/>
    <cellStyle name="Normal 5 7 2 2 2 2" xfId="41200"/>
    <cellStyle name="Normal 5 7 2 2 2 2 2" xfId="41201"/>
    <cellStyle name="Normal 5 7 2 2 2 2 2 2" xfId="41202"/>
    <cellStyle name="Normal 5 7 2 2 2 2 3" xfId="41203"/>
    <cellStyle name="Normal 5 7 2 2 2 3" xfId="41204"/>
    <cellStyle name="Normal 5 7 2 2 2 3 2" xfId="41205"/>
    <cellStyle name="Normal 5 7 2 2 2 4" xfId="41206"/>
    <cellStyle name="Normal 5 7 2 2 3" xfId="41207"/>
    <cellStyle name="Normal 5 7 2 2 3 2" xfId="41208"/>
    <cellStyle name="Normal 5 7 2 2 3 2 2" xfId="41209"/>
    <cellStyle name="Normal 5 7 2 2 3 3" xfId="41210"/>
    <cellStyle name="Normal 5 7 2 2 4" xfId="41211"/>
    <cellStyle name="Normal 5 7 2 2 4 2" xfId="41212"/>
    <cellStyle name="Normal 5 7 2 2 5" xfId="41213"/>
    <cellStyle name="Normal 5 7 2 3" xfId="3965"/>
    <cellStyle name="Normal 5 7 2 3 2" xfId="41214"/>
    <cellStyle name="Normal 5 7 2 3 2 2" xfId="41215"/>
    <cellStyle name="Normal 5 7 2 3 2 2 2" xfId="41216"/>
    <cellStyle name="Normal 5 7 2 3 2 3" xfId="41217"/>
    <cellStyle name="Normal 5 7 2 3 3" xfId="41218"/>
    <cellStyle name="Normal 5 7 2 3 3 2" xfId="41219"/>
    <cellStyle name="Normal 5 7 2 3 4" xfId="41220"/>
    <cellStyle name="Normal 5 7 2 4" xfId="41221"/>
    <cellStyle name="Normal 5 7 2 4 2" xfId="41222"/>
    <cellStyle name="Normal 5 7 2 4 2 2" xfId="41223"/>
    <cellStyle name="Normal 5 7 2 4 3" xfId="41224"/>
    <cellStyle name="Normal 5 7 2 5" xfId="41225"/>
    <cellStyle name="Normal 5 7 2 5 2" xfId="41226"/>
    <cellStyle name="Normal 5 7 2 6" xfId="41227"/>
    <cellStyle name="Normal 5 7 3" xfId="1925"/>
    <cellStyle name="Normal 5 7 3 2" xfId="4645"/>
    <cellStyle name="Normal 5 7 3 2 2" xfId="41228"/>
    <cellStyle name="Normal 5 7 3 2 2 2" xfId="41229"/>
    <cellStyle name="Normal 5 7 3 2 2 2 2" xfId="41230"/>
    <cellStyle name="Normal 5 7 3 2 2 3" xfId="41231"/>
    <cellStyle name="Normal 5 7 3 2 3" xfId="41232"/>
    <cellStyle name="Normal 5 7 3 2 3 2" xfId="41233"/>
    <cellStyle name="Normal 5 7 3 2 4" xfId="41234"/>
    <cellStyle name="Normal 5 7 3 3" xfId="41235"/>
    <cellStyle name="Normal 5 7 3 3 2" xfId="41236"/>
    <cellStyle name="Normal 5 7 3 3 2 2" xfId="41237"/>
    <cellStyle name="Normal 5 7 3 3 3" xfId="41238"/>
    <cellStyle name="Normal 5 7 3 4" xfId="41239"/>
    <cellStyle name="Normal 5 7 3 4 2" xfId="41240"/>
    <cellStyle name="Normal 5 7 3 5" xfId="41241"/>
    <cellStyle name="Normal 5 7 4" xfId="3285"/>
    <cellStyle name="Normal 5 7 4 2" xfId="41242"/>
    <cellStyle name="Normal 5 7 4 2 2" xfId="41243"/>
    <cellStyle name="Normal 5 7 4 2 2 2" xfId="41244"/>
    <cellStyle name="Normal 5 7 4 2 3" xfId="41245"/>
    <cellStyle name="Normal 5 7 4 3" xfId="41246"/>
    <cellStyle name="Normal 5 7 4 3 2" xfId="41247"/>
    <cellStyle name="Normal 5 7 4 4" xfId="41248"/>
    <cellStyle name="Normal 5 7 5" xfId="41249"/>
    <cellStyle name="Normal 5 7 5 2" xfId="41250"/>
    <cellStyle name="Normal 5 7 5 2 2" xfId="41251"/>
    <cellStyle name="Normal 5 7 5 3" xfId="41252"/>
    <cellStyle name="Normal 5 7 6" xfId="41253"/>
    <cellStyle name="Normal 5 7 6 2" xfId="41254"/>
    <cellStyle name="Normal 5 7 7" xfId="41255"/>
    <cellStyle name="Normal 5 8" xfId="701"/>
    <cellStyle name="Normal 5 8 2" xfId="2061"/>
    <cellStyle name="Normal 5 8 2 2" xfId="4781"/>
    <cellStyle name="Normal 5 8 2 2 2" xfId="41256"/>
    <cellStyle name="Normal 5 8 2 2 2 2" xfId="41257"/>
    <cellStyle name="Normal 5 8 2 2 2 2 2" xfId="41258"/>
    <cellStyle name="Normal 5 8 2 2 2 3" xfId="41259"/>
    <cellStyle name="Normal 5 8 2 2 3" xfId="41260"/>
    <cellStyle name="Normal 5 8 2 2 3 2" xfId="41261"/>
    <cellStyle name="Normal 5 8 2 2 4" xfId="41262"/>
    <cellStyle name="Normal 5 8 2 3" xfId="41263"/>
    <cellStyle name="Normal 5 8 2 3 2" xfId="41264"/>
    <cellStyle name="Normal 5 8 2 3 2 2" xfId="41265"/>
    <cellStyle name="Normal 5 8 2 3 3" xfId="41266"/>
    <cellStyle name="Normal 5 8 2 4" xfId="41267"/>
    <cellStyle name="Normal 5 8 2 4 2" xfId="41268"/>
    <cellStyle name="Normal 5 8 2 5" xfId="41269"/>
    <cellStyle name="Normal 5 8 3" xfId="3421"/>
    <cellStyle name="Normal 5 8 3 2" xfId="41270"/>
    <cellStyle name="Normal 5 8 3 2 2" xfId="41271"/>
    <cellStyle name="Normal 5 8 3 2 2 2" xfId="41272"/>
    <cellStyle name="Normal 5 8 3 2 3" xfId="41273"/>
    <cellStyle name="Normal 5 8 3 3" xfId="41274"/>
    <cellStyle name="Normal 5 8 3 3 2" xfId="41275"/>
    <cellStyle name="Normal 5 8 3 4" xfId="41276"/>
    <cellStyle name="Normal 5 8 4" xfId="41277"/>
    <cellStyle name="Normal 5 8 4 2" xfId="41278"/>
    <cellStyle name="Normal 5 8 4 2 2" xfId="41279"/>
    <cellStyle name="Normal 5 8 4 3" xfId="41280"/>
    <cellStyle name="Normal 5 8 5" xfId="41281"/>
    <cellStyle name="Normal 5 8 5 2" xfId="41282"/>
    <cellStyle name="Normal 5 8 6" xfId="41283"/>
    <cellStyle name="Normal 5 9" xfId="1381"/>
    <cellStyle name="Normal 5 9 2" xfId="4101"/>
    <cellStyle name="Normal 5 9 2 2" xfId="41284"/>
    <cellStyle name="Normal 5 9 2 2 2" xfId="41285"/>
    <cellStyle name="Normal 5 9 2 2 2 2" xfId="41286"/>
    <cellStyle name="Normal 5 9 2 2 3" xfId="41287"/>
    <cellStyle name="Normal 5 9 2 3" xfId="41288"/>
    <cellStyle name="Normal 5 9 2 3 2" xfId="41289"/>
    <cellStyle name="Normal 5 9 2 4" xfId="41290"/>
    <cellStyle name="Normal 5 9 3" xfId="41291"/>
    <cellStyle name="Normal 5 9 3 2" xfId="41292"/>
    <cellStyle name="Normal 5 9 3 2 2" xfId="41293"/>
    <cellStyle name="Normal 5 9 3 3" xfId="41294"/>
    <cellStyle name="Normal 5 9 4" xfId="41295"/>
    <cellStyle name="Normal 5 9 4 2" xfId="41296"/>
    <cellStyle name="Normal 5 9 5" xfId="41297"/>
    <cellStyle name="Normal 6" xfId="24"/>
    <cellStyle name="Normal 6 10" xfId="2748"/>
    <cellStyle name="Normal 6 10 2" xfId="41298"/>
    <cellStyle name="Normal 6 10 2 2" xfId="41299"/>
    <cellStyle name="Normal 6 10 2 2 2" xfId="41300"/>
    <cellStyle name="Normal 6 10 2 3" xfId="41301"/>
    <cellStyle name="Normal 6 10 3" xfId="41302"/>
    <cellStyle name="Normal 6 10 3 2" xfId="41303"/>
    <cellStyle name="Normal 6 10 4" xfId="41304"/>
    <cellStyle name="Normal 6 11" xfId="41305"/>
    <cellStyle name="Normal 6 11 2" xfId="41306"/>
    <cellStyle name="Normal 6 11 2 2" xfId="41307"/>
    <cellStyle name="Normal 6 11 3" xfId="41308"/>
    <cellStyle name="Normal 6 12" xfId="41309"/>
    <cellStyle name="Normal 6 12 2" xfId="41310"/>
    <cellStyle name="Normal 6 13" xfId="41311"/>
    <cellStyle name="Normal 6 2" xfId="43"/>
    <cellStyle name="Normal 6 2 10" xfId="41312"/>
    <cellStyle name="Normal 6 2 10 2" xfId="41313"/>
    <cellStyle name="Normal 6 2 10 2 2" xfId="41314"/>
    <cellStyle name="Normal 6 2 10 3" xfId="41315"/>
    <cellStyle name="Normal 6 2 11" xfId="41316"/>
    <cellStyle name="Normal 6 2 11 2" xfId="41317"/>
    <cellStyle name="Normal 6 2 12" xfId="41318"/>
    <cellStyle name="Normal 6 2 2" xfId="78"/>
    <cellStyle name="Normal 6 2 2 10" xfId="41319"/>
    <cellStyle name="Normal 6 2 2 10 2" xfId="41320"/>
    <cellStyle name="Normal 6 2 2 11" xfId="41321"/>
    <cellStyle name="Normal 6 2 2 2" xfId="146"/>
    <cellStyle name="Normal 6 2 2 2 10" xfId="41322"/>
    <cellStyle name="Normal 6 2 2 2 2" xfId="283"/>
    <cellStyle name="Normal 6 2 2 2 2 2" xfId="555"/>
    <cellStyle name="Normal 6 2 2 2 2 2 2" xfId="1235"/>
    <cellStyle name="Normal 6 2 2 2 2 2 2 2" xfId="2595"/>
    <cellStyle name="Normal 6 2 2 2 2 2 2 2 2" xfId="5315"/>
    <cellStyle name="Normal 6 2 2 2 2 2 2 2 2 2" xfId="41323"/>
    <cellStyle name="Normal 6 2 2 2 2 2 2 2 2 2 2" xfId="41324"/>
    <cellStyle name="Normal 6 2 2 2 2 2 2 2 2 2 2 2" xfId="41325"/>
    <cellStyle name="Normal 6 2 2 2 2 2 2 2 2 2 3" xfId="41326"/>
    <cellStyle name="Normal 6 2 2 2 2 2 2 2 2 3" xfId="41327"/>
    <cellStyle name="Normal 6 2 2 2 2 2 2 2 2 3 2" xfId="41328"/>
    <cellStyle name="Normal 6 2 2 2 2 2 2 2 2 4" xfId="41329"/>
    <cellStyle name="Normal 6 2 2 2 2 2 2 2 3" xfId="41330"/>
    <cellStyle name="Normal 6 2 2 2 2 2 2 2 3 2" xfId="41331"/>
    <cellStyle name="Normal 6 2 2 2 2 2 2 2 3 2 2" xfId="41332"/>
    <cellStyle name="Normal 6 2 2 2 2 2 2 2 3 3" xfId="41333"/>
    <cellStyle name="Normal 6 2 2 2 2 2 2 2 4" xfId="41334"/>
    <cellStyle name="Normal 6 2 2 2 2 2 2 2 4 2" xfId="41335"/>
    <cellStyle name="Normal 6 2 2 2 2 2 2 2 5" xfId="41336"/>
    <cellStyle name="Normal 6 2 2 2 2 2 2 3" xfId="3955"/>
    <cellStyle name="Normal 6 2 2 2 2 2 2 3 2" xfId="41337"/>
    <cellStyle name="Normal 6 2 2 2 2 2 2 3 2 2" xfId="41338"/>
    <cellStyle name="Normal 6 2 2 2 2 2 2 3 2 2 2" xfId="41339"/>
    <cellStyle name="Normal 6 2 2 2 2 2 2 3 2 3" xfId="41340"/>
    <cellStyle name="Normal 6 2 2 2 2 2 2 3 3" xfId="41341"/>
    <cellStyle name="Normal 6 2 2 2 2 2 2 3 3 2" xfId="41342"/>
    <cellStyle name="Normal 6 2 2 2 2 2 2 3 4" xfId="41343"/>
    <cellStyle name="Normal 6 2 2 2 2 2 2 4" xfId="41344"/>
    <cellStyle name="Normal 6 2 2 2 2 2 2 4 2" xfId="41345"/>
    <cellStyle name="Normal 6 2 2 2 2 2 2 4 2 2" xfId="41346"/>
    <cellStyle name="Normal 6 2 2 2 2 2 2 4 3" xfId="41347"/>
    <cellStyle name="Normal 6 2 2 2 2 2 2 5" xfId="41348"/>
    <cellStyle name="Normal 6 2 2 2 2 2 2 5 2" xfId="41349"/>
    <cellStyle name="Normal 6 2 2 2 2 2 2 6" xfId="41350"/>
    <cellStyle name="Normal 6 2 2 2 2 2 3" xfId="1915"/>
    <cellStyle name="Normal 6 2 2 2 2 2 3 2" xfId="4635"/>
    <cellStyle name="Normal 6 2 2 2 2 2 3 2 2" xfId="41351"/>
    <cellStyle name="Normal 6 2 2 2 2 2 3 2 2 2" xfId="41352"/>
    <cellStyle name="Normal 6 2 2 2 2 2 3 2 2 2 2" xfId="41353"/>
    <cellStyle name="Normal 6 2 2 2 2 2 3 2 2 3" xfId="41354"/>
    <cellStyle name="Normal 6 2 2 2 2 2 3 2 3" xfId="41355"/>
    <cellStyle name="Normal 6 2 2 2 2 2 3 2 3 2" xfId="41356"/>
    <cellStyle name="Normal 6 2 2 2 2 2 3 2 4" xfId="41357"/>
    <cellStyle name="Normal 6 2 2 2 2 2 3 3" xfId="41358"/>
    <cellStyle name="Normal 6 2 2 2 2 2 3 3 2" xfId="41359"/>
    <cellStyle name="Normal 6 2 2 2 2 2 3 3 2 2" xfId="41360"/>
    <cellStyle name="Normal 6 2 2 2 2 2 3 3 3" xfId="41361"/>
    <cellStyle name="Normal 6 2 2 2 2 2 3 4" xfId="41362"/>
    <cellStyle name="Normal 6 2 2 2 2 2 3 4 2" xfId="41363"/>
    <cellStyle name="Normal 6 2 2 2 2 2 3 5" xfId="41364"/>
    <cellStyle name="Normal 6 2 2 2 2 2 4" xfId="3275"/>
    <cellStyle name="Normal 6 2 2 2 2 2 4 2" xfId="41365"/>
    <cellStyle name="Normal 6 2 2 2 2 2 4 2 2" xfId="41366"/>
    <cellStyle name="Normal 6 2 2 2 2 2 4 2 2 2" xfId="41367"/>
    <cellStyle name="Normal 6 2 2 2 2 2 4 2 3" xfId="41368"/>
    <cellStyle name="Normal 6 2 2 2 2 2 4 3" xfId="41369"/>
    <cellStyle name="Normal 6 2 2 2 2 2 4 3 2" xfId="41370"/>
    <cellStyle name="Normal 6 2 2 2 2 2 4 4" xfId="41371"/>
    <cellStyle name="Normal 6 2 2 2 2 2 5" xfId="41372"/>
    <cellStyle name="Normal 6 2 2 2 2 2 5 2" xfId="41373"/>
    <cellStyle name="Normal 6 2 2 2 2 2 5 2 2" xfId="41374"/>
    <cellStyle name="Normal 6 2 2 2 2 2 5 3" xfId="41375"/>
    <cellStyle name="Normal 6 2 2 2 2 2 6" xfId="41376"/>
    <cellStyle name="Normal 6 2 2 2 2 2 6 2" xfId="41377"/>
    <cellStyle name="Normal 6 2 2 2 2 2 7" xfId="41378"/>
    <cellStyle name="Normal 6 2 2 2 2 3" xfId="963"/>
    <cellStyle name="Normal 6 2 2 2 2 3 2" xfId="2323"/>
    <cellStyle name="Normal 6 2 2 2 2 3 2 2" xfId="5043"/>
    <cellStyle name="Normal 6 2 2 2 2 3 2 2 2" xfId="41379"/>
    <cellStyle name="Normal 6 2 2 2 2 3 2 2 2 2" xfId="41380"/>
    <cellStyle name="Normal 6 2 2 2 2 3 2 2 2 2 2" xfId="41381"/>
    <cellStyle name="Normal 6 2 2 2 2 3 2 2 2 3" xfId="41382"/>
    <cellStyle name="Normal 6 2 2 2 2 3 2 2 3" xfId="41383"/>
    <cellStyle name="Normal 6 2 2 2 2 3 2 2 3 2" xfId="41384"/>
    <cellStyle name="Normal 6 2 2 2 2 3 2 2 4" xfId="41385"/>
    <cellStyle name="Normal 6 2 2 2 2 3 2 3" xfId="41386"/>
    <cellStyle name="Normal 6 2 2 2 2 3 2 3 2" xfId="41387"/>
    <cellStyle name="Normal 6 2 2 2 2 3 2 3 2 2" xfId="41388"/>
    <cellStyle name="Normal 6 2 2 2 2 3 2 3 3" xfId="41389"/>
    <cellStyle name="Normal 6 2 2 2 2 3 2 4" xfId="41390"/>
    <cellStyle name="Normal 6 2 2 2 2 3 2 4 2" xfId="41391"/>
    <cellStyle name="Normal 6 2 2 2 2 3 2 5" xfId="41392"/>
    <cellStyle name="Normal 6 2 2 2 2 3 3" xfId="3683"/>
    <cellStyle name="Normal 6 2 2 2 2 3 3 2" xfId="41393"/>
    <cellStyle name="Normal 6 2 2 2 2 3 3 2 2" xfId="41394"/>
    <cellStyle name="Normal 6 2 2 2 2 3 3 2 2 2" xfId="41395"/>
    <cellStyle name="Normal 6 2 2 2 2 3 3 2 3" xfId="41396"/>
    <cellStyle name="Normal 6 2 2 2 2 3 3 3" xfId="41397"/>
    <cellStyle name="Normal 6 2 2 2 2 3 3 3 2" xfId="41398"/>
    <cellStyle name="Normal 6 2 2 2 2 3 3 4" xfId="41399"/>
    <cellStyle name="Normal 6 2 2 2 2 3 4" xfId="41400"/>
    <cellStyle name="Normal 6 2 2 2 2 3 4 2" xfId="41401"/>
    <cellStyle name="Normal 6 2 2 2 2 3 4 2 2" xfId="41402"/>
    <cellStyle name="Normal 6 2 2 2 2 3 4 3" xfId="41403"/>
    <cellStyle name="Normal 6 2 2 2 2 3 5" xfId="41404"/>
    <cellStyle name="Normal 6 2 2 2 2 3 5 2" xfId="41405"/>
    <cellStyle name="Normal 6 2 2 2 2 3 6" xfId="41406"/>
    <cellStyle name="Normal 6 2 2 2 2 4" xfId="1643"/>
    <cellStyle name="Normal 6 2 2 2 2 4 2" xfId="4363"/>
    <cellStyle name="Normal 6 2 2 2 2 4 2 2" xfId="41407"/>
    <cellStyle name="Normal 6 2 2 2 2 4 2 2 2" xfId="41408"/>
    <cellStyle name="Normal 6 2 2 2 2 4 2 2 2 2" xfId="41409"/>
    <cellStyle name="Normal 6 2 2 2 2 4 2 2 3" xfId="41410"/>
    <cellStyle name="Normal 6 2 2 2 2 4 2 3" xfId="41411"/>
    <cellStyle name="Normal 6 2 2 2 2 4 2 3 2" xfId="41412"/>
    <cellStyle name="Normal 6 2 2 2 2 4 2 4" xfId="41413"/>
    <cellStyle name="Normal 6 2 2 2 2 4 3" xfId="41414"/>
    <cellStyle name="Normal 6 2 2 2 2 4 3 2" xfId="41415"/>
    <cellStyle name="Normal 6 2 2 2 2 4 3 2 2" xfId="41416"/>
    <cellStyle name="Normal 6 2 2 2 2 4 3 3" xfId="41417"/>
    <cellStyle name="Normal 6 2 2 2 2 4 4" xfId="41418"/>
    <cellStyle name="Normal 6 2 2 2 2 4 4 2" xfId="41419"/>
    <cellStyle name="Normal 6 2 2 2 2 4 5" xfId="41420"/>
    <cellStyle name="Normal 6 2 2 2 2 5" xfId="3003"/>
    <cellStyle name="Normal 6 2 2 2 2 5 2" xfId="41421"/>
    <cellStyle name="Normal 6 2 2 2 2 5 2 2" xfId="41422"/>
    <cellStyle name="Normal 6 2 2 2 2 5 2 2 2" xfId="41423"/>
    <cellStyle name="Normal 6 2 2 2 2 5 2 3" xfId="41424"/>
    <cellStyle name="Normal 6 2 2 2 2 5 3" xfId="41425"/>
    <cellStyle name="Normal 6 2 2 2 2 5 3 2" xfId="41426"/>
    <cellStyle name="Normal 6 2 2 2 2 5 4" xfId="41427"/>
    <cellStyle name="Normal 6 2 2 2 2 6" xfId="41428"/>
    <cellStyle name="Normal 6 2 2 2 2 6 2" xfId="41429"/>
    <cellStyle name="Normal 6 2 2 2 2 6 2 2" xfId="41430"/>
    <cellStyle name="Normal 6 2 2 2 2 6 3" xfId="41431"/>
    <cellStyle name="Normal 6 2 2 2 2 7" xfId="41432"/>
    <cellStyle name="Normal 6 2 2 2 2 7 2" xfId="41433"/>
    <cellStyle name="Normal 6 2 2 2 2 8" xfId="41434"/>
    <cellStyle name="Normal 6 2 2 2 3" xfId="419"/>
    <cellStyle name="Normal 6 2 2 2 3 2" xfId="1099"/>
    <cellStyle name="Normal 6 2 2 2 3 2 2" xfId="2459"/>
    <cellStyle name="Normal 6 2 2 2 3 2 2 2" xfId="5179"/>
    <cellStyle name="Normal 6 2 2 2 3 2 2 2 2" xfId="41435"/>
    <cellStyle name="Normal 6 2 2 2 3 2 2 2 2 2" xfId="41436"/>
    <cellStyle name="Normal 6 2 2 2 3 2 2 2 2 2 2" xfId="41437"/>
    <cellStyle name="Normal 6 2 2 2 3 2 2 2 2 3" xfId="41438"/>
    <cellStyle name="Normal 6 2 2 2 3 2 2 2 3" xfId="41439"/>
    <cellStyle name="Normal 6 2 2 2 3 2 2 2 3 2" xfId="41440"/>
    <cellStyle name="Normal 6 2 2 2 3 2 2 2 4" xfId="41441"/>
    <cellStyle name="Normal 6 2 2 2 3 2 2 3" xfId="41442"/>
    <cellStyle name="Normal 6 2 2 2 3 2 2 3 2" xfId="41443"/>
    <cellStyle name="Normal 6 2 2 2 3 2 2 3 2 2" xfId="41444"/>
    <cellStyle name="Normal 6 2 2 2 3 2 2 3 3" xfId="41445"/>
    <cellStyle name="Normal 6 2 2 2 3 2 2 4" xfId="41446"/>
    <cellStyle name="Normal 6 2 2 2 3 2 2 4 2" xfId="41447"/>
    <cellStyle name="Normal 6 2 2 2 3 2 2 5" xfId="41448"/>
    <cellStyle name="Normal 6 2 2 2 3 2 3" xfId="3819"/>
    <cellStyle name="Normal 6 2 2 2 3 2 3 2" xfId="41449"/>
    <cellStyle name="Normal 6 2 2 2 3 2 3 2 2" xfId="41450"/>
    <cellStyle name="Normal 6 2 2 2 3 2 3 2 2 2" xfId="41451"/>
    <cellStyle name="Normal 6 2 2 2 3 2 3 2 3" xfId="41452"/>
    <cellStyle name="Normal 6 2 2 2 3 2 3 3" xfId="41453"/>
    <cellStyle name="Normal 6 2 2 2 3 2 3 3 2" xfId="41454"/>
    <cellStyle name="Normal 6 2 2 2 3 2 3 4" xfId="41455"/>
    <cellStyle name="Normal 6 2 2 2 3 2 4" xfId="41456"/>
    <cellStyle name="Normal 6 2 2 2 3 2 4 2" xfId="41457"/>
    <cellStyle name="Normal 6 2 2 2 3 2 4 2 2" xfId="41458"/>
    <cellStyle name="Normal 6 2 2 2 3 2 4 3" xfId="41459"/>
    <cellStyle name="Normal 6 2 2 2 3 2 5" xfId="41460"/>
    <cellStyle name="Normal 6 2 2 2 3 2 5 2" xfId="41461"/>
    <cellStyle name="Normal 6 2 2 2 3 2 6" xfId="41462"/>
    <cellStyle name="Normal 6 2 2 2 3 3" xfId="1779"/>
    <cellStyle name="Normal 6 2 2 2 3 3 2" xfId="4499"/>
    <cellStyle name="Normal 6 2 2 2 3 3 2 2" xfId="41463"/>
    <cellStyle name="Normal 6 2 2 2 3 3 2 2 2" xfId="41464"/>
    <cellStyle name="Normal 6 2 2 2 3 3 2 2 2 2" xfId="41465"/>
    <cellStyle name="Normal 6 2 2 2 3 3 2 2 3" xfId="41466"/>
    <cellStyle name="Normal 6 2 2 2 3 3 2 3" xfId="41467"/>
    <cellStyle name="Normal 6 2 2 2 3 3 2 3 2" xfId="41468"/>
    <cellStyle name="Normal 6 2 2 2 3 3 2 4" xfId="41469"/>
    <cellStyle name="Normal 6 2 2 2 3 3 3" xfId="41470"/>
    <cellStyle name="Normal 6 2 2 2 3 3 3 2" xfId="41471"/>
    <cellStyle name="Normal 6 2 2 2 3 3 3 2 2" xfId="41472"/>
    <cellStyle name="Normal 6 2 2 2 3 3 3 3" xfId="41473"/>
    <cellStyle name="Normal 6 2 2 2 3 3 4" xfId="41474"/>
    <cellStyle name="Normal 6 2 2 2 3 3 4 2" xfId="41475"/>
    <cellStyle name="Normal 6 2 2 2 3 3 5" xfId="41476"/>
    <cellStyle name="Normal 6 2 2 2 3 4" xfId="3139"/>
    <cellStyle name="Normal 6 2 2 2 3 4 2" xfId="41477"/>
    <cellStyle name="Normal 6 2 2 2 3 4 2 2" xfId="41478"/>
    <cellStyle name="Normal 6 2 2 2 3 4 2 2 2" xfId="41479"/>
    <cellStyle name="Normal 6 2 2 2 3 4 2 3" xfId="41480"/>
    <cellStyle name="Normal 6 2 2 2 3 4 3" xfId="41481"/>
    <cellStyle name="Normal 6 2 2 2 3 4 3 2" xfId="41482"/>
    <cellStyle name="Normal 6 2 2 2 3 4 4" xfId="41483"/>
    <cellStyle name="Normal 6 2 2 2 3 5" xfId="41484"/>
    <cellStyle name="Normal 6 2 2 2 3 5 2" xfId="41485"/>
    <cellStyle name="Normal 6 2 2 2 3 5 2 2" xfId="41486"/>
    <cellStyle name="Normal 6 2 2 2 3 5 3" xfId="41487"/>
    <cellStyle name="Normal 6 2 2 2 3 6" xfId="41488"/>
    <cellStyle name="Normal 6 2 2 2 3 6 2" xfId="41489"/>
    <cellStyle name="Normal 6 2 2 2 3 7" xfId="41490"/>
    <cellStyle name="Normal 6 2 2 2 4" xfId="691"/>
    <cellStyle name="Normal 6 2 2 2 4 2" xfId="1371"/>
    <cellStyle name="Normal 6 2 2 2 4 2 2" xfId="2731"/>
    <cellStyle name="Normal 6 2 2 2 4 2 2 2" xfId="5451"/>
    <cellStyle name="Normal 6 2 2 2 4 2 2 2 2" xfId="41491"/>
    <cellStyle name="Normal 6 2 2 2 4 2 2 2 2 2" xfId="41492"/>
    <cellStyle name="Normal 6 2 2 2 4 2 2 2 2 2 2" xfId="41493"/>
    <cellStyle name="Normal 6 2 2 2 4 2 2 2 2 3" xfId="41494"/>
    <cellStyle name="Normal 6 2 2 2 4 2 2 2 3" xfId="41495"/>
    <cellStyle name="Normal 6 2 2 2 4 2 2 2 3 2" xfId="41496"/>
    <cellStyle name="Normal 6 2 2 2 4 2 2 2 4" xfId="41497"/>
    <cellStyle name="Normal 6 2 2 2 4 2 2 3" xfId="41498"/>
    <cellStyle name="Normal 6 2 2 2 4 2 2 3 2" xfId="41499"/>
    <cellStyle name="Normal 6 2 2 2 4 2 2 3 2 2" xfId="41500"/>
    <cellStyle name="Normal 6 2 2 2 4 2 2 3 3" xfId="41501"/>
    <cellStyle name="Normal 6 2 2 2 4 2 2 4" xfId="41502"/>
    <cellStyle name="Normal 6 2 2 2 4 2 2 4 2" xfId="41503"/>
    <cellStyle name="Normal 6 2 2 2 4 2 2 5" xfId="41504"/>
    <cellStyle name="Normal 6 2 2 2 4 2 3" xfId="4091"/>
    <cellStyle name="Normal 6 2 2 2 4 2 3 2" xfId="41505"/>
    <cellStyle name="Normal 6 2 2 2 4 2 3 2 2" xfId="41506"/>
    <cellStyle name="Normal 6 2 2 2 4 2 3 2 2 2" xfId="41507"/>
    <cellStyle name="Normal 6 2 2 2 4 2 3 2 3" xfId="41508"/>
    <cellStyle name="Normal 6 2 2 2 4 2 3 3" xfId="41509"/>
    <cellStyle name="Normal 6 2 2 2 4 2 3 3 2" xfId="41510"/>
    <cellStyle name="Normal 6 2 2 2 4 2 3 4" xfId="41511"/>
    <cellStyle name="Normal 6 2 2 2 4 2 4" xfId="41512"/>
    <cellStyle name="Normal 6 2 2 2 4 2 4 2" xfId="41513"/>
    <cellStyle name="Normal 6 2 2 2 4 2 4 2 2" xfId="41514"/>
    <cellStyle name="Normal 6 2 2 2 4 2 4 3" xfId="41515"/>
    <cellStyle name="Normal 6 2 2 2 4 2 5" xfId="41516"/>
    <cellStyle name="Normal 6 2 2 2 4 2 5 2" xfId="41517"/>
    <cellStyle name="Normal 6 2 2 2 4 2 6" xfId="41518"/>
    <cellStyle name="Normal 6 2 2 2 4 3" xfId="2051"/>
    <cellStyle name="Normal 6 2 2 2 4 3 2" xfId="4771"/>
    <cellStyle name="Normal 6 2 2 2 4 3 2 2" xfId="41519"/>
    <cellStyle name="Normal 6 2 2 2 4 3 2 2 2" xfId="41520"/>
    <cellStyle name="Normal 6 2 2 2 4 3 2 2 2 2" xfId="41521"/>
    <cellStyle name="Normal 6 2 2 2 4 3 2 2 3" xfId="41522"/>
    <cellStyle name="Normal 6 2 2 2 4 3 2 3" xfId="41523"/>
    <cellStyle name="Normal 6 2 2 2 4 3 2 3 2" xfId="41524"/>
    <cellStyle name="Normal 6 2 2 2 4 3 2 4" xfId="41525"/>
    <cellStyle name="Normal 6 2 2 2 4 3 3" xfId="41526"/>
    <cellStyle name="Normal 6 2 2 2 4 3 3 2" xfId="41527"/>
    <cellStyle name="Normal 6 2 2 2 4 3 3 2 2" xfId="41528"/>
    <cellStyle name="Normal 6 2 2 2 4 3 3 3" xfId="41529"/>
    <cellStyle name="Normal 6 2 2 2 4 3 4" xfId="41530"/>
    <cellStyle name="Normal 6 2 2 2 4 3 4 2" xfId="41531"/>
    <cellStyle name="Normal 6 2 2 2 4 3 5" xfId="41532"/>
    <cellStyle name="Normal 6 2 2 2 4 4" xfId="3411"/>
    <cellStyle name="Normal 6 2 2 2 4 4 2" xfId="41533"/>
    <cellStyle name="Normal 6 2 2 2 4 4 2 2" xfId="41534"/>
    <cellStyle name="Normal 6 2 2 2 4 4 2 2 2" xfId="41535"/>
    <cellStyle name="Normal 6 2 2 2 4 4 2 3" xfId="41536"/>
    <cellStyle name="Normal 6 2 2 2 4 4 3" xfId="41537"/>
    <cellStyle name="Normal 6 2 2 2 4 4 3 2" xfId="41538"/>
    <cellStyle name="Normal 6 2 2 2 4 4 4" xfId="41539"/>
    <cellStyle name="Normal 6 2 2 2 4 5" xfId="41540"/>
    <cellStyle name="Normal 6 2 2 2 4 5 2" xfId="41541"/>
    <cellStyle name="Normal 6 2 2 2 4 5 2 2" xfId="41542"/>
    <cellStyle name="Normal 6 2 2 2 4 5 3" xfId="41543"/>
    <cellStyle name="Normal 6 2 2 2 4 6" xfId="41544"/>
    <cellStyle name="Normal 6 2 2 2 4 6 2" xfId="41545"/>
    <cellStyle name="Normal 6 2 2 2 4 7" xfId="41546"/>
    <cellStyle name="Normal 6 2 2 2 5" xfId="827"/>
    <cellStyle name="Normal 6 2 2 2 5 2" xfId="2187"/>
    <cellStyle name="Normal 6 2 2 2 5 2 2" xfId="4907"/>
    <cellStyle name="Normal 6 2 2 2 5 2 2 2" xfId="41547"/>
    <cellStyle name="Normal 6 2 2 2 5 2 2 2 2" xfId="41548"/>
    <cellStyle name="Normal 6 2 2 2 5 2 2 2 2 2" xfId="41549"/>
    <cellStyle name="Normal 6 2 2 2 5 2 2 2 3" xfId="41550"/>
    <cellStyle name="Normal 6 2 2 2 5 2 2 3" xfId="41551"/>
    <cellStyle name="Normal 6 2 2 2 5 2 2 3 2" xfId="41552"/>
    <cellStyle name="Normal 6 2 2 2 5 2 2 4" xfId="41553"/>
    <cellStyle name="Normal 6 2 2 2 5 2 3" xfId="41554"/>
    <cellStyle name="Normal 6 2 2 2 5 2 3 2" xfId="41555"/>
    <cellStyle name="Normal 6 2 2 2 5 2 3 2 2" xfId="41556"/>
    <cellStyle name="Normal 6 2 2 2 5 2 3 3" xfId="41557"/>
    <cellStyle name="Normal 6 2 2 2 5 2 4" xfId="41558"/>
    <cellStyle name="Normal 6 2 2 2 5 2 4 2" xfId="41559"/>
    <cellStyle name="Normal 6 2 2 2 5 2 5" xfId="41560"/>
    <cellStyle name="Normal 6 2 2 2 5 3" xfId="3547"/>
    <cellStyle name="Normal 6 2 2 2 5 3 2" xfId="41561"/>
    <cellStyle name="Normal 6 2 2 2 5 3 2 2" xfId="41562"/>
    <cellStyle name="Normal 6 2 2 2 5 3 2 2 2" xfId="41563"/>
    <cellStyle name="Normal 6 2 2 2 5 3 2 3" xfId="41564"/>
    <cellStyle name="Normal 6 2 2 2 5 3 3" xfId="41565"/>
    <cellStyle name="Normal 6 2 2 2 5 3 3 2" xfId="41566"/>
    <cellStyle name="Normal 6 2 2 2 5 3 4" xfId="41567"/>
    <cellStyle name="Normal 6 2 2 2 5 4" xfId="41568"/>
    <cellStyle name="Normal 6 2 2 2 5 4 2" xfId="41569"/>
    <cellStyle name="Normal 6 2 2 2 5 4 2 2" xfId="41570"/>
    <cellStyle name="Normal 6 2 2 2 5 4 3" xfId="41571"/>
    <cellStyle name="Normal 6 2 2 2 5 5" xfId="41572"/>
    <cellStyle name="Normal 6 2 2 2 5 5 2" xfId="41573"/>
    <cellStyle name="Normal 6 2 2 2 5 6" xfId="41574"/>
    <cellStyle name="Normal 6 2 2 2 6" xfId="1507"/>
    <cellStyle name="Normal 6 2 2 2 6 2" xfId="4227"/>
    <cellStyle name="Normal 6 2 2 2 6 2 2" xfId="41575"/>
    <cellStyle name="Normal 6 2 2 2 6 2 2 2" xfId="41576"/>
    <cellStyle name="Normal 6 2 2 2 6 2 2 2 2" xfId="41577"/>
    <cellStyle name="Normal 6 2 2 2 6 2 2 3" xfId="41578"/>
    <cellStyle name="Normal 6 2 2 2 6 2 3" xfId="41579"/>
    <cellStyle name="Normal 6 2 2 2 6 2 3 2" xfId="41580"/>
    <cellStyle name="Normal 6 2 2 2 6 2 4" xfId="41581"/>
    <cellStyle name="Normal 6 2 2 2 6 3" xfId="41582"/>
    <cellStyle name="Normal 6 2 2 2 6 3 2" xfId="41583"/>
    <cellStyle name="Normal 6 2 2 2 6 3 2 2" xfId="41584"/>
    <cellStyle name="Normal 6 2 2 2 6 3 3" xfId="41585"/>
    <cellStyle name="Normal 6 2 2 2 6 4" xfId="41586"/>
    <cellStyle name="Normal 6 2 2 2 6 4 2" xfId="41587"/>
    <cellStyle name="Normal 6 2 2 2 6 5" xfId="41588"/>
    <cellStyle name="Normal 6 2 2 2 7" xfId="2867"/>
    <cellStyle name="Normal 6 2 2 2 7 2" xfId="41589"/>
    <cellStyle name="Normal 6 2 2 2 7 2 2" xfId="41590"/>
    <cellStyle name="Normal 6 2 2 2 7 2 2 2" xfId="41591"/>
    <cellStyle name="Normal 6 2 2 2 7 2 3" xfId="41592"/>
    <cellStyle name="Normal 6 2 2 2 7 3" xfId="41593"/>
    <cellStyle name="Normal 6 2 2 2 7 3 2" xfId="41594"/>
    <cellStyle name="Normal 6 2 2 2 7 4" xfId="41595"/>
    <cellStyle name="Normal 6 2 2 2 8" xfId="41596"/>
    <cellStyle name="Normal 6 2 2 2 8 2" xfId="41597"/>
    <cellStyle name="Normal 6 2 2 2 8 2 2" xfId="41598"/>
    <cellStyle name="Normal 6 2 2 2 8 3" xfId="41599"/>
    <cellStyle name="Normal 6 2 2 2 9" xfId="41600"/>
    <cellStyle name="Normal 6 2 2 2 9 2" xfId="41601"/>
    <cellStyle name="Normal 6 2 2 3" xfId="215"/>
    <cellStyle name="Normal 6 2 2 3 2" xfId="487"/>
    <cellStyle name="Normal 6 2 2 3 2 2" xfId="1167"/>
    <cellStyle name="Normal 6 2 2 3 2 2 2" xfId="2527"/>
    <cellStyle name="Normal 6 2 2 3 2 2 2 2" xfId="5247"/>
    <cellStyle name="Normal 6 2 2 3 2 2 2 2 2" xfId="41602"/>
    <cellStyle name="Normal 6 2 2 3 2 2 2 2 2 2" xfId="41603"/>
    <cellStyle name="Normal 6 2 2 3 2 2 2 2 2 2 2" xfId="41604"/>
    <cellStyle name="Normal 6 2 2 3 2 2 2 2 2 3" xfId="41605"/>
    <cellStyle name="Normal 6 2 2 3 2 2 2 2 3" xfId="41606"/>
    <cellStyle name="Normal 6 2 2 3 2 2 2 2 3 2" xfId="41607"/>
    <cellStyle name="Normal 6 2 2 3 2 2 2 2 4" xfId="41608"/>
    <cellStyle name="Normal 6 2 2 3 2 2 2 3" xfId="41609"/>
    <cellStyle name="Normal 6 2 2 3 2 2 2 3 2" xfId="41610"/>
    <cellStyle name="Normal 6 2 2 3 2 2 2 3 2 2" xfId="41611"/>
    <cellStyle name="Normal 6 2 2 3 2 2 2 3 3" xfId="41612"/>
    <cellStyle name="Normal 6 2 2 3 2 2 2 4" xfId="41613"/>
    <cellStyle name="Normal 6 2 2 3 2 2 2 4 2" xfId="41614"/>
    <cellStyle name="Normal 6 2 2 3 2 2 2 5" xfId="41615"/>
    <cellStyle name="Normal 6 2 2 3 2 2 3" xfId="3887"/>
    <cellStyle name="Normal 6 2 2 3 2 2 3 2" xfId="41616"/>
    <cellStyle name="Normal 6 2 2 3 2 2 3 2 2" xfId="41617"/>
    <cellStyle name="Normal 6 2 2 3 2 2 3 2 2 2" xfId="41618"/>
    <cellStyle name="Normal 6 2 2 3 2 2 3 2 3" xfId="41619"/>
    <cellStyle name="Normal 6 2 2 3 2 2 3 3" xfId="41620"/>
    <cellStyle name="Normal 6 2 2 3 2 2 3 3 2" xfId="41621"/>
    <cellStyle name="Normal 6 2 2 3 2 2 3 4" xfId="41622"/>
    <cellStyle name="Normal 6 2 2 3 2 2 4" xfId="41623"/>
    <cellStyle name="Normal 6 2 2 3 2 2 4 2" xfId="41624"/>
    <cellStyle name="Normal 6 2 2 3 2 2 4 2 2" xfId="41625"/>
    <cellStyle name="Normal 6 2 2 3 2 2 4 3" xfId="41626"/>
    <cellStyle name="Normal 6 2 2 3 2 2 5" xfId="41627"/>
    <cellStyle name="Normal 6 2 2 3 2 2 5 2" xfId="41628"/>
    <cellStyle name="Normal 6 2 2 3 2 2 6" xfId="41629"/>
    <cellStyle name="Normal 6 2 2 3 2 3" xfId="1847"/>
    <cellStyle name="Normal 6 2 2 3 2 3 2" xfId="4567"/>
    <cellStyle name="Normal 6 2 2 3 2 3 2 2" xfId="41630"/>
    <cellStyle name="Normal 6 2 2 3 2 3 2 2 2" xfId="41631"/>
    <cellStyle name="Normal 6 2 2 3 2 3 2 2 2 2" xfId="41632"/>
    <cellStyle name="Normal 6 2 2 3 2 3 2 2 3" xfId="41633"/>
    <cellStyle name="Normal 6 2 2 3 2 3 2 3" xfId="41634"/>
    <cellStyle name="Normal 6 2 2 3 2 3 2 3 2" xfId="41635"/>
    <cellStyle name="Normal 6 2 2 3 2 3 2 4" xfId="41636"/>
    <cellStyle name="Normal 6 2 2 3 2 3 3" xfId="41637"/>
    <cellStyle name="Normal 6 2 2 3 2 3 3 2" xfId="41638"/>
    <cellStyle name="Normal 6 2 2 3 2 3 3 2 2" xfId="41639"/>
    <cellStyle name="Normal 6 2 2 3 2 3 3 3" xfId="41640"/>
    <cellStyle name="Normal 6 2 2 3 2 3 4" xfId="41641"/>
    <cellStyle name="Normal 6 2 2 3 2 3 4 2" xfId="41642"/>
    <cellStyle name="Normal 6 2 2 3 2 3 5" xfId="41643"/>
    <cellStyle name="Normal 6 2 2 3 2 4" xfId="3207"/>
    <cellStyle name="Normal 6 2 2 3 2 4 2" xfId="41644"/>
    <cellStyle name="Normal 6 2 2 3 2 4 2 2" xfId="41645"/>
    <cellStyle name="Normal 6 2 2 3 2 4 2 2 2" xfId="41646"/>
    <cellStyle name="Normal 6 2 2 3 2 4 2 3" xfId="41647"/>
    <cellStyle name="Normal 6 2 2 3 2 4 3" xfId="41648"/>
    <cellStyle name="Normal 6 2 2 3 2 4 3 2" xfId="41649"/>
    <cellStyle name="Normal 6 2 2 3 2 4 4" xfId="41650"/>
    <cellStyle name="Normal 6 2 2 3 2 5" xfId="41651"/>
    <cellStyle name="Normal 6 2 2 3 2 5 2" xfId="41652"/>
    <cellStyle name="Normal 6 2 2 3 2 5 2 2" xfId="41653"/>
    <cellStyle name="Normal 6 2 2 3 2 5 3" xfId="41654"/>
    <cellStyle name="Normal 6 2 2 3 2 6" xfId="41655"/>
    <cellStyle name="Normal 6 2 2 3 2 6 2" xfId="41656"/>
    <cellStyle name="Normal 6 2 2 3 2 7" xfId="41657"/>
    <cellStyle name="Normal 6 2 2 3 3" xfId="895"/>
    <cellStyle name="Normal 6 2 2 3 3 2" xfId="2255"/>
    <cellStyle name="Normal 6 2 2 3 3 2 2" xfId="4975"/>
    <cellStyle name="Normal 6 2 2 3 3 2 2 2" xfId="41658"/>
    <cellStyle name="Normal 6 2 2 3 3 2 2 2 2" xfId="41659"/>
    <cellStyle name="Normal 6 2 2 3 3 2 2 2 2 2" xfId="41660"/>
    <cellStyle name="Normal 6 2 2 3 3 2 2 2 3" xfId="41661"/>
    <cellStyle name="Normal 6 2 2 3 3 2 2 3" xfId="41662"/>
    <cellStyle name="Normal 6 2 2 3 3 2 2 3 2" xfId="41663"/>
    <cellStyle name="Normal 6 2 2 3 3 2 2 4" xfId="41664"/>
    <cellStyle name="Normal 6 2 2 3 3 2 3" xfId="41665"/>
    <cellStyle name="Normal 6 2 2 3 3 2 3 2" xfId="41666"/>
    <cellStyle name="Normal 6 2 2 3 3 2 3 2 2" xfId="41667"/>
    <cellStyle name="Normal 6 2 2 3 3 2 3 3" xfId="41668"/>
    <cellStyle name="Normal 6 2 2 3 3 2 4" xfId="41669"/>
    <cellStyle name="Normal 6 2 2 3 3 2 4 2" xfId="41670"/>
    <cellStyle name="Normal 6 2 2 3 3 2 5" xfId="41671"/>
    <cellStyle name="Normal 6 2 2 3 3 3" xfId="3615"/>
    <cellStyle name="Normal 6 2 2 3 3 3 2" xfId="41672"/>
    <cellStyle name="Normal 6 2 2 3 3 3 2 2" xfId="41673"/>
    <cellStyle name="Normal 6 2 2 3 3 3 2 2 2" xfId="41674"/>
    <cellStyle name="Normal 6 2 2 3 3 3 2 3" xfId="41675"/>
    <cellStyle name="Normal 6 2 2 3 3 3 3" xfId="41676"/>
    <cellStyle name="Normal 6 2 2 3 3 3 3 2" xfId="41677"/>
    <cellStyle name="Normal 6 2 2 3 3 3 4" xfId="41678"/>
    <cellStyle name="Normal 6 2 2 3 3 4" xfId="41679"/>
    <cellStyle name="Normal 6 2 2 3 3 4 2" xfId="41680"/>
    <cellStyle name="Normal 6 2 2 3 3 4 2 2" xfId="41681"/>
    <cellStyle name="Normal 6 2 2 3 3 4 3" xfId="41682"/>
    <cellStyle name="Normal 6 2 2 3 3 5" xfId="41683"/>
    <cellStyle name="Normal 6 2 2 3 3 5 2" xfId="41684"/>
    <cellStyle name="Normal 6 2 2 3 3 6" xfId="41685"/>
    <cellStyle name="Normal 6 2 2 3 4" xfId="1575"/>
    <cellStyle name="Normal 6 2 2 3 4 2" xfId="4295"/>
    <cellStyle name="Normal 6 2 2 3 4 2 2" xfId="41686"/>
    <cellStyle name="Normal 6 2 2 3 4 2 2 2" xfId="41687"/>
    <cellStyle name="Normal 6 2 2 3 4 2 2 2 2" xfId="41688"/>
    <cellStyle name="Normal 6 2 2 3 4 2 2 3" xfId="41689"/>
    <cellStyle name="Normal 6 2 2 3 4 2 3" xfId="41690"/>
    <cellStyle name="Normal 6 2 2 3 4 2 3 2" xfId="41691"/>
    <cellStyle name="Normal 6 2 2 3 4 2 4" xfId="41692"/>
    <cellStyle name="Normal 6 2 2 3 4 3" xfId="41693"/>
    <cellStyle name="Normal 6 2 2 3 4 3 2" xfId="41694"/>
    <cellStyle name="Normal 6 2 2 3 4 3 2 2" xfId="41695"/>
    <cellStyle name="Normal 6 2 2 3 4 3 3" xfId="41696"/>
    <cellStyle name="Normal 6 2 2 3 4 4" xfId="41697"/>
    <cellStyle name="Normal 6 2 2 3 4 4 2" xfId="41698"/>
    <cellStyle name="Normal 6 2 2 3 4 5" xfId="41699"/>
    <cellStyle name="Normal 6 2 2 3 5" xfId="2935"/>
    <cellStyle name="Normal 6 2 2 3 5 2" xfId="41700"/>
    <cellStyle name="Normal 6 2 2 3 5 2 2" xfId="41701"/>
    <cellStyle name="Normal 6 2 2 3 5 2 2 2" xfId="41702"/>
    <cellStyle name="Normal 6 2 2 3 5 2 3" xfId="41703"/>
    <cellStyle name="Normal 6 2 2 3 5 3" xfId="41704"/>
    <cellStyle name="Normal 6 2 2 3 5 3 2" xfId="41705"/>
    <cellStyle name="Normal 6 2 2 3 5 4" xfId="41706"/>
    <cellStyle name="Normal 6 2 2 3 6" xfId="41707"/>
    <cellStyle name="Normal 6 2 2 3 6 2" xfId="41708"/>
    <cellStyle name="Normal 6 2 2 3 6 2 2" xfId="41709"/>
    <cellStyle name="Normal 6 2 2 3 6 3" xfId="41710"/>
    <cellStyle name="Normal 6 2 2 3 7" xfId="41711"/>
    <cellStyle name="Normal 6 2 2 3 7 2" xfId="41712"/>
    <cellStyle name="Normal 6 2 2 3 8" xfId="41713"/>
    <cellStyle name="Normal 6 2 2 4" xfId="351"/>
    <cellStyle name="Normal 6 2 2 4 2" xfId="1031"/>
    <cellStyle name="Normal 6 2 2 4 2 2" xfId="2391"/>
    <cellStyle name="Normal 6 2 2 4 2 2 2" xfId="5111"/>
    <cellStyle name="Normal 6 2 2 4 2 2 2 2" xfId="41714"/>
    <cellStyle name="Normal 6 2 2 4 2 2 2 2 2" xfId="41715"/>
    <cellStyle name="Normal 6 2 2 4 2 2 2 2 2 2" xfId="41716"/>
    <cellStyle name="Normal 6 2 2 4 2 2 2 2 3" xfId="41717"/>
    <cellStyle name="Normal 6 2 2 4 2 2 2 3" xfId="41718"/>
    <cellStyle name="Normal 6 2 2 4 2 2 2 3 2" xfId="41719"/>
    <cellStyle name="Normal 6 2 2 4 2 2 2 4" xfId="41720"/>
    <cellStyle name="Normal 6 2 2 4 2 2 3" xfId="41721"/>
    <cellStyle name="Normal 6 2 2 4 2 2 3 2" xfId="41722"/>
    <cellStyle name="Normal 6 2 2 4 2 2 3 2 2" xfId="41723"/>
    <cellStyle name="Normal 6 2 2 4 2 2 3 3" xfId="41724"/>
    <cellStyle name="Normal 6 2 2 4 2 2 4" xfId="41725"/>
    <cellStyle name="Normal 6 2 2 4 2 2 4 2" xfId="41726"/>
    <cellStyle name="Normal 6 2 2 4 2 2 5" xfId="41727"/>
    <cellStyle name="Normal 6 2 2 4 2 3" xfId="3751"/>
    <cellStyle name="Normal 6 2 2 4 2 3 2" xfId="41728"/>
    <cellStyle name="Normal 6 2 2 4 2 3 2 2" xfId="41729"/>
    <cellStyle name="Normal 6 2 2 4 2 3 2 2 2" xfId="41730"/>
    <cellStyle name="Normal 6 2 2 4 2 3 2 3" xfId="41731"/>
    <cellStyle name="Normal 6 2 2 4 2 3 3" xfId="41732"/>
    <cellStyle name="Normal 6 2 2 4 2 3 3 2" xfId="41733"/>
    <cellStyle name="Normal 6 2 2 4 2 3 4" xfId="41734"/>
    <cellStyle name="Normal 6 2 2 4 2 4" xfId="41735"/>
    <cellStyle name="Normal 6 2 2 4 2 4 2" xfId="41736"/>
    <cellStyle name="Normal 6 2 2 4 2 4 2 2" xfId="41737"/>
    <cellStyle name="Normal 6 2 2 4 2 4 3" xfId="41738"/>
    <cellStyle name="Normal 6 2 2 4 2 5" xfId="41739"/>
    <cellStyle name="Normal 6 2 2 4 2 5 2" xfId="41740"/>
    <cellStyle name="Normal 6 2 2 4 2 6" xfId="41741"/>
    <cellStyle name="Normal 6 2 2 4 3" xfId="1711"/>
    <cellStyle name="Normal 6 2 2 4 3 2" xfId="4431"/>
    <cellStyle name="Normal 6 2 2 4 3 2 2" xfId="41742"/>
    <cellStyle name="Normal 6 2 2 4 3 2 2 2" xfId="41743"/>
    <cellStyle name="Normal 6 2 2 4 3 2 2 2 2" xfId="41744"/>
    <cellStyle name="Normal 6 2 2 4 3 2 2 3" xfId="41745"/>
    <cellStyle name="Normal 6 2 2 4 3 2 3" xfId="41746"/>
    <cellStyle name="Normal 6 2 2 4 3 2 3 2" xfId="41747"/>
    <cellStyle name="Normal 6 2 2 4 3 2 4" xfId="41748"/>
    <cellStyle name="Normal 6 2 2 4 3 3" xfId="41749"/>
    <cellStyle name="Normal 6 2 2 4 3 3 2" xfId="41750"/>
    <cellStyle name="Normal 6 2 2 4 3 3 2 2" xfId="41751"/>
    <cellStyle name="Normal 6 2 2 4 3 3 3" xfId="41752"/>
    <cellStyle name="Normal 6 2 2 4 3 4" xfId="41753"/>
    <cellStyle name="Normal 6 2 2 4 3 4 2" xfId="41754"/>
    <cellStyle name="Normal 6 2 2 4 3 5" xfId="41755"/>
    <cellStyle name="Normal 6 2 2 4 4" xfId="3071"/>
    <cellStyle name="Normal 6 2 2 4 4 2" xfId="41756"/>
    <cellStyle name="Normal 6 2 2 4 4 2 2" xfId="41757"/>
    <cellStyle name="Normal 6 2 2 4 4 2 2 2" xfId="41758"/>
    <cellStyle name="Normal 6 2 2 4 4 2 3" xfId="41759"/>
    <cellStyle name="Normal 6 2 2 4 4 3" xfId="41760"/>
    <cellStyle name="Normal 6 2 2 4 4 3 2" xfId="41761"/>
    <cellStyle name="Normal 6 2 2 4 4 4" xfId="41762"/>
    <cellStyle name="Normal 6 2 2 4 5" xfId="41763"/>
    <cellStyle name="Normal 6 2 2 4 5 2" xfId="41764"/>
    <cellStyle name="Normal 6 2 2 4 5 2 2" xfId="41765"/>
    <cellStyle name="Normal 6 2 2 4 5 3" xfId="41766"/>
    <cellStyle name="Normal 6 2 2 4 6" xfId="41767"/>
    <cellStyle name="Normal 6 2 2 4 6 2" xfId="41768"/>
    <cellStyle name="Normal 6 2 2 4 7" xfId="41769"/>
    <cellStyle name="Normal 6 2 2 5" xfId="623"/>
    <cellStyle name="Normal 6 2 2 5 2" xfId="1303"/>
    <cellStyle name="Normal 6 2 2 5 2 2" xfId="2663"/>
    <cellStyle name="Normal 6 2 2 5 2 2 2" xfId="5383"/>
    <cellStyle name="Normal 6 2 2 5 2 2 2 2" xfId="41770"/>
    <cellStyle name="Normal 6 2 2 5 2 2 2 2 2" xfId="41771"/>
    <cellStyle name="Normal 6 2 2 5 2 2 2 2 2 2" xfId="41772"/>
    <cellStyle name="Normal 6 2 2 5 2 2 2 2 3" xfId="41773"/>
    <cellStyle name="Normal 6 2 2 5 2 2 2 3" xfId="41774"/>
    <cellStyle name="Normal 6 2 2 5 2 2 2 3 2" xfId="41775"/>
    <cellStyle name="Normal 6 2 2 5 2 2 2 4" xfId="41776"/>
    <cellStyle name="Normal 6 2 2 5 2 2 3" xfId="41777"/>
    <cellStyle name="Normal 6 2 2 5 2 2 3 2" xfId="41778"/>
    <cellStyle name="Normal 6 2 2 5 2 2 3 2 2" xfId="41779"/>
    <cellStyle name="Normal 6 2 2 5 2 2 3 3" xfId="41780"/>
    <cellStyle name="Normal 6 2 2 5 2 2 4" xfId="41781"/>
    <cellStyle name="Normal 6 2 2 5 2 2 4 2" xfId="41782"/>
    <cellStyle name="Normal 6 2 2 5 2 2 5" xfId="41783"/>
    <cellStyle name="Normal 6 2 2 5 2 3" xfId="4023"/>
    <cellStyle name="Normal 6 2 2 5 2 3 2" xfId="41784"/>
    <cellStyle name="Normal 6 2 2 5 2 3 2 2" xfId="41785"/>
    <cellStyle name="Normal 6 2 2 5 2 3 2 2 2" xfId="41786"/>
    <cellStyle name="Normal 6 2 2 5 2 3 2 3" xfId="41787"/>
    <cellStyle name="Normal 6 2 2 5 2 3 3" xfId="41788"/>
    <cellStyle name="Normal 6 2 2 5 2 3 3 2" xfId="41789"/>
    <cellStyle name="Normal 6 2 2 5 2 3 4" xfId="41790"/>
    <cellStyle name="Normal 6 2 2 5 2 4" xfId="41791"/>
    <cellStyle name="Normal 6 2 2 5 2 4 2" xfId="41792"/>
    <cellStyle name="Normal 6 2 2 5 2 4 2 2" xfId="41793"/>
    <cellStyle name="Normal 6 2 2 5 2 4 3" xfId="41794"/>
    <cellStyle name="Normal 6 2 2 5 2 5" xfId="41795"/>
    <cellStyle name="Normal 6 2 2 5 2 5 2" xfId="41796"/>
    <cellStyle name="Normal 6 2 2 5 2 6" xfId="41797"/>
    <cellStyle name="Normal 6 2 2 5 3" xfId="1983"/>
    <cellStyle name="Normal 6 2 2 5 3 2" xfId="4703"/>
    <cellStyle name="Normal 6 2 2 5 3 2 2" xfId="41798"/>
    <cellStyle name="Normal 6 2 2 5 3 2 2 2" xfId="41799"/>
    <cellStyle name="Normal 6 2 2 5 3 2 2 2 2" xfId="41800"/>
    <cellStyle name="Normal 6 2 2 5 3 2 2 3" xfId="41801"/>
    <cellStyle name="Normal 6 2 2 5 3 2 3" xfId="41802"/>
    <cellStyle name="Normal 6 2 2 5 3 2 3 2" xfId="41803"/>
    <cellStyle name="Normal 6 2 2 5 3 2 4" xfId="41804"/>
    <cellStyle name="Normal 6 2 2 5 3 3" xfId="41805"/>
    <cellStyle name="Normal 6 2 2 5 3 3 2" xfId="41806"/>
    <cellStyle name="Normal 6 2 2 5 3 3 2 2" xfId="41807"/>
    <cellStyle name="Normal 6 2 2 5 3 3 3" xfId="41808"/>
    <cellStyle name="Normal 6 2 2 5 3 4" xfId="41809"/>
    <cellStyle name="Normal 6 2 2 5 3 4 2" xfId="41810"/>
    <cellStyle name="Normal 6 2 2 5 3 5" xfId="41811"/>
    <cellStyle name="Normal 6 2 2 5 4" xfId="3343"/>
    <cellStyle name="Normal 6 2 2 5 4 2" xfId="41812"/>
    <cellStyle name="Normal 6 2 2 5 4 2 2" xfId="41813"/>
    <cellStyle name="Normal 6 2 2 5 4 2 2 2" xfId="41814"/>
    <cellStyle name="Normal 6 2 2 5 4 2 3" xfId="41815"/>
    <cellStyle name="Normal 6 2 2 5 4 3" xfId="41816"/>
    <cellStyle name="Normal 6 2 2 5 4 3 2" xfId="41817"/>
    <cellStyle name="Normal 6 2 2 5 4 4" xfId="41818"/>
    <cellStyle name="Normal 6 2 2 5 5" xfId="41819"/>
    <cellStyle name="Normal 6 2 2 5 5 2" xfId="41820"/>
    <cellStyle name="Normal 6 2 2 5 5 2 2" xfId="41821"/>
    <cellStyle name="Normal 6 2 2 5 5 3" xfId="41822"/>
    <cellStyle name="Normal 6 2 2 5 6" xfId="41823"/>
    <cellStyle name="Normal 6 2 2 5 6 2" xfId="41824"/>
    <cellStyle name="Normal 6 2 2 5 7" xfId="41825"/>
    <cellStyle name="Normal 6 2 2 6" xfId="759"/>
    <cellStyle name="Normal 6 2 2 6 2" xfId="2119"/>
    <cellStyle name="Normal 6 2 2 6 2 2" xfId="4839"/>
    <cellStyle name="Normal 6 2 2 6 2 2 2" xfId="41826"/>
    <cellStyle name="Normal 6 2 2 6 2 2 2 2" xfId="41827"/>
    <cellStyle name="Normal 6 2 2 6 2 2 2 2 2" xfId="41828"/>
    <cellStyle name="Normal 6 2 2 6 2 2 2 3" xfId="41829"/>
    <cellStyle name="Normal 6 2 2 6 2 2 3" xfId="41830"/>
    <cellStyle name="Normal 6 2 2 6 2 2 3 2" xfId="41831"/>
    <cellStyle name="Normal 6 2 2 6 2 2 4" xfId="41832"/>
    <cellStyle name="Normal 6 2 2 6 2 3" xfId="41833"/>
    <cellStyle name="Normal 6 2 2 6 2 3 2" xfId="41834"/>
    <cellStyle name="Normal 6 2 2 6 2 3 2 2" xfId="41835"/>
    <cellStyle name="Normal 6 2 2 6 2 3 3" xfId="41836"/>
    <cellStyle name="Normal 6 2 2 6 2 4" xfId="41837"/>
    <cellStyle name="Normal 6 2 2 6 2 4 2" xfId="41838"/>
    <cellStyle name="Normal 6 2 2 6 2 5" xfId="41839"/>
    <cellStyle name="Normal 6 2 2 6 3" xfId="3479"/>
    <cellStyle name="Normal 6 2 2 6 3 2" xfId="41840"/>
    <cellStyle name="Normal 6 2 2 6 3 2 2" xfId="41841"/>
    <cellStyle name="Normal 6 2 2 6 3 2 2 2" xfId="41842"/>
    <cellStyle name="Normal 6 2 2 6 3 2 3" xfId="41843"/>
    <cellStyle name="Normal 6 2 2 6 3 3" xfId="41844"/>
    <cellStyle name="Normal 6 2 2 6 3 3 2" xfId="41845"/>
    <cellStyle name="Normal 6 2 2 6 3 4" xfId="41846"/>
    <cellStyle name="Normal 6 2 2 6 4" xfId="41847"/>
    <cellStyle name="Normal 6 2 2 6 4 2" xfId="41848"/>
    <cellStyle name="Normal 6 2 2 6 4 2 2" xfId="41849"/>
    <cellStyle name="Normal 6 2 2 6 4 3" xfId="41850"/>
    <cellStyle name="Normal 6 2 2 6 5" xfId="41851"/>
    <cellStyle name="Normal 6 2 2 6 5 2" xfId="41852"/>
    <cellStyle name="Normal 6 2 2 6 6" xfId="41853"/>
    <cellStyle name="Normal 6 2 2 7" xfId="1439"/>
    <cellStyle name="Normal 6 2 2 7 2" xfId="4159"/>
    <cellStyle name="Normal 6 2 2 7 2 2" xfId="41854"/>
    <cellStyle name="Normal 6 2 2 7 2 2 2" xfId="41855"/>
    <cellStyle name="Normal 6 2 2 7 2 2 2 2" xfId="41856"/>
    <cellStyle name="Normal 6 2 2 7 2 2 3" xfId="41857"/>
    <cellStyle name="Normal 6 2 2 7 2 3" xfId="41858"/>
    <cellStyle name="Normal 6 2 2 7 2 3 2" xfId="41859"/>
    <cellStyle name="Normal 6 2 2 7 2 4" xfId="41860"/>
    <cellStyle name="Normal 6 2 2 7 3" xfId="41861"/>
    <cellStyle name="Normal 6 2 2 7 3 2" xfId="41862"/>
    <cellStyle name="Normal 6 2 2 7 3 2 2" xfId="41863"/>
    <cellStyle name="Normal 6 2 2 7 3 3" xfId="41864"/>
    <cellStyle name="Normal 6 2 2 7 4" xfId="41865"/>
    <cellStyle name="Normal 6 2 2 7 4 2" xfId="41866"/>
    <cellStyle name="Normal 6 2 2 7 5" xfId="41867"/>
    <cellStyle name="Normal 6 2 2 8" xfId="2799"/>
    <cellStyle name="Normal 6 2 2 8 2" xfId="41868"/>
    <cellStyle name="Normal 6 2 2 8 2 2" xfId="41869"/>
    <cellStyle name="Normal 6 2 2 8 2 2 2" xfId="41870"/>
    <cellStyle name="Normal 6 2 2 8 2 3" xfId="41871"/>
    <cellStyle name="Normal 6 2 2 8 3" xfId="41872"/>
    <cellStyle name="Normal 6 2 2 8 3 2" xfId="41873"/>
    <cellStyle name="Normal 6 2 2 8 4" xfId="41874"/>
    <cellStyle name="Normal 6 2 2 9" xfId="41875"/>
    <cellStyle name="Normal 6 2 2 9 2" xfId="41876"/>
    <cellStyle name="Normal 6 2 2 9 2 2" xfId="41877"/>
    <cellStyle name="Normal 6 2 2 9 3" xfId="41878"/>
    <cellStyle name="Normal 6 2 3" xfId="112"/>
    <cellStyle name="Normal 6 2 3 10" xfId="41879"/>
    <cellStyle name="Normal 6 2 3 2" xfId="249"/>
    <cellStyle name="Normal 6 2 3 2 2" xfId="521"/>
    <cellStyle name="Normal 6 2 3 2 2 2" xfId="1201"/>
    <cellStyle name="Normal 6 2 3 2 2 2 2" xfId="2561"/>
    <cellStyle name="Normal 6 2 3 2 2 2 2 2" xfId="5281"/>
    <cellStyle name="Normal 6 2 3 2 2 2 2 2 2" xfId="41880"/>
    <cellStyle name="Normal 6 2 3 2 2 2 2 2 2 2" xfId="41881"/>
    <cellStyle name="Normal 6 2 3 2 2 2 2 2 2 2 2" xfId="41882"/>
    <cellStyle name="Normal 6 2 3 2 2 2 2 2 2 3" xfId="41883"/>
    <cellStyle name="Normal 6 2 3 2 2 2 2 2 3" xfId="41884"/>
    <cellStyle name="Normal 6 2 3 2 2 2 2 2 3 2" xfId="41885"/>
    <cellStyle name="Normal 6 2 3 2 2 2 2 2 4" xfId="41886"/>
    <cellStyle name="Normal 6 2 3 2 2 2 2 3" xfId="41887"/>
    <cellStyle name="Normal 6 2 3 2 2 2 2 3 2" xfId="41888"/>
    <cellStyle name="Normal 6 2 3 2 2 2 2 3 2 2" xfId="41889"/>
    <cellStyle name="Normal 6 2 3 2 2 2 2 3 3" xfId="41890"/>
    <cellStyle name="Normal 6 2 3 2 2 2 2 4" xfId="41891"/>
    <cellStyle name="Normal 6 2 3 2 2 2 2 4 2" xfId="41892"/>
    <cellStyle name="Normal 6 2 3 2 2 2 2 5" xfId="41893"/>
    <cellStyle name="Normal 6 2 3 2 2 2 3" xfId="3921"/>
    <cellStyle name="Normal 6 2 3 2 2 2 3 2" xfId="41894"/>
    <cellStyle name="Normal 6 2 3 2 2 2 3 2 2" xfId="41895"/>
    <cellStyle name="Normal 6 2 3 2 2 2 3 2 2 2" xfId="41896"/>
    <cellStyle name="Normal 6 2 3 2 2 2 3 2 3" xfId="41897"/>
    <cellStyle name="Normal 6 2 3 2 2 2 3 3" xfId="41898"/>
    <cellStyle name="Normal 6 2 3 2 2 2 3 3 2" xfId="41899"/>
    <cellStyle name="Normal 6 2 3 2 2 2 3 4" xfId="41900"/>
    <cellStyle name="Normal 6 2 3 2 2 2 4" xfId="41901"/>
    <cellStyle name="Normal 6 2 3 2 2 2 4 2" xfId="41902"/>
    <cellStyle name="Normal 6 2 3 2 2 2 4 2 2" xfId="41903"/>
    <cellStyle name="Normal 6 2 3 2 2 2 4 3" xfId="41904"/>
    <cellStyle name="Normal 6 2 3 2 2 2 5" xfId="41905"/>
    <cellStyle name="Normal 6 2 3 2 2 2 5 2" xfId="41906"/>
    <cellStyle name="Normal 6 2 3 2 2 2 6" xfId="41907"/>
    <cellStyle name="Normal 6 2 3 2 2 3" xfId="1881"/>
    <cellStyle name="Normal 6 2 3 2 2 3 2" xfId="4601"/>
    <cellStyle name="Normal 6 2 3 2 2 3 2 2" xfId="41908"/>
    <cellStyle name="Normal 6 2 3 2 2 3 2 2 2" xfId="41909"/>
    <cellStyle name="Normal 6 2 3 2 2 3 2 2 2 2" xfId="41910"/>
    <cellStyle name="Normal 6 2 3 2 2 3 2 2 3" xfId="41911"/>
    <cellStyle name="Normal 6 2 3 2 2 3 2 3" xfId="41912"/>
    <cellStyle name="Normal 6 2 3 2 2 3 2 3 2" xfId="41913"/>
    <cellStyle name="Normal 6 2 3 2 2 3 2 4" xfId="41914"/>
    <cellStyle name="Normal 6 2 3 2 2 3 3" xfId="41915"/>
    <cellStyle name="Normal 6 2 3 2 2 3 3 2" xfId="41916"/>
    <cellStyle name="Normal 6 2 3 2 2 3 3 2 2" xfId="41917"/>
    <cellStyle name="Normal 6 2 3 2 2 3 3 3" xfId="41918"/>
    <cellStyle name="Normal 6 2 3 2 2 3 4" xfId="41919"/>
    <cellStyle name="Normal 6 2 3 2 2 3 4 2" xfId="41920"/>
    <cellStyle name="Normal 6 2 3 2 2 3 5" xfId="41921"/>
    <cellStyle name="Normal 6 2 3 2 2 4" xfId="3241"/>
    <cellStyle name="Normal 6 2 3 2 2 4 2" xfId="41922"/>
    <cellStyle name="Normal 6 2 3 2 2 4 2 2" xfId="41923"/>
    <cellStyle name="Normal 6 2 3 2 2 4 2 2 2" xfId="41924"/>
    <cellStyle name="Normal 6 2 3 2 2 4 2 3" xfId="41925"/>
    <cellStyle name="Normal 6 2 3 2 2 4 3" xfId="41926"/>
    <cellStyle name="Normal 6 2 3 2 2 4 3 2" xfId="41927"/>
    <cellStyle name="Normal 6 2 3 2 2 4 4" xfId="41928"/>
    <cellStyle name="Normal 6 2 3 2 2 5" xfId="41929"/>
    <cellStyle name="Normal 6 2 3 2 2 5 2" xfId="41930"/>
    <cellStyle name="Normal 6 2 3 2 2 5 2 2" xfId="41931"/>
    <cellStyle name="Normal 6 2 3 2 2 5 3" xfId="41932"/>
    <cellStyle name="Normal 6 2 3 2 2 6" xfId="41933"/>
    <cellStyle name="Normal 6 2 3 2 2 6 2" xfId="41934"/>
    <cellStyle name="Normal 6 2 3 2 2 7" xfId="41935"/>
    <cellStyle name="Normal 6 2 3 2 3" xfId="929"/>
    <cellStyle name="Normal 6 2 3 2 3 2" xfId="2289"/>
    <cellStyle name="Normal 6 2 3 2 3 2 2" xfId="5009"/>
    <cellStyle name="Normal 6 2 3 2 3 2 2 2" xfId="41936"/>
    <cellStyle name="Normal 6 2 3 2 3 2 2 2 2" xfId="41937"/>
    <cellStyle name="Normal 6 2 3 2 3 2 2 2 2 2" xfId="41938"/>
    <cellStyle name="Normal 6 2 3 2 3 2 2 2 3" xfId="41939"/>
    <cellStyle name="Normal 6 2 3 2 3 2 2 3" xfId="41940"/>
    <cellStyle name="Normal 6 2 3 2 3 2 2 3 2" xfId="41941"/>
    <cellStyle name="Normal 6 2 3 2 3 2 2 4" xfId="41942"/>
    <cellStyle name="Normal 6 2 3 2 3 2 3" xfId="41943"/>
    <cellStyle name="Normal 6 2 3 2 3 2 3 2" xfId="41944"/>
    <cellStyle name="Normal 6 2 3 2 3 2 3 2 2" xfId="41945"/>
    <cellStyle name="Normal 6 2 3 2 3 2 3 3" xfId="41946"/>
    <cellStyle name="Normal 6 2 3 2 3 2 4" xfId="41947"/>
    <cellStyle name="Normal 6 2 3 2 3 2 4 2" xfId="41948"/>
    <cellStyle name="Normal 6 2 3 2 3 2 5" xfId="41949"/>
    <cellStyle name="Normal 6 2 3 2 3 3" xfId="3649"/>
    <cellStyle name="Normal 6 2 3 2 3 3 2" xfId="41950"/>
    <cellStyle name="Normal 6 2 3 2 3 3 2 2" xfId="41951"/>
    <cellStyle name="Normal 6 2 3 2 3 3 2 2 2" xfId="41952"/>
    <cellStyle name="Normal 6 2 3 2 3 3 2 3" xfId="41953"/>
    <cellStyle name="Normal 6 2 3 2 3 3 3" xfId="41954"/>
    <cellStyle name="Normal 6 2 3 2 3 3 3 2" xfId="41955"/>
    <cellStyle name="Normal 6 2 3 2 3 3 4" xfId="41956"/>
    <cellStyle name="Normal 6 2 3 2 3 4" xfId="41957"/>
    <cellStyle name="Normal 6 2 3 2 3 4 2" xfId="41958"/>
    <cellStyle name="Normal 6 2 3 2 3 4 2 2" xfId="41959"/>
    <cellStyle name="Normal 6 2 3 2 3 4 3" xfId="41960"/>
    <cellStyle name="Normal 6 2 3 2 3 5" xfId="41961"/>
    <cellStyle name="Normal 6 2 3 2 3 5 2" xfId="41962"/>
    <cellStyle name="Normal 6 2 3 2 3 6" xfId="41963"/>
    <cellStyle name="Normal 6 2 3 2 4" xfId="1609"/>
    <cellStyle name="Normal 6 2 3 2 4 2" xfId="4329"/>
    <cellStyle name="Normal 6 2 3 2 4 2 2" xfId="41964"/>
    <cellStyle name="Normal 6 2 3 2 4 2 2 2" xfId="41965"/>
    <cellStyle name="Normal 6 2 3 2 4 2 2 2 2" xfId="41966"/>
    <cellStyle name="Normal 6 2 3 2 4 2 2 3" xfId="41967"/>
    <cellStyle name="Normal 6 2 3 2 4 2 3" xfId="41968"/>
    <cellStyle name="Normal 6 2 3 2 4 2 3 2" xfId="41969"/>
    <cellStyle name="Normal 6 2 3 2 4 2 4" xfId="41970"/>
    <cellStyle name="Normal 6 2 3 2 4 3" xfId="41971"/>
    <cellStyle name="Normal 6 2 3 2 4 3 2" xfId="41972"/>
    <cellStyle name="Normal 6 2 3 2 4 3 2 2" xfId="41973"/>
    <cellStyle name="Normal 6 2 3 2 4 3 3" xfId="41974"/>
    <cellStyle name="Normal 6 2 3 2 4 4" xfId="41975"/>
    <cellStyle name="Normal 6 2 3 2 4 4 2" xfId="41976"/>
    <cellStyle name="Normal 6 2 3 2 4 5" xfId="41977"/>
    <cellStyle name="Normal 6 2 3 2 5" xfId="2969"/>
    <cellStyle name="Normal 6 2 3 2 5 2" xfId="41978"/>
    <cellStyle name="Normal 6 2 3 2 5 2 2" xfId="41979"/>
    <cellStyle name="Normal 6 2 3 2 5 2 2 2" xfId="41980"/>
    <cellStyle name="Normal 6 2 3 2 5 2 3" xfId="41981"/>
    <cellStyle name="Normal 6 2 3 2 5 3" xfId="41982"/>
    <cellStyle name="Normal 6 2 3 2 5 3 2" xfId="41983"/>
    <cellStyle name="Normal 6 2 3 2 5 4" xfId="41984"/>
    <cellStyle name="Normal 6 2 3 2 6" xfId="41985"/>
    <cellStyle name="Normal 6 2 3 2 6 2" xfId="41986"/>
    <cellStyle name="Normal 6 2 3 2 6 2 2" xfId="41987"/>
    <cellStyle name="Normal 6 2 3 2 6 3" xfId="41988"/>
    <cellStyle name="Normal 6 2 3 2 7" xfId="41989"/>
    <cellStyle name="Normal 6 2 3 2 7 2" xfId="41990"/>
    <cellStyle name="Normal 6 2 3 2 8" xfId="41991"/>
    <cellStyle name="Normal 6 2 3 3" xfId="385"/>
    <cellStyle name="Normal 6 2 3 3 2" xfId="1065"/>
    <cellStyle name="Normal 6 2 3 3 2 2" xfId="2425"/>
    <cellStyle name="Normal 6 2 3 3 2 2 2" xfId="5145"/>
    <cellStyle name="Normal 6 2 3 3 2 2 2 2" xfId="41992"/>
    <cellStyle name="Normal 6 2 3 3 2 2 2 2 2" xfId="41993"/>
    <cellStyle name="Normal 6 2 3 3 2 2 2 2 2 2" xfId="41994"/>
    <cellStyle name="Normal 6 2 3 3 2 2 2 2 3" xfId="41995"/>
    <cellStyle name="Normal 6 2 3 3 2 2 2 3" xfId="41996"/>
    <cellStyle name="Normal 6 2 3 3 2 2 2 3 2" xfId="41997"/>
    <cellStyle name="Normal 6 2 3 3 2 2 2 4" xfId="41998"/>
    <cellStyle name="Normal 6 2 3 3 2 2 3" xfId="41999"/>
    <cellStyle name="Normal 6 2 3 3 2 2 3 2" xfId="42000"/>
    <cellStyle name="Normal 6 2 3 3 2 2 3 2 2" xfId="42001"/>
    <cellStyle name="Normal 6 2 3 3 2 2 3 3" xfId="42002"/>
    <cellStyle name="Normal 6 2 3 3 2 2 4" xfId="42003"/>
    <cellStyle name="Normal 6 2 3 3 2 2 4 2" xfId="42004"/>
    <cellStyle name="Normal 6 2 3 3 2 2 5" xfId="42005"/>
    <cellStyle name="Normal 6 2 3 3 2 3" xfId="3785"/>
    <cellStyle name="Normal 6 2 3 3 2 3 2" xfId="42006"/>
    <cellStyle name="Normal 6 2 3 3 2 3 2 2" xfId="42007"/>
    <cellStyle name="Normal 6 2 3 3 2 3 2 2 2" xfId="42008"/>
    <cellStyle name="Normal 6 2 3 3 2 3 2 3" xfId="42009"/>
    <cellStyle name="Normal 6 2 3 3 2 3 3" xfId="42010"/>
    <cellStyle name="Normal 6 2 3 3 2 3 3 2" xfId="42011"/>
    <cellStyle name="Normal 6 2 3 3 2 3 4" xfId="42012"/>
    <cellStyle name="Normal 6 2 3 3 2 4" xfId="42013"/>
    <cellStyle name="Normal 6 2 3 3 2 4 2" xfId="42014"/>
    <cellStyle name="Normal 6 2 3 3 2 4 2 2" xfId="42015"/>
    <cellStyle name="Normal 6 2 3 3 2 4 3" xfId="42016"/>
    <cellStyle name="Normal 6 2 3 3 2 5" xfId="42017"/>
    <cellStyle name="Normal 6 2 3 3 2 5 2" xfId="42018"/>
    <cellStyle name="Normal 6 2 3 3 2 6" xfId="42019"/>
    <cellStyle name="Normal 6 2 3 3 3" xfId="1745"/>
    <cellStyle name="Normal 6 2 3 3 3 2" xfId="4465"/>
    <cellStyle name="Normal 6 2 3 3 3 2 2" xfId="42020"/>
    <cellStyle name="Normal 6 2 3 3 3 2 2 2" xfId="42021"/>
    <cellStyle name="Normal 6 2 3 3 3 2 2 2 2" xfId="42022"/>
    <cellStyle name="Normal 6 2 3 3 3 2 2 3" xfId="42023"/>
    <cellStyle name="Normal 6 2 3 3 3 2 3" xfId="42024"/>
    <cellStyle name="Normal 6 2 3 3 3 2 3 2" xfId="42025"/>
    <cellStyle name="Normal 6 2 3 3 3 2 4" xfId="42026"/>
    <cellStyle name="Normal 6 2 3 3 3 3" xfId="42027"/>
    <cellStyle name="Normal 6 2 3 3 3 3 2" xfId="42028"/>
    <cellStyle name="Normal 6 2 3 3 3 3 2 2" xfId="42029"/>
    <cellStyle name="Normal 6 2 3 3 3 3 3" xfId="42030"/>
    <cellStyle name="Normal 6 2 3 3 3 4" xfId="42031"/>
    <cellStyle name="Normal 6 2 3 3 3 4 2" xfId="42032"/>
    <cellStyle name="Normal 6 2 3 3 3 5" xfId="42033"/>
    <cellStyle name="Normal 6 2 3 3 4" xfId="3105"/>
    <cellStyle name="Normal 6 2 3 3 4 2" xfId="42034"/>
    <cellStyle name="Normal 6 2 3 3 4 2 2" xfId="42035"/>
    <cellStyle name="Normal 6 2 3 3 4 2 2 2" xfId="42036"/>
    <cellStyle name="Normal 6 2 3 3 4 2 3" xfId="42037"/>
    <cellStyle name="Normal 6 2 3 3 4 3" xfId="42038"/>
    <cellStyle name="Normal 6 2 3 3 4 3 2" xfId="42039"/>
    <cellStyle name="Normal 6 2 3 3 4 4" xfId="42040"/>
    <cellStyle name="Normal 6 2 3 3 5" xfId="42041"/>
    <cellStyle name="Normal 6 2 3 3 5 2" xfId="42042"/>
    <cellStyle name="Normal 6 2 3 3 5 2 2" xfId="42043"/>
    <cellStyle name="Normal 6 2 3 3 5 3" xfId="42044"/>
    <cellStyle name="Normal 6 2 3 3 6" xfId="42045"/>
    <cellStyle name="Normal 6 2 3 3 6 2" xfId="42046"/>
    <cellStyle name="Normal 6 2 3 3 7" xfId="42047"/>
    <cellStyle name="Normal 6 2 3 4" xfId="657"/>
    <cellStyle name="Normal 6 2 3 4 2" xfId="1337"/>
    <cellStyle name="Normal 6 2 3 4 2 2" xfId="2697"/>
    <cellStyle name="Normal 6 2 3 4 2 2 2" xfId="5417"/>
    <cellStyle name="Normal 6 2 3 4 2 2 2 2" xfId="42048"/>
    <cellStyle name="Normal 6 2 3 4 2 2 2 2 2" xfId="42049"/>
    <cellStyle name="Normal 6 2 3 4 2 2 2 2 2 2" xfId="42050"/>
    <cellStyle name="Normal 6 2 3 4 2 2 2 2 3" xfId="42051"/>
    <cellStyle name="Normal 6 2 3 4 2 2 2 3" xfId="42052"/>
    <cellStyle name="Normal 6 2 3 4 2 2 2 3 2" xfId="42053"/>
    <cellStyle name="Normal 6 2 3 4 2 2 2 4" xfId="42054"/>
    <cellStyle name="Normal 6 2 3 4 2 2 3" xfId="42055"/>
    <cellStyle name="Normal 6 2 3 4 2 2 3 2" xfId="42056"/>
    <cellStyle name="Normal 6 2 3 4 2 2 3 2 2" xfId="42057"/>
    <cellStyle name="Normal 6 2 3 4 2 2 3 3" xfId="42058"/>
    <cellStyle name="Normal 6 2 3 4 2 2 4" xfId="42059"/>
    <cellStyle name="Normal 6 2 3 4 2 2 4 2" xfId="42060"/>
    <cellStyle name="Normal 6 2 3 4 2 2 5" xfId="42061"/>
    <cellStyle name="Normal 6 2 3 4 2 3" xfId="4057"/>
    <cellStyle name="Normal 6 2 3 4 2 3 2" xfId="42062"/>
    <cellStyle name="Normal 6 2 3 4 2 3 2 2" xfId="42063"/>
    <cellStyle name="Normal 6 2 3 4 2 3 2 2 2" xfId="42064"/>
    <cellStyle name="Normal 6 2 3 4 2 3 2 3" xfId="42065"/>
    <cellStyle name="Normal 6 2 3 4 2 3 3" xfId="42066"/>
    <cellStyle name="Normal 6 2 3 4 2 3 3 2" xfId="42067"/>
    <cellStyle name="Normal 6 2 3 4 2 3 4" xfId="42068"/>
    <cellStyle name="Normal 6 2 3 4 2 4" xfId="42069"/>
    <cellStyle name="Normal 6 2 3 4 2 4 2" xfId="42070"/>
    <cellStyle name="Normal 6 2 3 4 2 4 2 2" xfId="42071"/>
    <cellStyle name="Normal 6 2 3 4 2 4 3" xfId="42072"/>
    <cellStyle name="Normal 6 2 3 4 2 5" xfId="42073"/>
    <cellStyle name="Normal 6 2 3 4 2 5 2" xfId="42074"/>
    <cellStyle name="Normal 6 2 3 4 2 6" xfId="42075"/>
    <cellStyle name="Normal 6 2 3 4 3" xfId="2017"/>
    <cellStyle name="Normal 6 2 3 4 3 2" xfId="4737"/>
    <cellStyle name="Normal 6 2 3 4 3 2 2" xfId="42076"/>
    <cellStyle name="Normal 6 2 3 4 3 2 2 2" xfId="42077"/>
    <cellStyle name="Normal 6 2 3 4 3 2 2 2 2" xfId="42078"/>
    <cellStyle name="Normal 6 2 3 4 3 2 2 3" xfId="42079"/>
    <cellStyle name="Normal 6 2 3 4 3 2 3" xfId="42080"/>
    <cellStyle name="Normal 6 2 3 4 3 2 3 2" xfId="42081"/>
    <cellStyle name="Normal 6 2 3 4 3 2 4" xfId="42082"/>
    <cellStyle name="Normal 6 2 3 4 3 3" xfId="42083"/>
    <cellStyle name="Normal 6 2 3 4 3 3 2" xfId="42084"/>
    <cellStyle name="Normal 6 2 3 4 3 3 2 2" xfId="42085"/>
    <cellStyle name="Normal 6 2 3 4 3 3 3" xfId="42086"/>
    <cellStyle name="Normal 6 2 3 4 3 4" xfId="42087"/>
    <cellStyle name="Normal 6 2 3 4 3 4 2" xfId="42088"/>
    <cellStyle name="Normal 6 2 3 4 3 5" xfId="42089"/>
    <cellStyle name="Normal 6 2 3 4 4" xfId="3377"/>
    <cellStyle name="Normal 6 2 3 4 4 2" xfId="42090"/>
    <cellStyle name="Normal 6 2 3 4 4 2 2" xfId="42091"/>
    <cellStyle name="Normal 6 2 3 4 4 2 2 2" xfId="42092"/>
    <cellStyle name="Normal 6 2 3 4 4 2 3" xfId="42093"/>
    <cellStyle name="Normal 6 2 3 4 4 3" xfId="42094"/>
    <cellStyle name="Normal 6 2 3 4 4 3 2" xfId="42095"/>
    <cellStyle name="Normal 6 2 3 4 4 4" xfId="42096"/>
    <cellStyle name="Normal 6 2 3 4 5" xfId="42097"/>
    <cellStyle name="Normal 6 2 3 4 5 2" xfId="42098"/>
    <cellStyle name="Normal 6 2 3 4 5 2 2" xfId="42099"/>
    <cellStyle name="Normal 6 2 3 4 5 3" xfId="42100"/>
    <cellStyle name="Normal 6 2 3 4 6" xfId="42101"/>
    <cellStyle name="Normal 6 2 3 4 6 2" xfId="42102"/>
    <cellStyle name="Normal 6 2 3 4 7" xfId="42103"/>
    <cellStyle name="Normal 6 2 3 5" xfId="793"/>
    <cellStyle name="Normal 6 2 3 5 2" xfId="2153"/>
    <cellStyle name="Normal 6 2 3 5 2 2" xfId="4873"/>
    <cellStyle name="Normal 6 2 3 5 2 2 2" xfId="42104"/>
    <cellStyle name="Normal 6 2 3 5 2 2 2 2" xfId="42105"/>
    <cellStyle name="Normal 6 2 3 5 2 2 2 2 2" xfId="42106"/>
    <cellStyle name="Normal 6 2 3 5 2 2 2 3" xfId="42107"/>
    <cellStyle name="Normal 6 2 3 5 2 2 3" xfId="42108"/>
    <cellStyle name="Normal 6 2 3 5 2 2 3 2" xfId="42109"/>
    <cellStyle name="Normal 6 2 3 5 2 2 4" xfId="42110"/>
    <cellStyle name="Normal 6 2 3 5 2 3" xfId="42111"/>
    <cellStyle name="Normal 6 2 3 5 2 3 2" xfId="42112"/>
    <cellStyle name="Normal 6 2 3 5 2 3 2 2" xfId="42113"/>
    <cellStyle name="Normal 6 2 3 5 2 3 3" xfId="42114"/>
    <cellStyle name="Normal 6 2 3 5 2 4" xfId="42115"/>
    <cellStyle name="Normal 6 2 3 5 2 4 2" xfId="42116"/>
    <cellStyle name="Normal 6 2 3 5 2 5" xfId="42117"/>
    <cellStyle name="Normal 6 2 3 5 3" xfId="3513"/>
    <cellStyle name="Normal 6 2 3 5 3 2" xfId="42118"/>
    <cellStyle name="Normal 6 2 3 5 3 2 2" xfId="42119"/>
    <cellStyle name="Normal 6 2 3 5 3 2 2 2" xfId="42120"/>
    <cellStyle name="Normal 6 2 3 5 3 2 3" xfId="42121"/>
    <cellStyle name="Normal 6 2 3 5 3 3" xfId="42122"/>
    <cellStyle name="Normal 6 2 3 5 3 3 2" xfId="42123"/>
    <cellStyle name="Normal 6 2 3 5 3 4" xfId="42124"/>
    <cellStyle name="Normal 6 2 3 5 4" xfId="42125"/>
    <cellStyle name="Normal 6 2 3 5 4 2" xfId="42126"/>
    <cellStyle name="Normal 6 2 3 5 4 2 2" xfId="42127"/>
    <cellStyle name="Normal 6 2 3 5 4 3" xfId="42128"/>
    <cellStyle name="Normal 6 2 3 5 5" xfId="42129"/>
    <cellStyle name="Normal 6 2 3 5 5 2" xfId="42130"/>
    <cellStyle name="Normal 6 2 3 5 6" xfId="42131"/>
    <cellStyle name="Normal 6 2 3 6" xfId="1473"/>
    <cellStyle name="Normal 6 2 3 6 2" xfId="4193"/>
    <cellStyle name="Normal 6 2 3 6 2 2" xfId="42132"/>
    <cellStyle name="Normal 6 2 3 6 2 2 2" xfId="42133"/>
    <cellStyle name="Normal 6 2 3 6 2 2 2 2" xfId="42134"/>
    <cellStyle name="Normal 6 2 3 6 2 2 3" xfId="42135"/>
    <cellStyle name="Normal 6 2 3 6 2 3" xfId="42136"/>
    <cellStyle name="Normal 6 2 3 6 2 3 2" xfId="42137"/>
    <cellStyle name="Normal 6 2 3 6 2 4" xfId="42138"/>
    <cellStyle name="Normal 6 2 3 6 3" xfId="42139"/>
    <cellStyle name="Normal 6 2 3 6 3 2" xfId="42140"/>
    <cellStyle name="Normal 6 2 3 6 3 2 2" xfId="42141"/>
    <cellStyle name="Normal 6 2 3 6 3 3" xfId="42142"/>
    <cellStyle name="Normal 6 2 3 6 4" xfId="42143"/>
    <cellStyle name="Normal 6 2 3 6 4 2" xfId="42144"/>
    <cellStyle name="Normal 6 2 3 6 5" xfId="42145"/>
    <cellStyle name="Normal 6 2 3 7" xfId="2833"/>
    <cellStyle name="Normal 6 2 3 7 2" xfId="42146"/>
    <cellStyle name="Normal 6 2 3 7 2 2" xfId="42147"/>
    <cellStyle name="Normal 6 2 3 7 2 2 2" xfId="42148"/>
    <cellStyle name="Normal 6 2 3 7 2 3" xfId="42149"/>
    <cellStyle name="Normal 6 2 3 7 3" xfId="42150"/>
    <cellStyle name="Normal 6 2 3 7 3 2" xfId="42151"/>
    <cellStyle name="Normal 6 2 3 7 4" xfId="42152"/>
    <cellStyle name="Normal 6 2 3 8" xfId="42153"/>
    <cellStyle name="Normal 6 2 3 8 2" xfId="42154"/>
    <cellStyle name="Normal 6 2 3 8 2 2" xfId="42155"/>
    <cellStyle name="Normal 6 2 3 8 3" xfId="42156"/>
    <cellStyle name="Normal 6 2 3 9" xfId="42157"/>
    <cellStyle name="Normal 6 2 3 9 2" xfId="42158"/>
    <cellStyle name="Normal 6 2 4" xfId="181"/>
    <cellStyle name="Normal 6 2 4 2" xfId="453"/>
    <cellStyle name="Normal 6 2 4 2 2" xfId="1133"/>
    <cellStyle name="Normal 6 2 4 2 2 2" xfId="2493"/>
    <cellStyle name="Normal 6 2 4 2 2 2 2" xfId="5213"/>
    <cellStyle name="Normal 6 2 4 2 2 2 2 2" xfId="42159"/>
    <cellStyle name="Normal 6 2 4 2 2 2 2 2 2" xfId="42160"/>
    <cellStyle name="Normal 6 2 4 2 2 2 2 2 2 2" xfId="42161"/>
    <cellStyle name="Normal 6 2 4 2 2 2 2 2 3" xfId="42162"/>
    <cellStyle name="Normal 6 2 4 2 2 2 2 3" xfId="42163"/>
    <cellStyle name="Normal 6 2 4 2 2 2 2 3 2" xfId="42164"/>
    <cellStyle name="Normal 6 2 4 2 2 2 2 4" xfId="42165"/>
    <cellStyle name="Normal 6 2 4 2 2 2 3" xfId="42166"/>
    <cellStyle name="Normal 6 2 4 2 2 2 3 2" xfId="42167"/>
    <cellStyle name="Normal 6 2 4 2 2 2 3 2 2" xfId="42168"/>
    <cellStyle name="Normal 6 2 4 2 2 2 3 3" xfId="42169"/>
    <cellStyle name="Normal 6 2 4 2 2 2 4" xfId="42170"/>
    <cellStyle name="Normal 6 2 4 2 2 2 4 2" xfId="42171"/>
    <cellStyle name="Normal 6 2 4 2 2 2 5" xfId="42172"/>
    <cellStyle name="Normal 6 2 4 2 2 3" xfId="3853"/>
    <cellStyle name="Normal 6 2 4 2 2 3 2" xfId="42173"/>
    <cellStyle name="Normal 6 2 4 2 2 3 2 2" xfId="42174"/>
    <cellStyle name="Normal 6 2 4 2 2 3 2 2 2" xfId="42175"/>
    <cellStyle name="Normal 6 2 4 2 2 3 2 3" xfId="42176"/>
    <cellStyle name="Normal 6 2 4 2 2 3 3" xfId="42177"/>
    <cellStyle name="Normal 6 2 4 2 2 3 3 2" xfId="42178"/>
    <cellStyle name="Normal 6 2 4 2 2 3 4" xfId="42179"/>
    <cellStyle name="Normal 6 2 4 2 2 4" xfId="42180"/>
    <cellStyle name="Normal 6 2 4 2 2 4 2" xfId="42181"/>
    <cellStyle name="Normal 6 2 4 2 2 4 2 2" xfId="42182"/>
    <cellStyle name="Normal 6 2 4 2 2 4 3" xfId="42183"/>
    <cellStyle name="Normal 6 2 4 2 2 5" xfId="42184"/>
    <cellStyle name="Normal 6 2 4 2 2 5 2" xfId="42185"/>
    <cellStyle name="Normal 6 2 4 2 2 6" xfId="42186"/>
    <cellStyle name="Normal 6 2 4 2 3" xfId="1813"/>
    <cellStyle name="Normal 6 2 4 2 3 2" xfId="4533"/>
    <cellStyle name="Normal 6 2 4 2 3 2 2" xfId="42187"/>
    <cellStyle name="Normal 6 2 4 2 3 2 2 2" xfId="42188"/>
    <cellStyle name="Normal 6 2 4 2 3 2 2 2 2" xfId="42189"/>
    <cellStyle name="Normal 6 2 4 2 3 2 2 3" xfId="42190"/>
    <cellStyle name="Normal 6 2 4 2 3 2 3" xfId="42191"/>
    <cellStyle name="Normal 6 2 4 2 3 2 3 2" xfId="42192"/>
    <cellStyle name="Normal 6 2 4 2 3 2 4" xfId="42193"/>
    <cellStyle name="Normal 6 2 4 2 3 3" xfId="42194"/>
    <cellStyle name="Normal 6 2 4 2 3 3 2" xfId="42195"/>
    <cellStyle name="Normal 6 2 4 2 3 3 2 2" xfId="42196"/>
    <cellStyle name="Normal 6 2 4 2 3 3 3" xfId="42197"/>
    <cellStyle name="Normal 6 2 4 2 3 4" xfId="42198"/>
    <cellStyle name="Normal 6 2 4 2 3 4 2" xfId="42199"/>
    <cellStyle name="Normal 6 2 4 2 3 5" xfId="42200"/>
    <cellStyle name="Normal 6 2 4 2 4" xfId="3173"/>
    <cellStyle name="Normal 6 2 4 2 4 2" xfId="42201"/>
    <cellStyle name="Normal 6 2 4 2 4 2 2" xfId="42202"/>
    <cellStyle name="Normal 6 2 4 2 4 2 2 2" xfId="42203"/>
    <cellStyle name="Normal 6 2 4 2 4 2 3" xfId="42204"/>
    <cellStyle name="Normal 6 2 4 2 4 3" xfId="42205"/>
    <cellStyle name="Normal 6 2 4 2 4 3 2" xfId="42206"/>
    <cellStyle name="Normal 6 2 4 2 4 4" xfId="42207"/>
    <cellStyle name="Normal 6 2 4 2 5" xfId="42208"/>
    <cellStyle name="Normal 6 2 4 2 5 2" xfId="42209"/>
    <cellStyle name="Normal 6 2 4 2 5 2 2" xfId="42210"/>
    <cellStyle name="Normal 6 2 4 2 5 3" xfId="42211"/>
    <cellStyle name="Normal 6 2 4 2 6" xfId="42212"/>
    <cellStyle name="Normal 6 2 4 2 6 2" xfId="42213"/>
    <cellStyle name="Normal 6 2 4 2 7" xfId="42214"/>
    <cellStyle name="Normal 6 2 4 3" xfId="861"/>
    <cellStyle name="Normal 6 2 4 3 2" xfId="2221"/>
    <cellStyle name="Normal 6 2 4 3 2 2" xfId="4941"/>
    <cellStyle name="Normal 6 2 4 3 2 2 2" xfId="42215"/>
    <cellStyle name="Normal 6 2 4 3 2 2 2 2" xfId="42216"/>
    <cellStyle name="Normal 6 2 4 3 2 2 2 2 2" xfId="42217"/>
    <cellStyle name="Normal 6 2 4 3 2 2 2 3" xfId="42218"/>
    <cellStyle name="Normal 6 2 4 3 2 2 3" xfId="42219"/>
    <cellStyle name="Normal 6 2 4 3 2 2 3 2" xfId="42220"/>
    <cellStyle name="Normal 6 2 4 3 2 2 4" xfId="42221"/>
    <cellStyle name="Normal 6 2 4 3 2 3" xfId="42222"/>
    <cellStyle name="Normal 6 2 4 3 2 3 2" xfId="42223"/>
    <cellStyle name="Normal 6 2 4 3 2 3 2 2" xfId="42224"/>
    <cellStyle name="Normal 6 2 4 3 2 3 3" xfId="42225"/>
    <cellStyle name="Normal 6 2 4 3 2 4" xfId="42226"/>
    <cellStyle name="Normal 6 2 4 3 2 4 2" xfId="42227"/>
    <cellStyle name="Normal 6 2 4 3 2 5" xfId="42228"/>
    <cellStyle name="Normal 6 2 4 3 3" xfId="3581"/>
    <cellStyle name="Normal 6 2 4 3 3 2" xfId="42229"/>
    <cellStyle name="Normal 6 2 4 3 3 2 2" xfId="42230"/>
    <cellStyle name="Normal 6 2 4 3 3 2 2 2" xfId="42231"/>
    <cellStyle name="Normal 6 2 4 3 3 2 3" xfId="42232"/>
    <cellStyle name="Normal 6 2 4 3 3 3" xfId="42233"/>
    <cellStyle name="Normal 6 2 4 3 3 3 2" xfId="42234"/>
    <cellStyle name="Normal 6 2 4 3 3 4" xfId="42235"/>
    <cellStyle name="Normal 6 2 4 3 4" xfId="42236"/>
    <cellStyle name="Normal 6 2 4 3 4 2" xfId="42237"/>
    <cellStyle name="Normal 6 2 4 3 4 2 2" xfId="42238"/>
    <cellStyle name="Normal 6 2 4 3 4 3" xfId="42239"/>
    <cellStyle name="Normal 6 2 4 3 5" xfId="42240"/>
    <cellStyle name="Normal 6 2 4 3 5 2" xfId="42241"/>
    <cellStyle name="Normal 6 2 4 3 6" xfId="42242"/>
    <cellStyle name="Normal 6 2 4 4" xfId="1541"/>
    <cellStyle name="Normal 6 2 4 4 2" xfId="4261"/>
    <cellStyle name="Normal 6 2 4 4 2 2" xfId="42243"/>
    <cellStyle name="Normal 6 2 4 4 2 2 2" xfId="42244"/>
    <cellStyle name="Normal 6 2 4 4 2 2 2 2" xfId="42245"/>
    <cellStyle name="Normal 6 2 4 4 2 2 3" xfId="42246"/>
    <cellStyle name="Normal 6 2 4 4 2 3" xfId="42247"/>
    <cellStyle name="Normal 6 2 4 4 2 3 2" xfId="42248"/>
    <cellStyle name="Normal 6 2 4 4 2 4" xfId="42249"/>
    <cellStyle name="Normal 6 2 4 4 3" xfId="42250"/>
    <cellStyle name="Normal 6 2 4 4 3 2" xfId="42251"/>
    <cellStyle name="Normal 6 2 4 4 3 2 2" xfId="42252"/>
    <cellStyle name="Normal 6 2 4 4 3 3" xfId="42253"/>
    <cellStyle name="Normal 6 2 4 4 4" xfId="42254"/>
    <cellStyle name="Normal 6 2 4 4 4 2" xfId="42255"/>
    <cellStyle name="Normal 6 2 4 4 5" xfId="42256"/>
    <cellStyle name="Normal 6 2 4 5" xfId="2901"/>
    <cellStyle name="Normal 6 2 4 5 2" xfId="42257"/>
    <cellStyle name="Normal 6 2 4 5 2 2" xfId="42258"/>
    <cellStyle name="Normal 6 2 4 5 2 2 2" xfId="42259"/>
    <cellStyle name="Normal 6 2 4 5 2 3" xfId="42260"/>
    <cellStyle name="Normal 6 2 4 5 3" xfId="42261"/>
    <cellStyle name="Normal 6 2 4 5 3 2" xfId="42262"/>
    <cellStyle name="Normal 6 2 4 5 4" xfId="42263"/>
    <cellStyle name="Normal 6 2 4 6" xfId="42264"/>
    <cellStyle name="Normal 6 2 4 6 2" xfId="42265"/>
    <cellStyle name="Normal 6 2 4 6 2 2" xfId="42266"/>
    <cellStyle name="Normal 6 2 4 6 3" xfId="42267"/>
    <cellStyle name="Normal 6 2 4 7" xfId="42268"/>
    <cellStyle name="Normal 6 2 4 7 2" xfId="42269"/>
    <cellStyle name="Normal 6 2 4 8" xfId="42270"/>
    <cellStyle name="Normal 6 2 5" xfId="317"/>
    <cellStyle name="Normal 6 2 5 2" xfId="997"/>
    <cellStyle name="Normal 6 2 5 2 2" xfId="2357"/>
    <cellStyle name="Normal 6 2 5 2 2 2" xfId="5077"/>
    <cellStyle name="Normal 6 2 5 2 2 2 2" xfId="42271"/>
    <cellStyle name="Normal 6 2 5 2 2 2 2 2" xfId="42272"/>
    <cellStyle name="Normal 6 2 5 2 2 2 2 2 2" xfId="42273"/>
    <cellStyle name="Normal 6 2 5 2 2 2 2 3" xfId="42274"/>
    <cellStyle name="Normal 6 2 5 2 2 2 3" xfId="42275"/>
    <cellStyle name="Normal 6 2 5 2 2 2 3 2" xfId="42276"/>
    <cellStyle name="Normal 6 2 5 2 2 2 4" xfId="42277"/>
    <cellStyle name="Normal 6 2 5 2 2 3" xfId="42278"/>
    <cellStyle name="Normal 6 2 5 2 2 3 2" xfId="42279"/>
    <cellStyle name="Normal 6 2 5 2 2 3 2 2" xfId="42280"/>
    <cellStyle name="Normal 6 2 5 2 2 3 3" xfId="42281"/>
    <cellStyle name="Normal 6 2 5 2 2 4" xfId="42282"/>
    <cellStyle name="Normal 6 2 5 2 2 4 2" xfId="42283"/>
    <cellStyle name="Normal 6 2 5 2 2 5" xfId="42284"/>
    <cellStyle name="Normal 6 2 5 2 3" xfId="3717"/>
    <cellStyle name="Normal 6 2 5 2 3 2" xfId="42285"/>
    <cellStyle name="Normal 6 2 5 2 3 2 2" xfId="42286"/>
    <cellStyle name="Normal 6 2 5 2 3 2 2 2" xfId="42287"/>
    <cellStyle name="Normal 6 2 5 2 3 2 3" xfId="42288"/>
    <cellStyle name="Normal 6 2 5 2 3 3" xfId="42289"/>
    <cellStyle name="Normal 6 2 5 2 3 3 2" xfId="42290"/>
    <cellStyle name="Normal 6 2 5 2 3 4" xfId="42291"/>
    <cellStyle name="Normal 6 2 5 2 4" xfId="42292"/>
    <cellStyle name="Normal 6 2 5 2 4 2" xfId="42293"/>
    <cellStyle name="Normal 6 2 5 2 4 2 2" xfId="42294"/>
    <cellStyle name="Normal 6 2 5 2 4 3" xfId="42295"/>
    <cellStyle name="Normal 6 2 5 2 5" xfId="42296"/>
    <cellStyle name="Normal 6 2 5 2 5 2" xfId="42297"/>
    <cellStyle name="Normal 6 2 5 2 6" xfId="42298"/>
    <cellStyle name="Normal 6 2 5 3" xfId="1677"/>
    <cellStyle name="Normal 6 2 5 3 2" xfId="4397"/>
    <cellStyle name="Normal 6 2 5 3 2 2" xfId="42299"/>
    <cellStyle name="Normal 6 2 5 3 2 2 2" xfId="42300"/>
    <cellStyle name="Normal 6 2 5 3 2 2 2 2" xfId="42301"/>
    <cellStyle name="Normal 6 2 5 3 2 2 3" xfId="42302"/>
    <cellStyle name="Normal 6 2 5 3 2 3" xfId="42303"/>
    <cellStyle name="Normal 6 2 5 3 2 3 2" xfId="42304"/>
    <cellStyle name="Normal 6 2 5 3 2 4" xfId="42305"/>
    <cellStyle name="Normal 6 2 5 3 3" xfId="42306"/>
    <cellStyle name="Normal 6 2 5 3 3 2" xfId="42307"/>
    <cellStyle name="Normal 6 2 5 3 3 2 2" xfId="42308"/>
    <cellStyle name="Normal 6 2 5 3 3 3" xfId="42309"/>
    <cellStyle name="Normal 6 2 5 3 4" xfId="42310"/>
    <cellStyle name="Normal 6 2 5 3 4 2" xfId="42311"/>
    <cellStyle name="Normal 6 2 5 3 5" xfId="42312"/>
    <cellStyle name="Normal 6 2 5 4" xfId="3037"/>
    <cellStyle name="Normal 6 2 5 4 2" xfId="42313"/>
    <cellStyle name="Normal 6 2 5 4 2 2" xfId="42314"/>
    <cellStyle name="Normal 6 2 5 4 2 2 2" xfId="42315"/>
    <cellStyle name="Normal 6 2 5 4 2 3" xfId="42316"/>
    <cellStyle name="Normal 6 2 5 4 3" xfId="42317"/>
    <cellStyle name="Normal 6 2 5 4 3 2" xfId="42318"/>
    <cellStyle name="Normal 6 2 5 4 4" xfId="42319"/>
    <cellStyle name="Normal 6 2 5 5" xfId="42320"/>
    <cellStyle name="Normal 6 2 5 5 2" xfId="42321"/>
    <cellStyle name="Normal 6 2 5 5 2 2" xfId="42322"/>
    <cellStyle name="Normal 6 2 5 5 3" xfId="42323"/>
    <cellStyle name="Normal 6 2 5 6" xfId="42324"/>
    <cellStyle name="Normal 6 2 5 6 2" xfId="42325"/>
    <cellStyle name="Normal 6 2 5 7" xfId="42326"/>
    <cellStyle name="Normal 6 2 6" xfId="589"/>
    <cellStyle name="Normal 6 2 6 2" xfId="1269"/>
    <cellStyle name="Normal 6 2 6 2 2" xfId="2629"/>
    <cellStyle name="Normal 6 2 6 2 2 2" xfId="5349"/>
    <cellStyle name="Normal 6 2 6 2 2 2 2" xfId="42327"/>
    <cellStyle name="Normal 6 2 6 2 2 2 2 2" xfId="42328"/>
    <cellStyle name="Normal 6 2 6 2 2 2 2 2 2" xfId="42329"/>
    <cellStyle name="Normal 6 2 6 2 2 2 2 3" xfId="42330"/>
    <cellStyle name="Normal 6 2 6 2 2 2 3" xfId="42331"/>
    <cellStyle name="Normal 6 2 6 2 2 2 3 2" xfId="42332"/>
    <cellStyle name="Normal 6 2 6 2 2 2 4" xfId="42333"/>
    <cellStyle name="Normal 6 2 6 2 2 3" xfId="42334"/>
    <cellStyle name="Normal 6 2 6 2 2 3 2" xfId="42335"/>
    <cellStyle name="Normal 6 2 6 2 2 3 2 2" xfId="42336"/>
    <cellStyle name="Normal 6 2 6 2 2 3 3" xfId="42337"/>
    <cellStyle name="Normal 6 2 6 2 2 4" xfId="42338"/>
    <cellStyle name="Normal 6 2 6 2 2 4 2" xfId="42339"/>
    <cellStyle name="Normal 6 2 6 2 2 5" xfId="42340"/>
    <cellStyle name="Normal 6 2 6 2 3" xfId="3989"/>
    <cellStyle name="Normal 6 2 6 2 3 2" xfId="42341"/>
    <cellStyle name="Normal 6 2 6 2 3 2 2" xfId="42342"/>
    <cellStyle name="Normal 6 2 6 2 3 2 2 2" xfId="42343"/>
    <cellStyle name="Normal 6 2 6 2 3 2 3" xfId="42344"/>
    <cellStyle name="Normal 6 2 6 2 3 3" xfId="42345"/>
    <cellStyle name="Normal 6 2 6 2 3 3 2" xfId="42346"/>
    <cellStyle name="Normal 6 2 6 2 3 4" xfId="42347"/>
    <cellStyle name="Normal 6 2 6 2 4" xfId="42348"/>
    <cellStyle name="Normal 6 2 6 2 4 2" xfId="42349"/>
    <cellStyle name="Normal 6 2 6 2 4 2 2" xfId="42350"/>
    <cellStyle name="Normal 6 2 6 2 4 3" xfId="42351"/>
    <cellStyle name="Normal 6 2 6 2 5" xfId="42352"/>
    <cellStyle name="Normal 6 2 6 2 5 2" xfId="42353"/>
    <cellStyle name="Normal 6 2 6 2 6" xfId="42354"/>
    <cellStyle name="Normal 6 2 6 3" xfId="1949"/>
    <cellStyle name="Normal 6 2 6 3 2" xfId="4669"/>
    <cellStyle name="Normal 6 2 6 3 2 2" xfId="42355"/>
    <cellStyle name="Normal 6 2 6 3 2 2 2" xfId="42356"/>
    <cellStyle name="Normal 6 2 6 3 2 2 2 2" xfId="42357"/>
    <cellStyle name="Normal 6 2 6 3 2 2 3" xfId="42358"/>
    <cellStyle name="Normal 6 2 6 3 2 3" xfId="42359"/>
    <cellStyle name="Normal 6 2 6 3 2 3 2" xfId="42360"/>
    <cellStyle name="Normal 6 2 6 3 2 4" xfId="42361"/>
    <cellStyle name="Normal 6 2 6 3 3" xfId="42362"/>
    <cellStyle name="Normal 6 2 6 3 3 2" xfId="42363"/>
    <cellStyle name="Normal 6 2 6 3 3 2 2" xfId="42364"/>
    <cellStyle name="Normal 6 2 6 3 3 3" xfId="42365"/>
    <cellStyle name="Normal 6 2 6 3 4" xfId="42366"/>
    <cellStyle name="Normal 6 2 6 3 4 2" xfId="42367"/>
    <cellStyle name="Normal 6 2 6 3 5" xfId="42368"/>
    <cellStyle name="Normal 6 2 6 4" xfId="3309"/>
    <cellStyle name="Normal 6 2 6 4 2" xfId="42369"/>
    <cellStyle name="Normal 6 2 6 4 2 2" xfId="42370"/>
    <cellStyle name="Normal 6 2 6 4 2 2 2" xfId="42371"/>
    <cellStyle name="Normal 6 2 6 4 2 3" xfId="42372"/>
    <cellStyle name="Normal 6 2 6 4 3" xfId="42373"/>
    <cellStyle name="Normal 6 2 6 4 3 2" xfId="42374"/>
    <cellStyle name="Normal 6 2 6 4 4" xfId="42375"/>
    <cellStyle name="Normal 6 2 6 5" xfId="42376"/>
    <cellStyle name="Normal 6 2 6 5 2" xfId="42377"/>
    <cellStyle name="Normal 6 2 6 5 2 2" xfId="42378"/>
    <cellStyle name="Normal 6 2 6 5 3" xfId="42379"/>
    <cellStyle name="Normal 6 2 6 6" xfId="42380"/>
    <cellStyle name="Normal 6 2 6 6 2" xfId="42381"/>
    <cellStyle name="Normal 6 2 6 7" xfId="42382"/>
    <cellStyle name="Normal 6 2 7" xfId="725"/>
    <cellStyle name="Normal 6 2 7 2" xfId="2085"/>
    <cellStyle name="Normal 6 2 7 2 2" xfId="4805"/>
    <cellStyle name="Normal 6 2 7 2 2 2" xfId="42383"/>
    <cellStyle name="Normal 6 2 7 2 2 2 2" xfId="42384"/>
    <cellStyle name="Normal 6 2 7 2 2 2 2 2" xfId="42385"/>
    <cellStyle name="Normal 6 2 7 2 2 2 3" xfId="42386"/>
    <cellStyle name="Normal 6 2 7 2 2 3" xfId="42387"/>
    <cellStyle name="Normal 6 2 7 2 2 3 2" xfId="42388"/>
    <cellStyle name="Normal 6 2 7 2 2 4" xfId="42389"/>
    <cellStyle name="Normal 6 2 7 2 3" xfId="42390"/>
    <cellStyle name="Normal 6 2 7 2 3 2" xfId="42391"/>
    <cellStyle name="Normal 6 2 7 2 3 2 2" xfId="42392"/>
    <cellStyle name="Normal 6 2 7 2 3 3" xfId="42393"/>
    <cellStyle name="Normal 6 2 7 2 4" xfId="42394"/>
    <cellStyle name="Normal 6 2 7 2 4 2" xfId="42395"/>
    <cellStyle name="Normal 6 2 7 2 5" xfId="42396"/>
    <cellStyle name="Normal 6 2 7 3" xfId="3445"/>
    <cellStyle name="Normal 6 2 7 3 2" xfId="42397"/>
    <cellStyle name="Normal 6 2 7 3 2 2" xfId="42398"/>
    <cellStyle name="Normal 6 2 7 3 2 2 2" xfId="42399"/>
    <cellStyle name="Normal 6 2 7 3 2 3" xfId="42400"/>
    <cellStyle name="Normal 6 2 7 3 3" xfId="42401"/>
    <cellStyle name="Normal 6 2 7 3 3 2" xfId="42402"/>
    <cellStyle name="Normal 6 2 7 3 4" xfId="42403"/>
    <cellStyle name="Normal 6 2 7 4" xfId="42404"/>
    <cellStyle name="Normal 6 2 7 4 2" xfId="42405"/>
    <cellStyle name="Normal 6 2 7 4 2 2" xfId="42406"/>
    <cellStyle name="Normal 6 2 7 4 3" xfId="42407"/>
    <cellStyle name="Normal 6 2 7 5" xfId="42408"/>
    <cellStyle name="Normal 6 2 7 5 2" xfId="42409"/>
    <cellStyle name="Normal 6 2 7 6" xfId="42410"/>
    <cellStyle name="Normal 6 2 8" xfId="1405"/>
    <cellStyle name="Normal 6 2 8 2" xfId="4125"/>
    <cellStyle name="Normal 6 2 8 2 2" xfId="42411"/>
    <cellStyle name="Normal 6 2 8 2 2 2" xfId="42412"/>
    <cellStyle name="Normal 6 2 8 2 2 2 2" xfId="42413"/>
    <cellStyle name="Normal 6 2 8 2 2 3" xfId="42414"/>
    <cellStyle name="Normal 6 2 8 2 3" xfId="42415"/>
    <cellStyle name="Normal 6 2 8 2 3 2" xfId="42416"/>
    <cellStyle name="Normal 6 2 8 2 4" xfId="42417"/>
    <cellStyle name="Normal 6 2 8 3" xfId="42418"/>
    <cellStyle name="Normal 6 2 8 3 2" xfId="42419"/>
    <cellStyle name="Normal 6 2 8 3 2 2" xfId="42420"/>
    <cellStyle name="Normal 6 2 8 3 3" xfId="42421"/>
    <cellStyle name="Normal 6 2 8 4" xfId="42422"/>
    <cellStyle name="Normal 6 2 8 4 2" xfId="42423"/>
    <cellStyle name="Normal 6 2 8 5" xfId="42424"/>
    <cellStyle name="Normal 6 2 9" xfId="2765"/>
    <cellStyle name="Normal 6 2 9 2" xfId="42425"/>
    <cellStyle name="Normal 6 2 9 2 2" xfId="42426"/>
    <cellStyle name="Normal 6 2 9 2 2 2" xfId="42427"/>
    <cellStyle name="Normal 6 2 9 2 3" xfId="42428"/>
    <cellStyle name="Normal 6 2 9 3" xfId="42429"/>
    <cellStyle name="Normal 6 2 9 3 2" xfId="42430"/>
    <cellStyle name="Normal 6 2 9 4" xfId="42431"/>
    <cellStyle name="Normal 6 3" xfId="61"/>
    <cellStyle name="Normal 6 3 10" xfId="42432"/>
    <cellStyle name="Normal 6 3 10 2" xfId="42433"/>
    <cellStyle name="Normal 6 3 11" xfId="42434"/>
    <cellStyle name="Normal 6 3 2" xfId="129"/>
    <cellStyle name="Normal 6 3 2 10" xfId="42435"/>
    <cellStyle name="Normal 6 3 2 2" xfId="266"/>
    <cellStyle name="Normal 6 3 2 2 2" xfId="538"/>
    <cellStyle name="Normal 6 3 2 2 2 2" xfId="1218"/>
    <cellStyle name="Normal 6 3 2 2 2 2 2" xfId="2578"/>
    <cellStyle name="Normal 6 3 2 2 2 2 2 2" xfId="5298"/>
    <cellStyle name="Normal 6 3 2 2 2 2 2 2 2" xfId="42436"/>
    <cellStyle name="Normal 6 3 2 2 2 2 2 2 2 2" xfId="42437"/>
    <cellStyle name="Normal 6 3 2 2 2 2 2 2 2 2 2" xfId="42438"/>
    <cellStyle name="Normal 6 3 2 2 2 2 2 2 2 3" xfId="42439"/>
    <cellStyle name="Normal 6 3 2 2 2 2 2 2 3" xfId="42440"/>
    <cellStyle name="Normal 6 3 2 2 2 2 2 2 3 2" xfId="42441"/>
    <cellStyle name="Normal 6 3 2 2 2 2 2 2 4" xfId="42442"/>
    <cellStyle name="Normal 6 3 2 2 2 2 2 3" xfId="42443"/>
    <cellStyle name="Normal 6 3 2 2 2 2 2 3 2" xfId="42444"/>
    <cellStyle name="Normal 6 3 2 2 2 2 2 3 2 2" xfId="42445"/>
    <cellStyle name="Normal 6 3 2 2 2 2 2 3 3" xfId="42446"/>
    <cellStyle name="Normal 6 3 2 2 2 2 2 4" xfId="42447"/>
    <cellStyle name="Normal 6 3 2 2 2 2 2 4 2" xfId="42448"/>
    <cellStyle name="Normal 6 3 2 2 2 2 2 5" xfId="42449"/>
    <cellStyle name="Normal 6 3 2 2 2 2 3" xfId="3938"/>
    <cellStyle name="Normal 6 3 2 2 2 2 3 2" xfId="42450"/>
    <cellStyle name="Normal 6 3 2 2 2 2 3 2 2" xfId="42451"/>
    <cellStyle name="Normal 6 3 2 2 2 2 3 2 2 2" xfId="42452"/>
    <cellStyle name="Normal 6 3 2 2 2 2 3 2 3" xfId="42453"/>
    <cellStyle name="Normal 6 3 2 2 2 2 3 3" xfId="42454"/>
    <cellStyle name="Normal 6 3 2 2 2 2 3 3 2" xfId="42455"/>
    <cellStyle name="Normal 6 3 2 2 2 2 3 4" xfId="42456"/>
    <cellStyle name="Normal 6 3 2 2 2 2 4" xfId="42457"/>
    <cellStyle name="Normal 6 3 2 2 2 2 4 2" xfId="42458"/>
    <cellStyle name="Normal 6 3 2 2 2 2 4 2 2" xfId="42459"/>
    <cellStyle name="Normal 6 3 2 2 2 2 4 3" xfId="42460"/>
    <cellStyle name="Normal 6 3 2 2 2 2 5" xfId="42461"/>
    <cellStyle name="Normal 6 3 2 2 2 2 5 2" xfId="42462"/>
    <cellStyle name="Normal 6 3 2 2 2 2 6" xfId="42463"/>
    <cellStyle name="Normal 6 3 2 2 2 3" xfId="1898"/>
    <cellStyle name="Normal 6 3 2 2 2 3 2" xfId="4618"/>
    <cellStyle name="Normal 6 3 2 2 2 3 2 2" xfId="42464"/>
    <cellStyle name="Normal 6 3 2 2 2 3 2 2 2" xfId="42465"/>
    <cellStyle name="Normal 6 3 2 2 2 3 2 2 2 2" xfId="42466"/>
    <cellStyle name="Normal 6 3 2 2 2 3 2 2 3" xfId="42467"/>
    <cellStyle name="Normal 6 3 2 2 2 3 2 3" xfId="42468"/>
    <cellStyle name="Normal 6 3 2 2 2 3 2 3 2" xfId="42469"/>
    <cellStyle name="Normal 6 3 2 2 2 3 2 4" xfId="42470"/>
    <cellStyle name="Normal 6 3 2 2 2 3 3" xfId="42471"/>
    <cellStyle name="Normal 6 3 2 2 2 3 3 2" xfId="42472"/>
    <cellStyle name="Normal 6 3 2 2 2 3 3 2 2" xfId="42473"/>
    <cellStyle name="Normal 6 3 2 2 2 3 3 3" xfId="42474"/>
    <cellStyle name="Normal 6 3 2 2 2 3 4" xfId="42475"/>
    <cellStyle name="Normal 6 3 2 2 2 3 4 2" xfId="42476"/>
    <cellStyle name="Normal 6 3 2 2 2 3 5" xfId="42477"/>
    <cellStyle name="Normal 6 3 2 2 2 4" xfId="3258"/>
    <cellStyle name="Normal 6 3 2 2 2 4 2" xfId="42478"/>
    <cellStyle name="Normal 6 3 2 2 2 4 2 2" xfId="42479"/>
    <cellStyle name="Normal 6 3 2 2 2 4 2 2 2" xfId="42480"/>
    <cellStyle name="Normal 6 3 2 2 2 4 2 3" xfId="42481"/>
    <cellStyle name="Normal 6 3 2 2 2 4 3" xfId="42482"/>
    <cellStyle name="Normal 6 3 2 2 2 4 3 2" xfId="42483"/>
    <cellStyle name="Normal 6 3 2 2 2 4 4" xfId="42484"/>
    <cellStyle name="Normal 6 3 2 2 2 5" xfId="42485"/>
    <cellStyle name="Normal 6 3 2 2 2 5 2" xfId="42486"/>
    <cellStyle name="Normal 6 3 2 2 2 5 2 2" xfId="42487"/>
    <cellStyle name="Normal 6 3 2 2 2 5 3" xfId="42488"/>
    <cellStyle name="Normal 6 3 2 2 2 6" xfId="42489"/>
    <cellStyle name="Normal 6 3 2 2 2 6 2" xfId="42490"/>
    <cellStyle name="Normal 6 3 2 2 2 7" xfId="42491"/>
    <cellStyle name="Normal 6 3 2 2 3" xfId="946"/>
    <cellStyle name="Normal 6 3 2 2 3 2" xfId="2306"/>
    <cellStyle name="Normal 6 3 2 2 3 2 2" xfId="5026"/>
    <cellStyle name="Normal 6 3 2 2 3 2 2 2" xfId="42492"/>
    <cellStyle name="Normal 6 3 2 2 3 2 2 2 2" xfId="42493"/>
    <cellStyle name="Normal 6 3 2 2 3 2 2 2 2 2" xfId="42494"/>
    <cellStyle name="Normal 6 3 2 2 3 2 2 2 3" xfId="42495"/>
    <cellStyle name="Normal 6 3 2 2 3 2 2 3" xfId="42496"/>
    <cellStyle name="Normal 6 3 2 2 3 2 2 3 2" xfId="42497"/>
    <cellStyle name="Normal 6 3 2 2 3 2 2 4" xfId="42498"/>
    <cellStyle name="Normal 6 3 2 2 3 2 3" xfId="42499"/>
    <cellStyle name="Normal 6 3 2 2 3 2 3 2" xfId="42500"/>
    <cellStyle name="Normal 6 3 2 2 3 2 3 2 2" xfId="42501"/>
    <cellStyle name="Normal 6 3 2 2 3 2 3 3" xfId="42502"/>
    <cellStyle name="Normal 6 3 2 2 3 2 4" xfId="42503"/>
    <cellStyle name="Normal 6 3 2 2 3 2 4 2" xfId="42504"/>
    <cellStyle name="Normal 6 3 2 2 3 2 5" xfId="42505"/>
    <cellStyle name="Normal 6 3 2 2 3 3" xfId="3666"/>
    <cellStyle name="Normal 6 3 2 2 3 3 2" xfId="42506"/>
    <cellStyle name="Normal 6 3 2 2 3 3 2 2" xfId="42507"/>
    <cellStyle name="Normal 6 3 2 2 3 3 2 2 2" xfId="42508"/>
    <cellStyle name="Normal 6 3 2 2 3 3 2 3" xfId="42509"/>
    <cellStyle name="Normal 6 3 2 2 3 3 3" xfId="42510"/>
    <cellStyle name="Normal 6 3 2 2 3 3 3 2" xfId="42511"/>
    <cellStyle name="Normal 6 3 2 2 3 3 4" xfId="42512"/>
    <cellStyle name="Normal 6 3 2 2 3 4" xfId="42513"/>
    <cellStyle name="Normal 6 3 2 2 3 4 2" xfId="42514"/>
    <cellStyle name="Normal 6 3 2 2 3 4 2 2" xfId="42515"/>
    <cellStyle name="Normal 6 3 2 2 3 4 3" xfId="42516"/>
    <cellStyle name="Normal 6 3 2 2 3 5" xfId="42517"/>
    <cellStyle name="Normal 6 3 2 2 3 5 2" xfId="42518"/>
    <cellStyle name="Normal 6 3 2 2 3 6" xfId="42519"/>
    <cellStyle name="Normal 6 3 2 2 4" xfId="1626"/>
    <cellStyle name="Normal 6 3 2 2 4 2" xfId="4346"/>
    <cellStyle name="Normal 6 3 2 2 4 2 2" xfId="42520"/>
    <cellStyle name="Normal 6 3 2 2 4 2 2 2" xfId="42521"/>
    <cellStyle name="Normal 6 3 2 2 4 2 2 2 2" xfId="42522"/>
    <cellStyle name="Normal 6 3 2 2 4 2 2 3" xfId="42523"/>
    <cellStyle name="Normal 6 3 2 2 4 2 3" xfId="42524"/>
    <cellStyle name="Normal 6 3 2 2 4 2 3 2" xfId="42525"/>
    <cellStyle name="Normal 6 3 2 2 4 2 4" xfId="42526"/>
    <cellStyle name="Normal 6 3 2 2 4 3" xfId="42527"/>
    <cellStyle name="Normal 6 3 2 2 4 3 2" xfId="42528"/>
    <cellStyle name="Normal 6 3 2 2 4 3 2 2" xfId="42529"/>
    <cellStyle name="Normal 6 3 2 2 4 3 3" xfId="42530"/>
    <cellStyle name="Normal 6 3 2 2 4 4" xfId="42531"/>
    <cellStyle name="Normal 6 3 2 2 4 4 2" xfId="42532"/>
    <cellStyle name="Normal 6 3 2 2 4 5" xfId="42533"/>
    <cellStyle name="Normal 6 3 2 2 5" xfId="2986"/>
    <cellStyle name="Normal 6 3 2 2 5 2" xfId="42534"/>
    <cellStyle name="Normal 6 3 2 2 5 2 2" xfId="42535"/>
    <cellStyle name="Normal 6 3 2 2 5 2 2 2" xfId="42536"/>
    <cellStyle name="Normal 6 3 2 2 5 2 3" xfId="42537"/>
    <cellStyle name="Normal 6 3 2 2 5 3" xfId="42538"/>
    <cellStyle name="Normal 6 3 2 2 5 3 2" xfId="42539"/>
    <cellStyle name="Normal 6 3 2 2 5 4" xfId="42540"/>
    <cellStyle name="Normal 6 3 2 2 6" xfId="42541"/>
    <cellStyle name="Normal 6 3 2 2 6 2" xfId="42542"/>
    <cellStyle name="Normal 6 3 2 2 6 2 2" xfId="42543"/>
    <cellStyle name="Normal 6 3 2 2 6 3" xfId="42544"/>
    <cellStyle name="Normal 6 3 2 2 7" xfId="42545"/>
    <cellStyle name="Normal 6 3 2 2 7 2" xfId="42546"/>
    <cellStyle name="Normal 6 3 2 2 8" xfId="42547"/>
    <cellStyle name="Normal 6 3 2 3" xfId="402"/>
    <cellStyle name="Normal 6 3 2 3 2" xfId="1082"/>
    <cellStyle name="Normal 6 3 2 3 2 2" xfId="2442"/>
    <cellStyle name="Normal 6 3 2 3 2 2 2" xfId="5162"/>
    <cellStyle name="Normal 6 3 2 3 2 2 2 2" xfId="42548"/>
    <cellStyle name="Normal 6 3 2 3 2 2 2 2 2" xfId="42549"/>
    <cellStyle name="Normal 6 3 2 3 2 2 2 2 2 2" xfId="42550"/>
    <cellStyle name="Normal 6 3 2 3 2 2 2 2 3" xfId="42551"/>
    <cellStyle name="Normal 6 3 2 3 2 2 2 3" xfId="42552"/>
    <cellStyle name="Normal 6 3 2 3 2 2 2 3 2" xfId="42553"/>
    <cellStyle name="Normal 6 3 2 3 2 2 2 4" xfId="42554"/>
    <cellStyle name="Normal 6 3 2 3 2 2 3" xfId="42555"/>
    <cellStyle name="Normal 6 3 2 3 2 2 3 2" xfId="42556"/>
    <cellStyle name="Normal 6 3 2 3 2 2 3 2 2" xfId="42557"/>
    <cellStyle name="Normal 6 3 2 3 2 2 3 3" xfId="42558"/>
    <cellStyle name="Normal 6 3 2 3 2 2 4" xfId="42559"/>
    <cellStyle name="Normal 6 3 2 3 2 2 4 2" xfId="42560"/>
    <cellStyle name="Normal 6 3 2 3 2 2 5" xfId="42561"/>
    <cellStyle name="Normal 6 3 2 3 2 3" xfId="3802"/>
    <cellStyle name="Normal 6 3 2 3 2 3 2" xfId="42562"/>
    <cellStyle name="Normal 6 3 2 3 2 3 2 2" xfId="42563"/>
    <cellStyle name="Normal 6 3 2 3 2 3 2 2 2" xfId="42564"/>
    <cellStyle name="Normal 6 3 2 3 2 3 2 3" xfId="42565"/>
    <cellStyle name="Normal 6 3 2 3 2 3 3" xfId="42566"/>
    <cellStyle name="Normal 6 3 2 3 2 3 3 2" xfId="42567"/>
    <cellStyle name="Normal 6 3 2 3 2 3 4" xfId="42568"/>
    <cellStyle name="Normal 6 3 2 3 2 4" xfId="42569"/>
    <cellStyle name="Normal 6 3 2 3 2 4 2" xfId="42570"/>
    <cellStyle name="Normal 6 3 2 3 2 4 2 2" xfId="42571"/>
    <cellStyle name="Normal 6 3 2 3 2 4 3" xfId="42572"/>
    <cellStyle name="Normal 6 3 2 3 2 5" xfId="42573"/>
    <cellStyle name="Normal 6 3 2 3 2 5 2" xfId="42574"/>
    <cellStyle name="Normal 6 3 2 3 2 6" xfId="42575"/>
    <cellStyle name="Normal 6 3 2 3 3" xfId="1762"/>
    <cellStyle name="Normal 6 3 2 3 3 2" xfId="4482"/>
    <cellStyle name="Normal 6 3 2 3 3 2 2" xfId="42576"/>
    <cellStyle name="Normal 6 3 2 3 3 2 2 2" xfId="42577"/>
    <cellStyle name="Normal 6 3 2 3 3 2 2 2 2" xfId="42578"/>
    <cellStyle name="Normal 6 3 2 3 3 2 2 3" xfId="42579"/>
    <cellStyle name="Normal 6 3 2 3 3 2 3" xfId="42580"/>
    <cellStyle name="Normal 6 3 2 3 3 2 3 2" xfId="42581"/>
    <cellStyle name="Normal 6 3 2 3 3 2 4" xfId="42582"/>
    <cellStyle name="Normal 6 3 2 3 3 3" xfId="42583"/>
    <cellStyle name="Normal 6 3 2 3 3 3 2" xfId="42584"/>
    <cellStyle name="Normal 6 3 2 3 3 3 2 2" xfId="42585"/>
    <cellStyle name="Normal 6 3 2 3 3 3 3" xfId="42586"/>
    <cellStyle name="Normal 6 3 2 3 3 4" xfId="42587"/>
    <cellStyle name="Normal 6 3 2 3 3 4 2" xfId="42588"/>
    <cellStyle name="Normal 6 3 2 3 3 5" xfId="42589"/>
    <cellStyle name="Normal 6 3 2 3 4" xfId="3122"/>
    <cellStyle name="Normal 6 3 2 3 4 2" xfId="42590"/>
    <cellStyle name="Normal 6 3 2 3 4 2 2" xfId="42591"/>
    <cellStyle name="Normal 6 3 2 3 4 2 2 2" xfId="42592"/>
    <cellStyle name="Normal 6 3 2 3 4 2 3" xfId="42593"/>
    <cellStyle name="Normal 6 3 2 3 4 3" xfId="42594"/>
    <cellStyle name="Normal 6 3 2 3 4 3 2" xfId="42595"/>
    <cellStyle name="Normal 6 3 2 3 4 4" xfId="42596"/>
    <cellStyle name="Normal 6 3 2 3 5" xfId="42597"/>
    <cellStyle name="Normal 6 3 2 3 5 2" xfId="42598"/>
    <cellStyle name="Normal 6 3 2 3 5 2 2" xfId="42599"/>
    <cellStyle name="Normal 6 3 2 3 5 3" xfId="42600"/>
    <cellStyle name="Normal 6 3 2 3 6" xfId="42601"/>
    <cellStyle name="Normal 6 3 2 3 6 2" xfId="42602"/>
    <cellStyle name="Normal 6 3 2 3 7" xfId="42603"/>
    <cellStyle name="Normal 6 3 2 4" xfId="674"/>
    <cellStyle name="Normal 6 3 2 4 2" xfId="1354"/>
    <cellStyle name="Normal 6 3 2 4 2 2" xfId="2714"/>
    <cellStyle name="Normal 6 3 2 4 2 2 2" xfId="5434"/>
    <cellStyle name="Normal 6 3 2 4 2 2 2 2" xfId="42604"/>
    <cellStyle name="Normal 6 3 2 4 2 2 2 2 2" xfId="42605"/>
    <cellStyle name="Normal 6 3 2 4 2 2 2 2 2 2" xfId="42606"/>
    <cellStyle name="Normal 6 3 2 4 2 2 2 2 3" xfId="42607"/>
    <cellStyle name="Normal 6 3 2 4 2 2 2 3" xfId="42608"/>
    <cellStyle name="Normal 6 3 2 4 2 2 2 3 2" xfId="42609"/>
    <cellStyle name="Normal 6 3 2 4 2 2 2 4" xfId="42610"/>
    <cellStyle name="Normal 6 3 2 4 2 2 3" xfId="42611"/>
    <cellStyle name="Normal 6 3 2 4 2 2 3 2" xfId="42612"/>
    <cellStyle name="Normal 6 3 2 4 2 2 3 2 2" xfId="42613"/>
    <cellStyle name="Normal 6 3 2 4 2 2 3 3" xfId="42614"/>
    <cellStyle name="Normal 6 3 2 4 2 2 4" xfId="42615"/>
    <cellStyle name="Normal 6 3 2 4 2 2 4 2" xfId="42616"/>
    <cellStyle name="Normal 6 3 2 4 2 2 5" xfId="42617"/>
    <cellStyle name="Normal 6 3 2 4 2 3" xfId="4074"/>
    <cellStyle name="Normal 6 3 2 4 2 3 2" xfId="42618"/>
    <cellStyle name="Normal 6 3 2 4 2 3 2 2" xfId="42619"/>
    <cellStyle name="Normal 6 3 2 4 2 3 2 2 2" xfId="42620"/>
    <cellStyle name="Normal 6 3 2 4 2 3 2 3" xfId="42621"/>
    <cellStyle name="Normal 6 3 2 4 2 3 3" xfId="42622"/>
    <cellStyle name="Normal 6 3 2 4 2 3 3 2" xfId="42623"/>
    <cellStyle name="Normal 6 3 2 4 2 3 4" xfId="42624"/>
    <cellStyle name="Normal 6 3 2 4 2 4" xfId="42625"/>
    <cellStyle name="Normal 6 3 2 4 2 4 2" xfId="42626"/>
    <cellStyle name="Normal 6 3 2 4 2 4 2 2" xfId="42627"/>
    <cellStyle name="Normal 6 3 2 4 2 4 3" xfId="42628"/>
    <cellStyle name="Normal 6 3 2 4 2 5" xfId="42629"/>
    <cellStyle name="Normal 6 3 2 4 2 5 2" xfId="42630"/>
    <cellStyle name="Normal 6 3 2 4 2 6" xfId="42631"/>
    <cellStyle name="Normal 6 3 2 4 3" xfId="2034"/>
    <cellStyle name="Normal 6 3 2 4 3 2" xfId="4754"/>
    <cellStyle name="Normal 6 3 2 4 3 2 2" xfId="42632"/>
    <cellStyle name="Normal 6 3 2 4 3 2 2 2" xfId="42633"/>
    <cellStyle name="Normal 6 3 2 4 3 2 2 2 2" xfId="42634"/>
    <cellStyle name="Normal 6 3 2 4 3 2 2 3" xfId="42635"/>
    <cellStyle name="Normal 6 3 2 4 3 2 3" xfId="42636"/>
    <cellStyle name="Normal 6 3 2 4 3 2 3 2" xfId="42637"/>
    <cellStyle name="Normal 6 3 2 4 3 2 4" xfId="42638"/>
    <cellStyle name="Normal 6 3 2 4 3 3" xfId="42639"/>
    <cellStyle name="Normal 6 3 2 4 3 3 2" xfId="42640"/>
    <cellStyle name="Normal 6 3 2 4 3 3 2 2" xfId="42641"/>
    <cellStyle name="Normal 6 3 2 4 3 3 3" xfId="42642"/>
    <cellStyle name="Normal 6 3 2 4 3 4" xfId="42643"/>
    <cellStyle name="Normal 6 3 2 4 3 4 2" xfId="42644"/>
    <cellStyle name="Normal 6 3 2 4 3 5" xfId="42645"/>
    <cellStyle name="Normal 6 3 2 4 4" xfId="3394"/>
    <cellStyle name="Normal 6 3 2 4 4 2" xfId="42646"/>
    <cellStyle name="Normal 6 3 2 4 4 2 2" xfId="42647"/>
    <cellStyle name="Normal 6 3 2 4 4 2 2 2" xfId="42648"/>
    <cellStyle name="Normal 6 3 2 4 4 2 3" xfId="42649"/>
    <cellStyle name="Normal 6 3 2 4 4 3" xfId="42650"/>
    <cellStyle name="Normal 6 3 2 4 4 3 2" xfId="42651"/>
    <cellStyle name="Normal 6 3 2 4 4 4" xfId="42652"/>
    <cellStyle name="Normal 6 3 2 4 5" xfId="42653"/>
    <cellStyle name="Normal 6 3 2 4 5 2" xfId="42654"/>
    <cellStyle name="Normal 6 3 2 4 5 2 2" xfId="42655"/>
    <cellStyle name="Normal 6 3 2 4 5 3" xfId="42656"/>
    <cellStyle name="Normal 6 3 2 4 6" xfId="42657"/>
    <cellStyle name="Normal 6 3 2 4 6 2" xfId="42658"/>
    <cellStyle name="Normal 6 3 2 4 7" xfId="42659"/>
    <cellStyle name="Normal 6 3 2 5" xfId="810"/>
    <cellStyle name="Normal 6 3 2 5 2" xfId="2170"/>
    <cellStyle name="Normal 6 3 2 5 2 2" xfId="4890"/>
    <cellStyle name="Normal 6 3 2 5 2 2 2" xfId="42660"/>
    <cellStyle name="Normal 6 3 2 5 2 2 2 2" xfId="42661"/>
    <cellStyle name="Normal 6 3 2 5 2 2 2 2 2" xfId="42662"/>
    <cellStyle name="Normal 6 3 2 5 2 2 2 3" xfId="42663"/>
    <cellStyle name="Normal 6 3 2 5 2 2 3" xfId="42664"/>
    <cellStyle name="Normal 6 3 2 5 2 2 3 2" xfId="42665"/>
    <cellStyle name="Normal 6 3 2 5 2 2 4" xfId="42666"/>
    <cellStyle name="Normal 6 3 2 5 2 3" xfId="42667"/>
    <cellStyle name="Normal 6 3 2 5 2 3 2" xfId="42668"/>
    <cellStyle name="Normal 6 3 2 5 2 3 2 2" xfId="42669"/>
    <cellStyle name="Normal 6 3 2 5 2 3 3" xfId="42670"/>
    <cellStyle name="Normal 6 3 2 5 2 4" xfId="42671"/>
    <cellStyle name="Normal 6 3 2 5 2 4 2" xfId="42672"/>
    <cellStyle name="Normal 6 3 2 5 2 5" xfId="42673"/>
    <cellStyle name="Normal 6 3 2 5 3" xfId="3530"/>
    <cellStyle name="Normal 6 3 2 5 3 2" xfId="42674"/>
    <cellStyle name="Normal 6 3 2 5 3 2 2" xfId="42675"/>
    <cellStyle name="Normal 6 3 2 5 3 2 2 2" xfId="42676"/>
    <cellStyle name="Normal 6 3 2 5 3 2 3" xfId="42677"/>
    <cellStyle name="Normal 6 3 2 5 3 3" xfId="42678"/>
    <cellStyle name="Normal 6 3 2 5 3 3 2" xfId="42679"/>
    <cellStyle name="Normal 6 3 2 5 3 4" xfId="42680"/>
    <cellStyle name="Normal 6 3 2 5 4" xfId="42681"/>
    <cellStyle name="Normal 6 3 2 5 4 2" xfId="42682"/>
    <cellStyle name="Normal 6 3 2 5 4 2 2" xfId="42683"/>
    <cellStyle name="Normal 6 3 2 5 4 3" xfId="42684"/>
    <cellStyle name="Normal 6 3 2 5 5" xfId="42685"/>
    <cellStyle name="Normal 6 3 2 5 5 2" xfId="42686"/>
    <cellStyle name="Normal 6 3 2 5 6" xfId="42687"/>
    <cellStyle name="Normal 6 3 2 6" xfId="1490"/>
    <cellStyle name="Normal 6 3 2 6 2" xfId="4210"/>
    <cellStyle name="Normal 6 3 2 6 2 2" xfId="42688"/>
    <cellStyle name="Normal 6 3 2 6 2 2 2" xfId="42689"/>
    <cellStyle name="Normal 6 3 2 6 2 2 2 2" xfId="42690"/>
    <cellStyle name="Normal 6 3 2 6 2 2 3" xfId="42691"/>
    <cellStyle name="Normal 6 3 2 6 2 3" xfId="42692"/>
    <cellStyle name="Normal 6 3 2 6 2 3 2" xfId="42693"/>
    <cellStyle name="Normal 6 3 2 6 2 4" xfId="42694"/>
    <cellStyle name="Normal 6 3 2 6 3" xfId="42695"/>
    <cellStyle name="Normal 6 3 2 6 3 2" xfId="42696"/>
    <cellStyle name="Normal 6 3 2 6 3 2 2" xfId="42697"/>
    <cellStyle name="Normal 6 3 2 6 3 3" xfId="42698"/>
    <cellStyle name="Normal 6 3 2 6 4" xfId="42699"/>
    <cellStyle name="Normal 6 3 2 6 4 2" xfId="42700"/>
    <cellStyle name="Normal 6 3 2 6 5" xfId="42701"/>
    <cellStyle name="Normal 6 3 2 7" xfId="2850"/>
    <cellStyle name="Normal 6 3 2 7 2" xfId="42702"/>
    <cellStyle name="Normal 6 3 2 7 2 2" xfId="42703"/>
    <cellStyle name="Normal 6 3 2 7 2 2 2" xfId="42704"/>
    <cellStyle name="Normal 6 3 2 7 2 3" xfId="42705"/>
    <cellStyle name="Normal 6 3 2 7 3" xfId="42706"/>
    <cellStyle name="Normal 6 3 2 7 3 2" xfId="42707"/>
    <cellStyle name="Normal 6 3 2 7 4" xfId="42708"/>
    <cellStyle name="Normal 6 3 2 8" xfId="42709"/>
    <cellStyle name="Normal 6 3 2 8 2" xfId="42710"/>
    <cellStyle name="Normal 6 3 2 8 2 2" xfId="42711"/>
    <cellStyle name="Normal 6 3 2 8 3" xfId="42712"/>
    <cellStyle name="Normal 6 3 2 9" xfId="42713"/>
    <cellStyle name="Normal 6 3 2 9 2" xfId="42714"/>
    <cellStyle name="Normal 6 3 3" xfId="198"/>
    <cellStyle name="Normal 6 3 3 2" xfId="470"/>
    <cellStyle name="Normal 6 3 3 2 2" xfId="1150"/>
    <cellStyle name="Normal 6 3 3 2 2 2" xfId="2510"/>
    <cellStyle name="Normal 6 3 3 2 2 2 2" xfId="5230"/>
    <cellStyle name="Normal 6 3 3 2 2 2 2 2" xfId="42715"/>
    <cellStyle name="Normal 6 3 3 2 2 2 2 2 2" xfId="42716"/>
    <cellStyle name="Normal 6 3 3 2 2 2 2 2 2 2" xfId="42717"/>
    <cellStyle name="Normal 6 3 3 2 2 2 2 2 3" xfId="42718"/>
    <cellStyle name="Normal 6 3 3 2 2 2 2 3" xfId="42719"/>
    <cellStyle name="Normal 6 3 3 2 2 2 2 3 2" xfId="42720"/>
    <cellStyle name="Normal 6 3 3 2 2 2 2 4" xfId="42721"/>
    <cellStyle name="Normal 6 3 3 2 2 2 3" xfId="42722"/>
    <cellStyle name="Normal 6 3 3 2 2 2 3 2" xfId="42723"/>
    <cellStyle name="Normal 6 3 3 2 2 2 3 2 2" xfId="42724"/>
    <cellStyle name="Normal 6 3 3 2 2 2 3 3" xfId="42725"/>
    <cellStyle name="Normal 6 3 3 2 2 2 4" xfId="42726"/>
    <cellStyle name="Normal 6 3 3 2 2 2 4 2" xfId="42727"/>
    <cellStyle name="Normal 6 3 3 2 2 2 5" xfId="42728"/>
    <cellStyle name="Normal 6 3 3 2 2 3" xfId="3870"/>
    <cellStyle name="Normal 6 3 3 2 2 3 2" xfId="42729"/>
    <cellStyle name="Normal 6 3 3 2 2 3 2 2" xfId="42730"/>
    <cellStyle name="Normal 6 3 3 2 2 3 2 2 2" xfId="42731"/>
    <cellStyle name="Normal 6 3 3 2 2 3 2 3" xfId="42732"/>
    <cellStyle name="Normal 6 3 3 2 2 3 3" xfId="42733"/>
    <cellStyle name="Normal 6 3 3 2 2 3 3 2" xfId="42734"/>
    <cellStyle name="Normal 6 3 3 2 2 3 4" xfId="42735"/>
    <cellStyle name="Normal 6 3 3 2 2 4" xfId="42736"/>
    <cellStyle name="Normal 6 3 3 2 2 4 2" xfId="42737"/>
    <cellStyle name="Normal 6 3 3 2 2 4 2 2" xfId="42738"/>
    <cellStyle name="Normal 6 3 3 2 2 4 3" xfId="42739"/>
    <cellStyle name="Normal 6 3 3 2 2 5" xfId="42740"/>
    <cellStyle name="Normal 6 3 3 2 2 5 2" xfId="42741"/>
    <cellStyle name="Normal 6 3 3 2 2 6" xfId="42742"/>
    <cellStyle name="Normal 6 3 3 2 3" xfId="1830"/>
    <cellStyle name="Normal 6 3 3 2 3 2" xfId="4550"/>
    <cellStyle name="Normal 6 3 3 2 3 2 2" xfId="42743"/>
    <cellStyle name="Normal 6 3 3 2 3 2 2 2" xfId="42744"/>
    <cellStyle name="Normal 6 3 3 2 3 2 2 2 2" xfId="42745"/>
    <cellStyle name="Normal 6 3 3 2 3 2 2 3" xfId="42746"/>
    <cellStyle name="Normal 6 3 3 2 3 2 3" xfId="42747"/>
    <cellStyle name="Normal 6 3 3 2 3 2 3 2" xfId="42748"/>
    <cellStyle name="Normal 6 3 3 2 3 2 4" xfId="42749"/>
    <cellStyle name="Normal 6 3 3 2 3 3" xfId="42750"/>
    <cellStyle name="Normal 6 3 3 2 3 3 2" xfId="42751"/>
    <cellStyle name="Normal 6 3 3 2 3 3 2 2" xfId="42752"/>
    <cellStyle name="Normal 6 3 3 2 3 3 3" xfId="42753"/>
    <cellStyle name="Normal 6 3 3 2 3 4" xfId="42754"/>
    <cellStyle name="Normal 6 3 3 2 3 4 2" xfId="42755"/>
    <cellStyle name="Normal 6 3 3 2 3 5" xfId="42756"/>
    <cellStyle name="Normal 6 3 3 2 4" xfId="3190"/>
    <cellStyle name="Normal 6 3 3 2 4 2" xfId="42757"/>
    <cellStyle name="Normal 6 3 3 2 4 2 2" xfId="42758"/>
    <cellStyle name="Normal 6 3 3 2 4 2 2 2" xfId="42759"/>
    <cellStyle name="Normal 6 3 3 2 4 2 3" xfId="42760"/>
    <cellStyle name="Normal 6 3 3 2 4 3" xfId="42761"/>
    <cellStyle name="Normal 6 3 3 2 4 3 2" xfId="42762"/>
    <cellStyle name="Normal 6 3 3 2 4 4" xfId="42763"/>
    <cellStyle name="Normal 6 3 3 2 5" xfId="42764"/>
    <cellStyle name="Normal 6 3 3 2 5 2" xfId="42765"/>
    <cellStyle name="Normal 6 3 3 2 5 2 2" xfId="42766"/>
    <cellStyle name="Normal 6 3 3 2 5 3" xfId="42767"/>
    <cellStyle name="Normal 6 3 3 2 6" xfId="42768"/>
    <cellStyle name="Normal 6 3 3 2 6 2" xfId="42769"/>
    <cellStyle name="Normal 6 3 3 2 7" xfId="42770"/>
    <cellStyle name="Normal 6 3 3 3" xfId="878"/>
    <cellStyle name="Normal 6 3 3 3 2" xfId="2238"/>
    <cellStyle name="Normal 6 3 3 3 2 2" xfId="4958"/>
    <cellStyle name="Normal 6 3 3 3 2 2 2" xfId="42771"/>
    <cellStyle name="Normal 6 3 3 3 2 2 2 2" xfId="42772"/>
    <cellStyle name="Normal 6 3 3 3 2 2 2 2 2" xfId="42773"/>
    <cellStyle name="Normal 6 3 3 3 2 2 2 3" xfId="42774"/>
    <cellStyle name="Normal 6 3 3 3 2 2 3" xfId="42775"/>
    <cellStyle name="Normal 6 3 3 3 2 2 3 2" xfId="42776"/>
    <cellStyle name="Normal 6 3 3 3 2 2 4" xfId="42777"/>
    <cellStyle name="Normal 6 3 3 3 2 3" xfId="42778"/>
    <cellStyle name="Normal 6 3 3 3 2 3 2" xfId="42779"/>
    <cellStyle name="Normal 6 3 3 3 2 3 2 2" xfId="42780"/>
    <cellStyle name="Normal 6 3 3 3 2 3 3" xfId="42781"/>
    <cellStyle name="Normal 6 3 3 3 2 4" xfId="42782"/>
    <cellStyle name="Normal 6 3 3 3 2 4 2" xfId="42783"/>
    <cellStyle name="Normal 6 3 3 3 2 5" xfId="42784"/>
    <cellStyle name="Normal 6 3 3 3 3" xfId="3598"/>
    <cellStyle name="Normal 6 3 3 3 3 2" xfId="42785"/>
    <cellStyle name="Normal 6 3 3 3 3 2 2" xfId="42786"/>
    <cellStyle name="Normal 6 3 3 3 3 2 2 2" xfId="42787"/>
    <cellStyle name="Normal 6 3 3 3 3 2 3" xfId="42788"/>
    <cellStyle name="Normal 6 3 3 3 3 3" xfId="42789"/>
    <cellStyle name="Normal 6 3 3 3 3 3 2" xfId="42790"/>
    <cellStyle name="Normal 6 3 3 3 3 4" xfId="42791"/>
    <cellStyle name="Normal 6 3 3 3 4" xfId="42792"/>
    <cellStyle name="Normal 6 3 3 3 4 2" xfId="42793"/>
    <cellStyle name="Normal 6 3 3 3 4 2 2" xfId="42794"/>
    <cellStyle name="Normal 6 3 3 3 4 3" xfId="42795"/>
    <cellStyle name="Normal 6 3 3 3 5" xfId="42796"/>
    <cellStyle name="Normal 6 3 3 3 5 2" xfId="42797"/>
    <cellStyle name="Normal 6 3 3 3 6" xfId="42798"/>
    <cellStyle name="Normal 6 3 3 4" xfId="1558"/>
    <cellStyle name="Normal 6 3 3 4 2" xfId="4278"/>
    <cellStyle name="Normal 6 3 3 4 2 2" xfId="42799"/>
    <cellStyle name="Normal 6 3 3 4 2 2 2" xfId="42800"/>
    <cellStyle name="Normal 6 3 3 4 2 2 2 2" xfId="42801"/>
    <cellStyle name="Normal 6 3 3 4 2 2 3" xfId="42802"/>
    <cellStyle name="Normal 6 3 3 4 2 3" xfId="42803"/>
    <cellStyle name="Normal 6 3 3 4 2 3 2" xfId="42804"/>
    <cellStyle name="Normal 6 3 3 4 2 4" xfId="42805"/>
    <cellStyle name="Normal 6 3 3 4 3" xfId="42806"/>
    <cellStyle name="Normal 6 3 3 4 3 2" xfId="42807"/>
    <cellStyle name="Normal 6 3 3 4 3 2 2" xfId="42808"/>
    <cellStyle name="Normal 6 3 3 4 3 3" xfId="42809"/>
    <cellStyle name="Normal 6 3 3 4 4" xfId="42810"/>
    <cellStyle name="Normal 6 3 3 4 4 2" xfId="42811"/>
    <cellStyle name="Normal 6 3 3 4 5" xfId="42812"/>
    <cellStyle name="Normal 6 3 3 5" xfId="2918"/>
    <cellStyle name="Normal 6 3 3 5 2" xfId="42813"/>
    <cellStyle name="Normal 6 3 3 5 2 2" xfId="42814"/>
    <cellStyle name="Normal 6 3 3 5 2 2 2" xfId="42815"/>
    <cellStyle name="Normal 6 3 3 5 2 3" xfId="42816"/>
    <cellStyle name="Normal 6 3 3 5 3" xfId="42817"/>
    <cellStyle name="Normal 6 3 3 5 3 2" xfId="42818"/>
    <cellStyle name="Normal 6 3 3 5 4" xfId="42819"/>
    <cellStyle name="Normal 6 3 3 6" xfId="42820"/>
    <cellStyle name="Normal 6 3 3 6 2" xfId="42821"/>
    <cellStyle name="Normal 6 3 3 6 2 2" xfId="42822"/>
    <cellStyle name="Normal 6 3 3 6 3" xfId="42823"/>
    <cellStyle name="Normal 6 3 3 7" xfId="42824"/>
    <cellStyle name="Normal 6 3 3 7 2" xfId="42825"/>
    <cellStyle name="Normal 6 3 3 8" xfId="42826"/>
    <cellStyle name="Normal 6 3 4" xfId="334"/>
    <cellStyle name="Normal 6 3 4 2" xfId="1014"/>
    <cellStyle name="Normal 6 3 4 2 2" xfId="2374"/>
    <cellStyle name="Normal 6 3 4 2 2 2" xfId="5094"/>
    <cellStyle name="Normal 6 3 4 2 2 2 2" xfId="42827"/>
    <cellStyle name="Normal 6 3 4 2 2 2 2 2" xfId="42828"/>
    <cellStyle name="Normal 6 3 4 2 2 2 2 2 2" xfId="42829"/>
    <cellStyle name="Normal 6 3 4 2 2 2 2 3" xfId="42830"/>
    <cellStyle name="Normal 6 3 4 2 2 2 3" xfId="42831"/>
    <cellStyle name="Normal 6 3 4 2 2 2 3 2" xfId="42832"/>
    <cellStyle name="Normal 6 3 4 2 2 2 4" xfId="42833"/>
    <cellStyle name="Normal 6 3 4 2 2 3" xfId="42834"/>
    <cellStyle name="Normal 6 3 4 2 2 3 2" xfId="42835"/>
    <cellStyle name="Normal 6 3 4 2 2 3 2 2" xfId="42836"/>
    <cellStyle name="Normal 6 3 4 2 2 3 3" xfId="42837"/>
    <cellStyle name="Normal 6 3 4 2 2 4" xfId="42838"/>
    <cellStyle name="Normal 6 3 4 2 2 4 2" xfId="42839"/>
    <cellStyle name="Normal 6 3 4 2 2 5" xfId="42840"/>
    <cellStyle name="Normal 6 3 4 2 3" xfId="3734"/>
    <cellStyle name="Normal 6 3 4 2 3 2" xfId="42841"/>
    <cellStyle name="Normal 6 3 4 2 3 2 2" xfId="42842"/>
    <cellStyle name="Normal 6 3 4 2 3 2 2 2" xfId="42843"/>
    <cellStyle name="Normal 6 3 4 2 3 2 3" xfId="42844"/>
    <cellStyle name="Normal 6 3 4 2 3 3" xfId="42845"/>
    <cellStyle name="Normal 6 3 4 2 3 3 2" xfId="42846"/>
    <cellStyle name="Normal 6 3 4 2 3 4" xfId="42847"/>
    <cellStyle name="Normal 6 3 4 2 4" xfId="42848"/>
    <cellStyle name="Normal 6 3 4 2 4 2" xfId="42849"/>
    <cellStyle name="Normal 6 3 4 2 4 2 2" xfId="42850"/>
    <cellStyle name="Normal 6 3 4 2 4 3" xfId="42851"/>
    <cellStyle name="Normal 6 3 4 2 5" xfId="42852"/>
    <cellStyle name="Normal 6 3 4 2 5 2" xfId="42853"/>
    <cellStyle name="Normal 6 3 4 2 6" xfId="42854"/>
    <cellStyle name="Normal 6 3 4 3" xfId="1694"/>
    <cellStyle name="Normal 6 3 4 3 2" xfId="4414"/>
    <cellStyle name="Normal 6 3 4 3 2 2" xfId="42855"/>
    <cellStyle name="Normal 6 3 4 3 2 2 2" xfId="42856"/>
    <cellStyle name="Normal 6 3 4 3 2 2 2 2" xfId="42857"/>
    <cellStyle name="Normal 6 3 4 3 2 2 3" xfId="42858"/>
    <cellStyle name="Normal 6 3 4 3 2 3" xfId="42859"/>
    <cellStyle name="Normal 6 3 4 3 2 3 2" xfId="42860"/>
    <cellStyle name="Normal 6 3 4 3 2 4" xfId="42861"/>
    <cellStyle name="Normal 6 3 4 3 3" xfId="42862"/>
    <cellStyle name="Normal 6 3 4 3 3 2" xfId="42863"/>
    <cellStyle name="Normal 6 3 4 3 3 2 2" xfId="42864"/>
    <cellStyle name="Normal 6 3 4 3 3 3" xfId="42865"/>
    <cellStyle name="Normal 6 3 4 3 4" xfId="42866"/>
    <cellStyle name="Normal 6 3 4 3 4 2" xfId="42867"/>
    <cellStyle name="Normal 6 3 4 3 5" xfId="42868"/>
    <cellStyle name="Normal 6 3 4 4" xfId="3054"/>
    <cellStyle name="Normal 6 3 4 4 2" xfId="42869"/>
    <cellStyle name="Normal 6 3 4 4 2 2" xfId="42870"/>
    <cellStyle name="Normal 6 3 4 4 2 2 2" xfId="42871"/>
    <cellStyle name="Normal 6 3 4 4 2 3" xfId="42872"/>
    <cellStyle name="Normal 6 3 4 4 3" xfId="42873"/>
    <cellStyle name="Normal 6 3 4 4 3 2" xfId="42874"/>
    <cellStyle name="Normal 6 3 4 4 4" xfId="42875"/>
    <cellStyle name="Normal 6 3 4 5" xfId="42876"/>
    <cellStyle name="Normal 6 3 4 5 2" xfId="42877"/>
    <cellStyle name="Normal 6 3 4 5 2 2" xfId="42878"/>
    <cellStyle name="Normal 6 3 4 5 3" xfId="42879"/>
    <cellStyle name="Normal 6 3 4 6" xfId="42880"/>
    <cellStyle name="Normal 6 3 4 6 2" xfId="42881"/>
    <cellStyle name="Normal 6 3 4 7" xfId="42882"/>
    <cellStyle name="Normal 6 3 5" xfId="606"/>
    <cellStyle name="Normal 6 3 5 2" xfId="1286"/>
    <cellStyle name="Normal 6 3 5 2 2" xfId="2646"/>
    <cellStyle name="Normal 6 3 5 2 2 2" xfId="5366"/>
    <cellStyle name="Normal 6 3 5 2 2 2 2" xfId="42883"/>
    <cellStyle name="Normal 6 3 5 2 2 2 2 2" xfId="42884"/>
    <cellStyle name="Normal 6 3 5 2 2 2 2 2 2" xfId="42885"/>
    <cellStyle name="Normal 6 3 5 2 2 2 2 3" xfId="42886"/>
    <cellStyle name="Normal 6 3 5 2 2 2 3" xfId="42887"/>
    <cellStyle name="Normal 6 3 5 2 2 2 3 2" xfId="42888"/>
    <cellStyle name="Normal 6 3 5 2 2 2 4" xfId="42889"/>
    <cellStyle name="Normal 6 3 5 2 2 3" xfId="42890"/>
    <cellStyle name="Normal 6 3 5 2 2 3 2" xfId="42891"/>
    <cellStyle name="Normal 6 3 5 2 2 3 2 2" xfId="42892"/>
    <cellStyle name="Normal 6 3 5 2 2 3 3" xfId="42893"/>
    <cellStyle name="Normal 6 3 5 2 2 4" xfId="42894"/>
    <cellStyle name="Normal 6 3 5 2 2 4 2" xfId="42895"/>
    <cellStyle name="Normal 6 3 5 2 2 5" xfId="42896"/>
    <cellStyle name="Normal 6 3 5 2 3" xfId="4006"/>
    <cellStyle name="Normal 6 3 5 2 3 2" xfId="42897"/>
    <cellStyle name="Normal 6 3 5 2 3 2 2" xfId="42898"/>
    <cellStyle name="Normal 6 3 5 2 3 2 2 2" xfId="42899"/>
    <cellStyle name="Normal 6 3 5 2 3 2 3" xfId="42900"/>
    <cellStyle name="Normal 6 3 5 2 3 3" xfId="42901"/>
    <cellStyle name="Normal 6 3 5 2 3 3 2" xfId="42902"/>
    <cellStyle name="Normal 6 3 5 2 3 4" xfId="42903"/>
    <cellStyle name="Normal 6 3 5 2 4" xfId="42904"/>
    <cellStyle name="Normal 6 3 5 2 4 2" xfId="42905"/>
    <cellStyle name="Normal 6 3 5 2 4 2 2" xfId="42906"/>
    <cellStyle name="Normal 6 3 5 2 4 3" xfId="42907"/>
    <cellStyle name="Normal 6 3 5 2 5" xfId="42908"/>
    <cellStyle name="Normal 6 3 5 2 5 2" xfId="42909"/>
    <cellStyle name="Normal 6 3 5 2 6" xfId="42910"/>
    <cellStyle name="Normal 6 3 5 3" xfId="1966"/>
    <cellStyle name="Normal 6 3 5 3 2" xfId="4686"/>
    <cellStyle name="Normal 6 3 5 3 2 2" xfId="42911"/>
    <cellStyle name="Normal 6 3 5 3 2 2 2" xfId="42912"/>
    <cellStyle name="Normal 6 3 5 3 2 2 2 2" xfId="42913"/>
    <cellStyle name="Normal 6 3 5 3 2 2 3" xfId="42914"/>
    <cellStyle name="Normal 6 3 5 3 2 3" xfId="42915"/>
    <cellStyle name="Normal 6 3 5 3 2 3 2" xfId="42916"/>
    <cellStyle name="Normal 6 3 5 3 2 4" xfId="42917"/>
    <cellStyle name="Normal 6 3 5 3 3" xfId="42918"/>
    <cellStyle name="Normal 6 3 5 3 3 2" xfId="42919"/>
    <cellStyle name="Normal 6 3 5 3 3 2 2" xfId="42920"/>
    <cellStyle name="Normal 6 3 5 3 3 3" xfId="42921"/>
    <cellStyle name="Normal 6 3 5 3 4" xfId="42922"/>
    <cellStyle name="Normal 6 3 5 3 4 2" xfId="42923"/>
    <cellStyle name="Normal 6 3 5 3 5" xfId="42924"/>
    <cellStyle name="Normal 6 3 5 4" xfId="3326"/>
    <cellStyle name="Normal 6 3 5 4 2" xfId="42925"/>
    <cellStyle name="Normal 6 3 5 4 2 2" xfId="42926"/>
    <cellStyle name="Normal 6 3 5 4 2 2 2" xfId="42927"/>
    <cellStyle name="Normal 6 3 5 4 2 3" xfId="42928"/>
    <cellStyle name="Normal 6 3 5 4 3" xfId="42929"/>
    <cellStyle name="Normal 6 3 5 4 3 2" xfId="42930"/>
    <cellStyle name="Normal 6 3 5 4 4" xfId="42931"/>
    <cellStyle name="Normal 6 3 5 5" xfId="42932"/>
    <cellStyle name="Normal 6 3 5 5 2" xfId="42933"/>
    <cellStyle name="Normal 6 3 5 5 2 2" xfId="42934"/>
    <cellStyle name="Normal 6 3 5 5 3" xfId="42935"/>
    <cellStyle name="Normal 6 3 5 6" xfId="42936"/>
    <cellStyle name="Normal 6 3 5 6 2" xfId="42937"/>
    <cellStyle name="Normal 6 3 5 7" xfId="42938"/>
    <cellStyle name="Normal 6 3 6" xfId="742"/>
    <cellStyle name="Normal 6 3 6 2" xfId="2102"/>
    <cellStyle name="Normal 6 3 6 2 2" xfId="4822"/>
    <cellStyle name="Normal 6 3 6 2 2 2" xfId="42939"/>
    <cellStyle name="Normal 6 3 6 2 2 2 2" xfId="42940"/>
    <cellStyle name="Normal 6 3 6 2 2 2 2 2" xfId="42941"/>
    <cellStyle name="Normal 6 3 6 2 2 2 3" xfId="42942"/>
    <cellStyle name="Normal 6 3 6 2 2 3" xfId="42943"/>
    <cellStyle name="Normal 6 3 6 2 2 3 2" xfId="42944"/>
    <cellStyle name="Normal 6 3 6 2 2 4" xfId="42945"/>
    <cellStyle name="Normal 6 3 6 2 3" xfId="42946"/>
    <cellStyle name="Normal 6 3 6 2 3 2" xfId="42947"/>
    <cellStyle name="Normal 6 3 6 2 3 2 2" xfId="42948"/>
    <cellStyle name="Normal 6 3 6 2 3 3" xfId="42949"/>
    <cellStyle name="Normal 6 3 6 2 4" xfId="42950"/>
    <cellStyle name="Normal 6 3 6 2 4 2" xfId="42951"/>
    <cellStyle name="Normal 6 3 6 2 5" xfId="42952"/>
    <cellStyle name="Normal 6 3 6 3" xfId="3462"/>
    <cellStyle name="Normal 6 3 6 3 2" xfId="42953"/>
    <cellStyle name="Normal 6 3 6 3 2 2" xfId="42954"/>
    <cellStyle name="Normal 6 3 6 3 2 2 2" xfId="42955"/>
    <cellStyle name="Normal 6 3 6 3 2 3" xfId="42956"/>
    <cellStyle name="Normal 6 3 6 3 3" xfId="42957"/>
    <cellStyle name="Normal 6 3 6 3 3 2" xfId="42958"/>
    <cellStyle name="Normal 6 3 6 3 4" xfId="42959"/>
    <cellStyle name="Normal 6 3 6 4" xfId="42960"/>
    <cellStyle name="Normal 6 3 6 4 2" xfId="42961"/>
    <cellStyle name="Normal 6 3 6 4 2 2" xfId="42962"/>
    <cellStyle name="Normal 6 3 6 4 3" xfId="42963"/>
    <cellStyle name="Normal 6 3 6 5" xfId="42964"/>
    <cellStyle name="Normal 6 3 6 5 2" xfId="42965"/>
    <cellStyle name="Normal 6 3 6 6" xfId="42966"/>
    <cellStyle name="Normal 6 3 7" xfId="1422"/>
    <cellStyle name="Normal 6 3 7 2" xfId="4142"/>
    <cellStyle name="Normal 6 3 7 2 2" xfId="42967"/>
    <cellStyle name="Normal 6 3 7 2 2 2" xfId="42968"/>
    <cellStyle name="Normal 6 3 7 2 2 2 2" xfId="42969"/>
    <cellStyle name="Normal 6 3 7 2 2 3" xfId="42970"/>
    <cellStyle name="Normal 6 3 7 2 3" xfId="42971"/>
    <cellStyle name="Normal 6 3 7 2 3 2" xfId="42972"/>
    <cellStyle name="Normal 6 3 7 2 4" xfId="42973"/>
    <cellStyle name="Normal 6 3 7 3" xfId="42974"/>
    <cellStyle name="Normal 6 3 7 3 2" xfId="42975"/>
    <cellStyle name="Normal 6 3 7 3 2 2" xfId="42976"/>
    <cellStyle name="Normal 6 3 7 3 3" xfId="42977"/>
    <cellStyle name="Normal 6 3 7 4" xfId="42978"/>
    <cellStyle name="Normal 6 3 7 4 2" xfId="42979"/>
    <cellStyle name="Normal 6 3 7 5" xfId="42980"/>
    <cellStyle name="Normal 6 3 8" xfId="2782"/>
    <cellStyle name="Normal 6 3 8 2" xfId="42981"/>
    <cellStyle name="Normal 6 3 8 2 2" xfId="42982"/>
    <cellStyle name="Normal 6 3 8 2 2 2" xfId="42983"/>
    <cellStyle name="Normal 6 3 8 2 3" xfId="42984"/>
    <cellStyle name="Normal 6 3 8 3" xfId="42985"/>
    <cellStyle name="Normal 6 3 8 3 2" xfId="42986"/>
    <cellStyle name="Normal 6 3 8 4" xfId="42987"/>
    <cellStyle name="Normal 6 3 9" xfId="42988"/>
    <cellStyle name="Normal 6 3 9 2" xfId="42989"/>
    <cellStyle name="Normal 6 3 9 2 2" xfId="42990"/>
    <cellStyle name="Normal 6 3 9 3" xfId="42991"/>
    <cellStyle name="Normal 6 4" xfId="95"/>
    <cellStyle name="Normal 6 4 10" xfId="42992"/>
    <cellStyle name="Normal 6 4 2" xfId="232"/>
    <cellStyle name="Normal 6 4 2 2" xfId="504"/>
    <cellStyle name="Normal 6 4 2 2 2" xfId="1184"/>
    <cellStyle name="Normal 6 4 2 2 2 2" xfId="2544"/>
    <cellStyle name="Normal 6 4 2 2 2 2 2" xfId="5264"/>
    <cellStyle name="Normal 6 4 2 2 2 2 2 2" xfId="42993"/>
    <cellStyle name="Normal 6 4 2 2 2 2 2 2 2" xfId="42994"/>
    <cellStyle name="Normal 6 4 2 2 2 2 2 2 2 2" xfId="42995"/>
    <cellStyle name="Normal 6 4 2 2 2 2 2 2 3" xfId="42996"/>
    <cellStyle name="Normal 6 4 2 2 2 2 2 3" xfId="42997"/>
    <cellStyle name="Normal 6 4 2 2 2 2 2 3 2" xfId="42998"/>
    <cellStyle name="Normal 6 4 2 2 2 2 2 4" xfId="42999"/>
    <cellStyle name="Normal 6 4 2 2 2 2 3" xfId="43000"/>
    <cellStyle name="Normal 6 4 2 2 2 2 3 2" xfId="43001"/>
    <cellStyle name="Normal 6 4 2 2 2 2 3 2 2" xfId="43002"/>
    <cellStyle name="Normal 6 4 2 2 2 2 3 3" xfId="43003"/>
    <cellStyle name="Normal 6 4 2 2 2 2 4" xfId="43004"/>
    <cellStyle name="Normal 6 4 2 2 2 2 4 2" xfId="43005"/>
    <cellStyle name="Normal 6 4 2 2 2 2 5" xfId="43006"/>
    <cellStyle name="Normal 6 4 2 2 2 3" xfId="3904"/>
    <cellStyle name="Normal 6 4 2 2 2 3 2" xfId="43007"/>
    <cellStyle name="Normal 6 4 2 2 2 3 2 2" xfId="43008"/>
    <cellStyle name="Normal 6 4 2 2 2 3 2 2 2" xfId="43009"/>
    <cellStyle name="Normal 6 4 2 2 2 3 2 3" xfId="43010"/>
    <cellStyle name="Normal 6 4 2 2 2 3 3" xfId="43011"/>
    <cellStyle name="Normal 6 4 2 2 2 3 3 2" xfId="43012"/>
    <cellStyle name="Normal 6 4 2 2 2 3 4" xfId="43013"/>
    <cellStyle name="Normal 6 4 2 2 2 4" xfId="43014"/>
    <cellStyle name="Normal 6 4 2 2 2 4 2" xfId="43015"/>
    <cellStyle name="Normal 6 4 2 2 2 4 2 2" xfId="43016"/>
    <cellStyle name="Normal 6 4 2 2 2 4 3" xfId="43017"/>
    <cellStyle name="Normal 6 4 2 2 2 5" xfId="43018"/>
    <cellStyle name="Normal 6 4 2 2 2 5 2" xfId="43019"/>
    <cellStyle name="Normal 6 4 2 2 2 6" xfId="43020"/>
    <cellStyle name="Normal 6 4 2 2 3" xfId="1864"/>
    <cellStyle name="Normal 6 4 2 2 3 2" xfId="4584"/>
    <cellStyle name="Normal 6 4 2 2 3 2 2" xfId="43021"/>
    <cellStyle name="Normal 6 4 2 2 3 2 2 2" xfId="43022"/>
    <cellStyle name="Normal 6 4 2 2 3 2 2 2 2" xfId="43023"/>
    <cellStyle name="Normal 6 4 2 2 3 2 2 3" xfId="43024"/>
    <cellStyle name="Normal 6 4 2 2 3 2 3" xfId="43025"/>
    <cellStyle name="Normal 6 4 2 2 3 2 3 2" xfId="43026"/>
    <cellStyle name="Normal 6 4 2 2 3 2 4" xfId="43027"/>
    <cellStyle name="Normal 6 4 2 2 3 3" xfId="43028"/>
    <cellStyle name="Normal 6 4 2 2 3 3 2" xfId="43029"/>
    <cellStyle name="Normal 6 4 2 2 3 3 2 2" xfId="43030"/>
    <cellStyle name="Normal 6 4 2 2 3 3 3" xfId="43031"/>
    <cellStyle name="Normal 6 4 2 2 3 4" xfId="43032"/>
    <cellStyle name="Normal 6 4 2 2 3 4 2" xfId="43033"/>
    <cellStyle name="Normal 6 4 2 2 3 5" xfId="43034"/>
    <cellStyle name="Normal 6 4 2 2 4" xfId="3224"/>
    <cellStyle name="Normal 6 4 2 2 4 2" xfId="43035"/>
    <cellStyle name="Normal 6 4 2 2 4 2 2" xfId="43036"/>
    <cellStyle name="Normal 6 4 2 2 4 2 2 2" xfId="43037"/>
    <cellStyle name="Normal 6 4 2 2 4 2 3" xfId="43038"/>
    <cellStyle name="Normal 6 4 2 2 4 3" xfId="43039"/>
    <cellStyle name="Normal 6 4 2 2 4 3 2" xfId="43040"/>
    <cellStyle name="Normal 6 4 2 2 4 4" xfId="43041"/>
    <cellStyle name="Normal 6 4 2 2 5" xfId="43042"/>
    <cellStyle name="Normal 6 4 2 2 5 2" xfId="43043"/>
    <cellStyle name="Normal 6 4 2 2 5 2 2" xfId="43044"/>
    <cellStyle name="Normal 6 4 2 2 5 3" xfId="43045"/>
    <cellStyle name="Normal 6 4 2 2 6" xfId="43046"/>
    <cellStyle name="Normal 6 4 2 2 6 2" xfId="43047"/>
    <cellStyle name="Normal 6 4 2 2 7" xfId="43048"/>
    <cellStyle name="Normal 6 4 2 3" xfId="912"/>
    <cellStyle name="Normal 6 4 2 3 2" xfId="2272"/>
    <cellStyle name="Normal 6 4 2 3 2 2" xfId="4992"/>
    <cellStyle name="Normal 6 4 2 3 2 2 2" xfId="43049"/>
    <cellStyle name="Normal 6 4 2 3 2 2 2 2" xfId="43050"/>
    <cellStyle name="Normal 6 4 2 3 2 2 2 2 2" xfId="43051"/>
    <cellStyle name="Normal 6 4 2 3 2 2 2 3" xfId="43052"/>
    <cellStyle name="Normal 6 4 2 3 2 2 3" xfId="43053"/>
    <cellStyle name="Normal 6 4 2 3 2 2 3 2" xfId="43054"/>
    <cellStyle name="Normal 6 4 2 3 2 2 4" xfId="43055"/>
    <cellStyle name="Normal 6 4 2 3 2 3" xfId="43056"/>
    <cellStyle name="Normal 6 4 2 3 2 3 2" xfId="43057"/>
    <cellStyle name="Normal 6 4 2 3 2 3 2 2" xfId="43058"/>
    <cellStyle name="Normal 6 4 2 3 2 3 3" xfId="43059"/>
    <cellStyle name="Normal 6 4 2 3 2 4" xfId="43060"/>
    <cellStyle name="Normal 6 4 2 3 2 4 2" xfId="43061"/>
    <cellStyle name="Normal 6 4 2 3 2 5" xfId="43062"/>
    <cellStyle name="Normal 6 4 2 3 3" xfId="3632"/>
    <cellStyle name="Normal 6 4 2 3 3 2" xfId="43063"/>
    <cellStyle name="Normal 6 4 2 3 3 2 2" xfId="43064"/>
    <cellStyle name="Normal 6 4 2 3 3 2 2 2" xfId="43065"/>
    <cellStyle name="Normal 6 4 2 3 3 2 3" xfId="43066"/>
    <cellStyle name="Normal 6 4 2 3 3 3" xfId="43067"/>
    <cellStyle name="Normal 6 4 2 3 3 3 2" xfId="43068"/>
    <cellStyle name="Normal 6 4 2 3 3 4" xfId="43069"/>
    <cellStyle name="Normal 6 4 2 3 4" xfId="43070"/>
    <cellStyle name="Normal 6 4 2 3 4 2" xfId="43071"/>
    <cellStyle name="Normal 6 4 2 3 4 2 2" xfId="43072"/>
    <cellStyle name="Normal 6 4 2 3 4 3" xfId="43073"/>
    <cellStyle name="Normal 6 4 2 3 5" xfId="43074"/>
    <cellStyle name="Normal 6 4 2 3 5 2" xfId="43075"/>
    <cellStyle name="Normal 6 4 2 3 6" xfId="43076"/>
    <cellStyle name="Normal 6 4 2 4" xfId="1592"/>
    <cellStyle name="Normal 6 4 2 4 2" xfId="4312"/>
    <cellStyle name="Normal 6 4 2 4 2 2" xfId="43077"/>
    <cellStyle name="Normal 6 4 2 4 2 2 2" xfId="43078"/>
    <cellStyle name="Normal 6 4 2 4 2 2 2 2" xfId="43079"/>
    <cellStyle name="Normal 6 4 2 4 2 2 3" xfId="43080"/>
    <cellStyle name="Normal 6 4 2 4 2 3" xfId="43081"/>
    <cellStyle name="Normal 6 4 2 4 2 3 2" xfId="43082"/>
    <cellStyle name="Normal 6 4 2 4 2 4" xfId="43083"/>
    <cellStyle name="Normal 6 4 2 4 3" xfId="43084"/>
    <cellStyle name="Normal 6 4 2 4 3 2" xfId="43085"/>
    <cellStyle name="Normal 6 4 2 4 3 2 2" xfId="43086"/>
    <cellStyle name="Normal 6 4 2 4 3 3" xfId="43087"/>
    <cellStyle name="Normal 6 4 2 4 4" xfId="43088"/>
    <cellStyle name="Normal 6 4 2 4 4 2" xfId="43089"/>
    <cellStyle name="Normal 6 4 2 4 5" xfId="43090"/>
    <cellStyle name="Normal 6 4 2 5" xfId="2952"/>
    <cellStyle name="Normal 6 4 2 5 2" xfId="43091"/>
    <cellStyle name="Normal 6 4 2 5 2 2" xfId="43092"/>
    <cellStyle name="Normal 6 4 2 5 2 2 2" xfId="43093"/>
    <cellStyle name="Normal 6 4 2 5 2 3" xfId="43094"/>
    <cellStyle name="Normal 6 4 2 5 3" xfId="43095"/>
    <cellStyle name="Normal 6 4 2 5 3 2" xfId="43096"/>
    <cellStyle name="Normal 6 4 2 5 4" xfId="43097"/>
    <cellStyle name="Normal 6 4 2 6" xfId="43098"/>
    <cellStyle name="Normal 6 4 2 6 2" xfId="43099"/>
    <cellStyle name="Normal 6 4 2 6 2 2" xfId="43100"/>
    <cellStyle name="Normal 6 4 2 6 3" xfId="43101"/>
    <cellStyle name="Normal 6 4 2 7" xfId="43102"/>
    <cellStyle name="Normal 6 4 2 7 2" xfId="43103"/>
    <cellStyle name="Normal 6 4 2 8" xfId="43104"/>
    <cellStyle name="Normal 6 4 3" xfId="368"/>
    <cellStyle name="Normal 6 4 3 2" xfId="1048"/>
    <cellStyle name="Normal 6 4 3 2 2" xfId="2408"/>
    <cellStyle name="Normal 6 4 3 2 2 2" xfId="5128"/>
    <cellStyle name="Normal 6 4 3 2 2 2 2" xfId="43105"/>
    <cellStyle name="Normal 6 4 3 2 2 2 2 2" xfId="43106"/>
    <cellStyle name="Normal 6 4 3 2 2 2 2 2 2" xfId="43107"/>
    <cellStyle name="Normal 6 4 3 2 2 2 2 3" xfId="43108"/>
    <cellStyle name="Normal 6 4 3 2 2 2 3" xfId="43109"/>
    <cellStyle name="Normal 6 4 3 2 2 2 3 2" xfId="43110"/>
    <cellStyle name="Normal 6 4 3 2 2 2 4" xfId="43111"/>
    <cellStyle name="Normal 6 4 3 2 2 3" xfId="43112"/>
    <cellStyle name="Normal 6 4 3 2 2 3 2" xfId="43113"/>
    <cellStyle name="Normal 6 4 3 2 2 3 2 2" xfId="43114"/>
    <cellStyle name="Normal 6 4 3 2 2 3 3" xfId="43115"/>
    <cellStyle name="Normal 6 4 3 2 2 4" xfId="43116"/>
    <cellStyle name="Normal 6 4 3 2 2 4 2" xfId="43117"/>
    <cellStyle name="Normal 6 4 3 2 2 5" xfId="43118"/>
    <cellStyle name="Normal 6 4 3 2 3" xfId="3768"/>
    <cellStyle name="Normal 6 4 3 2 3 2" xfId="43119"/>
    <cellStyle name="Normal 6 4 3 2 3 2 2" xfId="43120"/>
    <cellStyle name="Normal 6 4 3 2 3 2 2 2" xfId="43121"/>
    <cellStyle name="Normal 6 4 3 2 3 2 3" xfId="43122"/>
    <cellStyle name="Normal 6 4 3 2 3 3" xfId="43123"/>
    <cellStyle name="Normal 6 4 3 2 3 3 2" xfId="43124"/>
    <cellStyle name="Normal 6 4 3 2 3 4" xfId="43125"/>
    <cellStyle name="Normal 6 4 3 2 4" xfId="43126"/>
    <cellStyle name="Normal 6 4 3 2 4 2" xfId="43127"/>
    <cellStyle name="Normal 6 4 3 2 4 2 2" xfId="43128"/>
    <cellStyle name="Normal 6 4 3 2 4 3" xfId="43129"/>
    <cellStyle name="Normal 6 4 3 2 5" xfId="43130"/>
    <cellStyle name="Normal 6 4 3 2 5 2" xfId="43131"/>
    <cellStyle name="Normal 6 4 3 2 6" xfId="43132"/>
    <cellStyle name="Normal 6 4 3 3" xfId="1728"/>
    <cellStyle name="Normal 6 4 3 3 2" xfId="4448"/>
    <cellStyle name="Normal 6 4 3 3 2 2" xfId="43133"/>
    <cellStyle name="Normal 6 4 3 3 2 2 2" xfId="43134"/>
    <cellStyle name="Normal 6 4 3 3 2 2 2 2" xfId="43135"/>
    <cellStyle name="Normal 6 4 3 3 2 2 3" xfId="43136"/>
    <cellStyle name="Normal 6 4 3 3 2 3" xfId="43137"/>
    <cellStyle name="Normal 6 4 3 3 2 3 2" xfId="43138"/>
    <cellStyle name="Normal 6 4 3 3 2 4" xfId="43139"/>
    <cellStyle name="Normal 6 4 3 3 3" xfId="43140"/>
    <cellStyle name="Normal 6 4 3 3 3 2" xfId="43141"/>
    <cellStyle name="Normal 6 4 3 3 3 2 2" xfId="43142"/>
    <cellStyle name="Normal 6 4 3 3 3 3" xfId="43143"/>
    <cellStyle name="Normal 6 4 3 3 4" xfId="43144"/>
    <cellStyle name="Normal 6 4 3 3 4 2" xfId="43145"/>
    <cellStyle name="Normal 6 4 3 3 5" xfId="43146"/>
    <cellStyle name="Normal 6 4 3 4" xfId="3088"/>
    <cellStyle name="Normal 6 4 3 4 2" xfId="43147"/>
    <cellStyle name="Normal 6 4 3 4 2 2" xfId="43148"/>
    <cellStyle name="Normal 6 4 3 4 2 2 2" xfId="43149"/>
    <cellStyle name="Normal 6 4 3 4 2 3" xfId="43150"/>
    <cellStyle name="Normal 6 4 3 4 3" xfId="43151"/>
    <cellStyle name="Normal 6 4 3 4 3 2" xfId="43152"/>
    <cellStyle name="Normal 6 4 3 4 4" xfId="43153"/>
    <cellStyle name="Normal 6 4 3 5" xfId="43154"/>
    <cellStyle name="Normal 6 4 3 5 2" xfId="43155"/>
    <cellStyle name="Normal 6 4 3 5 2 2" xfId="43156"/>
    <cellStyle name="Normal 6 4 3 5 3" xfId="43157"/>
    <cellStyle name="Normal 6 4 3 6" xfId="43158"/>
    <cellStyle name="Normal 6 4 3 6 2" xfId="43159"/>
    <cellStyle name="Normal 6 4 3 7" xfId="43160"/>
    <cellStyle name="Normal 6 4 4" xfId="640"/>
    <cellStyle name="Normal 6 4 4 2" xfId="1320"/>
    <cellStyle name="Normal 6 4 4 2 2" xfId="2680"/>
    <cellStyle name="Normal 6 4 4 2 2 2" xfId="5400"/>
    <cellStyle name="Normal 6 4 4 2 2 2 2" xfId="43161"/>
    <cellStyle name="Normal 6 4 4 2 2 2 2 2" xfId="43162"/>
    <cellStyle name="Normal 6 4 4 2 2 2 2 2 2" xfId="43163"/>
    <cellStyle name="Normal 6 4 4 2 2 2 2 3" xfId="43164"/>
    <cellStyle name="Normal 6 4 4 2 2 2 3" xfId="43165"/>
    <cellStyle name="Normal 6 4 4 2 2 2 3 2" xfId="43166"/>
    <cellStyle name="Normal 6 4 4 2 2 2 4" xfId="43167"/>
    <cellStyle name="Normal 6 4 4 2 2 3" xfId="43168"/>
    <cellStyle name="Normal 6 4 4 2 2 3 2" xfId="43169"/>
    <cellStyle name="Normal 6 4 4 2 2 3 2 2" xfId="43170"/>
    <cellStyle name="Normal 6 4 4 2 2 3 3" xfId="43171"/>
    <cellStyle name="Normal 6 4 4 2 2 4" xfId="43172"/>
    <cellStyle name="Normal 6 4 4 2 2 4 2" xfId="43173"/>
    <cellStyle name="Normal 6 4 4 2 2 5" xfId="43174"/>
    <cellStyle name="Normal 6 4 4 2 3" xfId="4040"/>
    <cellStyle name="Normal 6 4 4 2 3 2" xfId="43175"/>
    <cellStyle name="Normal 6 4 4 2 3 2 2" xfId="43176"/>
    <cellStyle name="Normal 6 4 4 2 3 2 2 2" xfId="43177"/>
    <cellStyle name="Normal 6 4 4 2 3 2 3" xfId="43178"/>
    <cellStyle name="Normal 6 4 4 2 3 3" xfId="43179"/>
    <cellStyle name="Normal 6 4 4 2 3 3 2" xfId="43180"/>
    <cellStyle name="Normal 6 4 4 2 3 4" xfId="43181"/>
    <cellStyle name="Normal 6 4 4 2 4" xfId="43182"/>
    <cellStyle name="Normal 6 4 4 2 4 2" xfId="43183"/>
    <cellStyle name="Normal 6 4 4 2 4 2 2" xfId="43184"/>
    <cellStyle name="Normal 6 4 4 2 4 3" xfId="43185"/>
    <cellStyle name="Normal 6 4 4 2 5" xfId="43186"/>
    <cellStyle name="Normal 6 4 4 2 5 2" xfId="43187"/>
    <cellStyle name="Normal 6 4 4 2 6" xfId="43188"/>
    <cellStyle name="Normal 6 4 4 3" xfId="2000"/>
    <cellStyle name="Normal 6 4 4 3 2" xfId="4720"/>
    <cellStyle name="Normal 6 4 4 3 2 2" xfId="43189"/>
    <cellStyle name="Normal 6 4 4 3 2 2 2" xfId="43190"/>
    <cellStyle name="Normal 6 4 4 3 2 2 2 2" xfId="43191"/>
    <cellStyle name="Normal 6 4 4 3 2 2 3" xfId="43192"/>
    <cellStyle name="Normal 6 4 4 3 2 3" xfId="43193"/>
    <cellStyle name="Normal 6 4 4 3 2 3 2" xfId="43194"/>
    <cellStyle name="Normal 6 4 4 3 2 4" xfId="43195"/>
    <cellStyle name="Normal 6 4 4 3 3" xfId="43196"/>
    <cellStyle name="Normal 6 4 4 3 3 2" xfId="43197"/>
    <cellStyle name="Normal 6 4 4 3 3 2 2" xfId="43198"/>
    <cellStyle name="Normal 6 4 4 3 3 3" xfId="43199"/>
    <cellStyle name="Normal 6 4 4 3 4" xfId="43200"/>
    <cellStyle name="Normal 6 4 4 3 4 2" xfId="43201"/>
    <cellStyle name="Normal 6 4 4 3 5" xfId="43202"/>
    <cellStyle name="Normal 6 4 4 4" xfId="3360"/>
    <cellStyle name="Normal 6 4 4 4 2" xfId="43203"/>
    <cellStyle name="Normal 6 4 4 4 2 2" xfId="43204"/>
    <cellStyle name="Normal 6 4 4 4 2 2 2" xfId="43205"/>
    <cellStyle name="Normal 6 4 4 4 2 3" xfId="43206"/>
    <cellStyle name="Normal 6 4 4 4 3" xfId="43207"/>
    <cellStyle name="Normal 6 4 4 4 3 2" xfId="43208"/>
    <cellStyle name="Normal 6 4 4 4 4" xfId="43209"/>
    <cellStyle name="Normal 6 4 4 5" xfId="43210"/>
    <cellStyle name="Normal 6 4 4 5 2" xfId="43211"/>
    <cellStyle name="Normal 6 4 4 5 2 2" xfId="43212"/>
    <cellStyle name="Normal 6 4 4 5 3" xfId="43213"/>
    <cellStyle name="Normal 6 4 4 6" xfId="43214"/>
    <cellStyle name="Normal 6 4 4 6 2" xfId="43215"/>
    <cellStyle name="Normal 6 4 4 7" xfId="43216"/>
    <cellStyle name="Normal 6 4 5" xfId="776"/>
    <cellStyle name="Normal 6 4 5 2" xfId="2136"/>
    <cellStyle name="Normal 6 4 5 2 2" xfId="4856"/>
    <cellStyle name="Normal 6 4 5 2 2 2" xfId="43217"/>
    <cellStyle name="Normal 6 4 5 2 2 2 2" xfId="43218"/>
    <cellStyle name="Normal 6 4 5 2 2 2 2 2" xfId="43219"/>
    <cellStyle name="Normal 6 4 5 2 2 2 3" xfId="43220"/>
    <cellStyle name="Normal 6 4 5 2 2 3" xfId="43221"/>
    <cellStyle name="Normal 6 4 5 2 2 3 2" xfId="43222"/>
    <cellStyle name="Normal 6 4 5 2 2 4" xfId="43223"/>
    <cellStyle name="Normal 6 4 5 2 3" xfId="43224"/>
    <cellStyle name="Normal 6 4 5 2 3 2" xfId="43225"/>
    <cellStyle name="Normal 6 4 5 2 3 2 2" xfId="43226"/>
    <cellStyle name="Normal 6 4 5 2 3 3" xfId="43227"/>
    <cellStyle name="Normal 6 4 5 2 4" xfId="43228"/>
    <cellStyle name="Normal 6 4 5 2 4 2" xfId="43229"/>
    <cellStyle name="Normal 6 4 5 2 5" xfId="43230"/>
    <cellStyle name="Normal 6 4 5 3" xfId="3496"/>
    <cellStyle name="Normal 6 4 5 3 2" xfId="43231"/>
    <cellStyle name="Normal 6 4 5 3 2 2" xfId="43232"/>
    <cellStyle name="Normal 6 4 5 3 2 2 2" xfId="43233"/>
    <cellStyle name="Normal 6 4 5 3 2 3" xfId="43234"/>
    <cellStyle name="Normal 6 4 5 3 3" xfId="43235"/>
    <cellStyle name="Normal 6 4 5 3 3 2" xfId="43236"/>
    <cellStyle name="Normal 6 4 5 3 4" xfId="43237"/>
    <cellStyle name="Normal 6 4 5 4" xfId="43238"/>
    <cellStyle name="Normal 6 4 5 4 2" xfId="43239"/>
    <cellStyle name="Normal 6 4 5 4 2 2" xfId="43240"/>
    <cellStyle name="Normal 6 4 5 4 3" xfId="43241"/>
    <cellStyle name="Normal 6 4 5 5" xfId="43242"/>
    <cellStyle name="Normal 6 4 5 5 2" xfId="43243"/>
    <cellStyle name="Normal 6 4 5 6" xfId="43244"/>
    <cellStyle name="Normal 6 4 6" xfId="1456"/>
    <cellStyle name="Normal 6 4 6 2" xfId="4176"/>
    <cellStyle name="Normal 6 4 6 2 2" xfId="43245"/>
    <cellStyle name="Normal 6 4 6 2 2 2" xfId="43246"/>
    <cellStyle name="Normal 6 4 6 2 2 2 2" xfId="43247"/>
    <cellStyle name="Normal 6 4 6 2 2 3" xfId="43248"/>
    <cellStyle name="Normal 6 4 6 2 3" xfId="43249"/>
    <cellStyle name="Normal 6 4 6 2 3 2" xfId="43250"/>
    <cellStyle name="Normal 6 4 6 2 4" xfId="43251"/>
    <cellStyle name="Normal 6 4 6 3" xfId="43252"/>
    <cellStyle name="Normal 6 4 6 3 2" xfId="43253"/>
    <cellStyle name="Normal 6 4 6 3 2 2" xfId="43254"/>
    <cellStyle name="Normal 6 4 6 3 3" xfId="43255"/>
    <cellStyle name="Normal 6 4 6 4" xfId="43256"/>
    <cellStyle name="Normal 6 4 6 4 2" xfId="43257"/>
    <cellStyle name="Normal 6 4 6 5" xfId="43258"/>
    <cellStyle name="Normal 6 4 7" xfId="2816"/>
    <cellStyle name="Normal 6 4 7 2" xfId="43259"/>
    <cellStyle name="Normal 6 4 7 2 2" xfId="43260"/>
    <cellStyle name="Normal 6 4 7 2 2 2" xfId="43261"/>
    <cellStyle name="Normal 6 4 7 2 3" xfId="43262"/>
    <cellStyle name="Normal 6 4 7 3" xfId="43263"/>
    <cellStyle name="Normal 6 4 7 3 2" xfId="43264"/>
    <cellStyle name="Normal 6 4 7 4" xfId="43265"/>
    <cellStyle name="Normal 6 4 8" xfId="43266"/>
    <cellStyle name="Normal 6 4 8 2" xfId="43267"/>
    <cellStyle name="Normal 6 4 8 2 2" xfId="43268"/>
    <cellStyle name="Normal 6 4 8 3" xfId="43269"/>
    <cellStyle name="Normal 6 4 9" xfId="43270"/>
    <cellStyle name="Normal 6 4 9 2" xfId="43271"/>
    <cellStyle name="Normal 6 5" xfId="164"/>
    <cellStyle name="Normal 6 5 2" xfId="436"/>
    <cellStyle name="Normal 6 5 2 2" xfId="1116"/>
    <cellStyle name="Normal 6 5 2 2 2" xfId="2476"/>
    <cellStyle name="Normal 6 5 2 2 2 2" xfId="5196"/>
    <cellStyle name="Normal 6 5 2 2 2 2 2" xfId="43272"/>
    <cellStyle name="Normal 6 5 2 2 2 2 2 2" xfId="43273"/>
    <cellStyle name="Normal 6 5 2 2 2 2 2 2 2" xfId="43274"/>
    <cellStyle name="Normal 6 5 2 2 2 2 2 3" xfId="43275"/>
    <cellStyle name="Normal 6 5 2 2 2 2 3" xfId="43276"/>
    <cellStyle name="Normal 6 5 2 2 2 2 3 2" xfId="43277"/>
    <cellStyle name="Normal 6 5 2 2 2 2 4" xfId="43278"/>
    <cellStyle name="Normal 6 5 2 2 2 3" xfId="43279"/>
    <cellStyle name="Normal 6 5 2 2 2 3 2" xfId="43280"/>
    <cellStyle name="Normal 6 5 2 2 2 3 2 2" xfId="43281"/>
    <cellStyle name="Normal 6 5 2 2 2 3 3" xfId="43282"/>
    <cellStyle name="Normal 6 5 2 2 2 4" xfId="43283"/>
    <cellStyle name="Normal 6 5 2 2 2 4 2" xfId="43284"/>
    <cellStyle name="Normal 6 5 2 2 2 5" xfId="43285"/>
    <cellStyle name="Normal 6 5 2 2 3" xfId="3836"/>
    <cellStyle name="Normal 6 5 2 2 3 2" xfId="43286"/>
    <cellStyle name="Normal 6 5 2 2 3 2 2" xfId="43287"/>
    <cellStyle name="Normal 6 5 2 2 3 2 2 2" xfId="43288"/>
    <cellStyle name="Normal 6 5 2 2 3 2 3" xfId="43289"/>
    <cellStyle name="Normal 6 5 2 2 3 3" xfId="43290"/>
    <cellStyle name="Normal 6 5 2 2 3 3 2" xfId="43291"/>
    <cellStyle name="Normal 6 5 2 2 3 4" xfId="43292"/>
    <cellStyle name="Normal 6 5 2 2 4" xfId="43293"/>
    <cellStyle name="Normal 6 5 2 2 4 2" xfId="43294"/>
    <cellStyle name="Normal 6 5 2 2 4 2 2" xfId="43295"/>
    <cellStyle name="Normal 6 5 2 2 4 3" xfId="43296"/>
    <cellStyle name="Normal 6 5 2 2 5" xfId="43297"/>
    <cellStyle name="Normal 6 5 2 2 5 2" xfId="43298"/>
    <cellStyle name="Normal 6 5 2 2 6" xfId="43299"/>
    <cellStyle name="Normal 6 5 2 3" xfId="1796"/>
    <cellStyle name="Normal 6 5 2 3 2" xfId="4516"/>
    <cellStyle name="Normal 6 5 2 3 2 2" xfId="43300"/>
    <cellStyle name="Normal 6 5 2 3 2 2 2" xfId="43301"/>
    <cellStyle name="Normal 6 5 2 3 2 2 2 2" xfId="43302"/>
    <cellStyle name="Normal 6 5 2 3 2 2 3" xfId="43303"/>
    <cellStyle name="Normal 6 5 2 3 2 3" xfId="43304"/>
    <cellStyle name="Normal 6 5 2 3 2 3 2" xfId="43305"/>
    <cellStyle name="Normal 6 5 2 3 2 4" xfId="43306"/>
    <cellStyle name="Normal 6 5 2 3 3" xfId="43307"/>
    <cellStyle name="Normal 6 5 2 3 3 2" xfId="43308"/>
    <cellStyle name="Normal 6 5 2 3 3 2 2" xfId="43309"/>
    <cellStyle name="Normal 6 5 2 3 3 3" xfId="43310"/>
    <cellStyle name="Normal 6 5 2 3 4" xfId="43311"/>
    <cellStyle name="Normal 6 5 2 3 4 2" xfId="43312"/>
    <cellStyle name="Normal 6 5 2 3 5" xfId="43313"/>
    <cellStyle name="Normal 6 5 2 4" xfId="3156"/>
    <cellStyle name="Normal 6 5 2 4 2" xfId="43314"/>
    <cellStyle name="Normal 6 5 2 4 2 2" xfId="43315"/>
    <cellStyle name="Normal 6 5 2 4 2 2 2" xfId="43316"/>
    <cellStyle name="Normal 6 5 2 4 2 3" xfId="43317"/>
    <cellStyle name="Normal 6 5 2 4 3" xfId="43318"/>
    <cellStyle name="Normal 6 5 2 4 3 2" xfId="43319"/>
    <cellStyle name="Normal 6 5 2 4 4" xfId="43320"/>
    <cellStyle name="Normal 6 5 2 5" xfId="43321"/>
    <cellStyle name="Normal 6 5 2 5 2" xfId="43322"/>
    <cellStyle name="Normal 6 5 2 5 2 2" xfId="43323"/>
    <cellStyle name="Normal 6 5 2 5 3" xfId="43324"/>
    <cellStyle name="Normal 6 5 2 6" xfId="43325"/>
    <cellStyle name="Normal 6 5 2 6 2" xfId="43326"/>
    <cellStyle name="Normal 6 5 2 7" xfId="43327"/>
    <cellStyle name="Normal 6 5 3" xfId="844"/>
    <cellStyle name="Normal 6 5 3 2" xfId="2204"/>
    <cellStyle name="Normal 6 5 3 2 2" xfId="4924"/>
    <cellStyle name="Normal 6 5 3 2 2 2" xfId="43328"/>
    <cellStyle name="Normal 6 5 3 2 2 2 2" xfId="43329"/>
    <cellStyle name="Normal 6 5 3 2 2 2 2 2" xfId="43330"/>
    <cellStyle name="Normal 6 5 3 2 2 2 3" xfId="43331"/>
    <cellStyle name="Normal 6 5 3 2 2 3" xfId="43332"/>
    <cellStyle name="Normal 6 5 3 2 2 3 2" xfId="43333"/>
    <cellStyle name="Normal 6 5 3 2 2 4" xfId="43334"/>
    <cellStyle name="Normal 6 5 3 2 3" xfId="43335"/>
    <cellStyle name="Normal 6 5 3 2 3 2" xfId="43336"/>
    <cellStyle name="Normal 6 5 3 2 3 2 2" xfId="43337"/>
    <cellStyle name="Normal 6 5 3 2 3 3" xfId="43338"/>
    <cellStyle name="Normal 6 5 3 2 4" xfId="43339"/>
    <cellStyle name="Normal 6 5 3 2 4 2" xfId="43340"/>
    <cellStyle name="Normal 6 5 3 2 5" xfId="43341"/>
    <cellStyle name="Normal 6 5 3 3" xfId="3564"/>
    <cellStyle name="Normal 6 5 3 3 2" xfId="43342"/>
    <cellStyle name="Normal 6 5 3 3 2 2" xfId="43343"/>
    <cellStyle name="Normal 6 5 3 3 2 2 2" xfId="43344"/>
    <cellStyle name="Normal 6 5 3 3 2 3" xfId="43345"/>
    <cellStyle name="Normal 6 5 3 3 3" xfId="43346"/>
    <cellStyle name="Normal 6 5 3 3 3 2" xfId="43347"/>
    <cellStyle name="Normal 6 5 3 3 4" xfId="43348"/>
    <cellStyle name="Normal 6 5 3 4" xfId="43349"/>
    <cellStyle name="Normal 6 5 3 4 2" xfId="43350"/>
    <cellStyle name="Normal 6 5 3 4 2 2" xfId="43351"/>
    <cellStyle name="Normal 6 5 3 4 3" xfId="43352"/>
    <cellStyle name="Normal 6 5 3 5" xfId="43353"/>
    <cellStyle name="Normal 6 5 3 5 2" xfId="43354"/>
    <cellStyle name="Normal 6 5 3 6" xfId="43355"/>
    <cellStyle name="Normal 6 5 4" xfId="1524"/>
    <cellStyle name="Normal 6 5 4 2" xfId="4244"/>
    <cellStyle name="Normal 6 5 4 2 2" xfId="43356"/>
    <cellStyle name="Normal 6 5 4 2 2 2" xfId="43357"/>
    <cellStyle name="Normal 6 5 4 2 2 2 2" xfId="43358"/>
    <cellStyle name="Normal 6 5 4 2 2 3" xfId="43359"/>
    <cellStyle name="Normal 6 5 4 2 3" xfId="43360"/>
    <cellStyle name="Normal 6 5 4 2 3 2" xfId="43361"/>
    <cellStyle name="Normal 6 5 4 2 4" xfId="43362"/>
    <cellStyle name="Normal 6 5 4 3" xfId="43363"/>
    <cellStyle name="Normal 6 5 4 3 2" xfId="43364"/>
    <cellStyle name="Normal 6 5 4 3 2 2" xfId="43365"/>
    <cellStyle name="Normal 6 5 4 3 3" xfId="43366"/>
    <cellStyle name="Normal 6 5 4 4" xfId="43367"/>
    <cellStyle name="Normal 6 5 4 4 2" xfId="43368"/>
    <cellStyle name="Normal 6 5 4 5" xfId="43369"/>
    <cellStyle name="Normal 6 5 5" xfId="2884"/>
    <cellStyle name="Normal 6 5 5 2" xfId="43370"/>
    <cellStyle name="Normal 6 5 5 2 2" xfId="43371"/>
    <cellStyle name="Normal 6 5 5 2 2 2" xfId="43372"/>
    <cellStyle name="Normal 6 5 5 2 3" xfId="43373"/>
    <cellStyle name="Normal 6 5 5 3" xfId="43374"/>
    <cellStyle name="Normal 6 5 5 3 2" xfId="43375"/>
    <cellStyle name="Normal 6 5 5 4" xfId="43376"/>
    <cellStyle name="Normal 6 5 6" xfId="43377"/>
    <cellStyle name="Normal 6 5 6 2" xfId="43378"/>
    <cellStyle name="Normal 6 5 6 2 2" xfId="43379"/>
    <cellStyle name="Normal 6 5 6 3" xfId="43380"/>
    <cellStyle name="Normal 6 5 7" xfId="43381"/>
    <cellStyle name="Normal 6 5 7 2" xfId="43382"/>
    <cellStyle name="Normal 6 5 8" xfId="43383"/>
    <cellStyle name="Normal 6 6" xfId="300"/>
    <cellStyle name="Normal 6 6 2" xfId="980"/>
    <cellStyle name="Normal 6 6 2 2" xfId="2340"/>
    <cellStyle name="Normal 6 6 2 2 2" xfId="5060"/>
    <cellStyle name="Normal 6 6 2 2 2 2" xfId="43384"/>
    <cellStyle name="Normal 6 6 2 2 2 2 2" xfId="43385"/>
    <cellStyle name="Normal 6 6 2 2 2 2 2 2" xfId="43386"/>
    <cellStyle name="Normal 6 6 2 2 2 2 3" xfId="43387"/>
    <cellStyle name="Normal 6 6 2 2 2 3" xfId="43388"/>
    <cellStyle name="Normal 6 6 2 2 2 3 2" xfId="43389"/>
    <cellStyle name="Normal 6 6 2 2 2 4" xfId="43390"/>
    <cellStyle name="Normal 6 6 2 2 3" xfId="43391"/>
    <cellStyle name="Normal 6 6 2 2 3 2" xfId="43392"/>
    <cellStyle name="Normal 6 6 2 2 3 2 2" xfId="43393"/>
    <cellStyle name="Normal 6 6 2 2 3 3" xfId="43394"/>
    <cellStyle name="Normal 6 6 2 2 4" xfId="43395"/>
    <cellStyle name="Normal 6 6 2 2 4 2" xfId="43396"/>
    <cellStyle name="Normal 6 6 2 2 5" xfId="43397"/>
    <cellStyle name="Normal 6 6 2 3" xfId="3700"/>
    <cellStyle name="Normal 6 6 2 3 2" xfId="43398"/>
    <cellStyle name="Normal 6 6 2 3 2 2" xfId="43399"/>
    <cellStyle name="Normal 6 6 2 3 2 2 2" xfId="43400"/>
    <cellStyle name="Normal 6 6 2 3 2 3" xfId="43401"/>
    <cellStyle name="Normal 6 6 2 3 3" xfId="43402"/>
    <cellStyle name="Normal 6 6 2 3 3 2" xfId="43403"/>
    <cellStyle name="Normal 6 6 2 3 4" xfId="43404"/>
    <cellStyle name="Normal 6 6 2 4" xfId="43405"/>
    <cellStyle name="Normal 6 6 2 4 2" xfId="43406"/>
    <cellStyle name="Normal 6 6 2 4 2 2" xfId="43407"/>
    <cellStyle name="Normal 6 6 2 4 3" xfId="43408"/>
    <cellStyle name="Normal 6 6 2 5" xfId="43409"/>
    <cellStyle name="Normal 6 6 2 5 2" xfId="43410"/>
    <cellStyle name="Normal 6 6 2 6" xfId="43411"/>
    <cellStyle name="Normal 6 6 3" xfId="1660"/>
    <cellStyle name="Normal 6 6 3 2" xfId="4380"/>
    <cellStyle name="Normal 6 6 3 2 2" xfId="43412"/>
    <cellStyle name="Normal 6 6 3 2 2 2" xfId="43413"/>
    <cellStyle name="Normal 6 6 3 2 2 2 2" xfId="43414"/>
    <cellStyle name="Normal 6 6 3 2 2 3" xfId="43415"/>
    <cellStyle name="Normal 6 6 3 2 3" xfId="43416"/>
    <cellStyle name="Normal 6 6 3 2 3 2" xfId="43417"/>
    <cellStyle name="Normal 6 6 3 2 4" xfId="43418"/>
    <cellStyle name="Normal 6 6 3 3" xfId="43419"/>
    <cellStyle name="Normal 6 6 3 3 2" xfId="43420"/>
    <cellStyle name="Normal 6 6 3 3 2 2" xfId="43421"/>
    <cellStyle name="Normal 6 6 3 3 3" xfId="43422"/>
    <cellStyle name="Normal 6 6 3 4" xfId="43423"/>
    <cellStyle name="Normal 6 6 3 4 2" xfId="43424"/>
    <cellStyle name="Normal 6 6 3 5" xfId="43425"/>
    <cellStyle name="Normal 6 6 4" xfId="3020"/>
    <cellStyle name="Normal 6 6 4 2" xfId="43426"/>
    <cellStyle name="Normal 6 6 4 2 2" xfId="43427"/>
    <cellStyle name="Normal 6 6 4 2 2 2" xfId="43428"/>
    <cellStyle name="Normal 6 6 4 2 3" xfId="43429"/>
    <cellStyle name="Normal 6 6 4 3" xfId="43430"/>
    <cellStyle name="Normal 6 6 4 3 2" xfId="43431"/>
    <cellStyle name="Normal 6 6 4 4" xfId="43432"/>
    <cellStyle name="Normal 6 6 5" xfId="43433"/>
    <cellStyle name="Normal 6 6 5 2" xfId="43434"/>
    <cellStyle name="Normal 6 6 5 2 2" xfId="43435"/>
    <cellStyle name="Normal 6 6 5 3" xfId="43436"/>
    <cellStyle name="Normal 6 6 6" xfId="43437"/>
    <cellStyle name="Normal 6 6 6 2" xfId="43438"/>
    <cellStyle name="Normal 6 6 7" xfId="43439"/>
    <cellStyle name="Normal 6 7" xfId="572"/>
    <cellStyle name="Normal 6 7 2" xfId="1252"/>
    <cellStyle name="Normal 6 7 2 2" xfId="2612"/>
    <cellStyle name="Normal 6 7 2 2 2" xfId="5332"/>
    <cellStyle name="Normal 6 7 2 2 2 2" xfId="43440"/>
    <cellStyle name="Normal 6 7 2 2 2 2 2" xfId="43441"/>
    <cellStyle name="Normal 6 7 2 2 2 2 2 2" xfId="43442"/>
    <cellStyle name="Normal 6 7 2 2 2 2 3" xfId="43443"/>
    <cellStyle name="Normal 6 7 2 2 2 3" xfId="43444"/>
    <cellStyle name="Normal 6 7 2 2 2 3 2" xfId="43445"/>
    <cellStyle name="Normal 6 7 2 2 2 4" xfId="43446"/>
    <cellStyle name="Normal 6 7 2 2 3" xfId="43447"/>
    <cellStyle name="Normal 6 7 2 2 3 2" xfId="43448"/>
    <cellStyle name="Normal 6 7 2 2 3 2 2" xfId="43449"/>
    <cellStyle name="Normal 6 7 2 2 3 3" xfId="43450"/>
    <cellStyle name="Normal 6 7 2 2 4" xfId="43451"/>
    <cellStyle name="Normal 6 7 2 2 4 2" xfId="43452"/>
    <cellStyle name="Normal 6 7 2 2 5" xfId="43453"/>
    <cellStyle name="Normal 6 7 2 3" xfId="3972"/>
    <cellStyle name="Normal 6 7 2 3 2" xfId="43454"/>
    <cellStyle name="Normal 6 7 2 3 2 2" xfId="43455"/>
    <cellStyle name="Normal 6 7 2 3 2 2 2" xfId="43456"/>
    <cellStyle name="Normal 6 7 2 3 2 3" xfId="43457"/>
    <cellStyle name="Normal 6 7 2 3 3" xfId="43458"/>
    <cellStyle name="Normal 6 7 2 3 3 2" xfId="43459"/>
    <cellStyle name="Normal 6 7 2 3 4" xfId="43460"/>
    <cellStyle name="Normal 6 7 2 4" xfId="43461"/>
    <cellStyle name="Normal 6 7 2 4 2" xfId="43462"/>
    <cellStyle name="Normal 6 7 2 4 2 2" xfId="43463"/>
    <cellStyle name="Normal 6 7 2 4 3" xfId="43464"/>
    <cellStyle name="Normal 6 7 2 5" xfId="43465"/>
    <cellStyle name="Normal 6 7 2 5 2" xfId="43466"/>
    <cellStyle name="Normal 6 7 2 6" xfId="43467"/>
    <cellStyle name="Normal 6 7 3" xfId="1932"/>
    <cellStyle name="Normal 6 7 3 2" xfId="4652"/>
    <cellStyle name="Normal 6 7 3 2 2" xfId="43468"/>
    <cellStyle name="Normal 6 7 3 2 2 2" xfId="43469"/>
    <cellStyle name="Normal 6 7 3 2 2 2 2" xfId="43470"/>
    <cellStyle name="Normal 6 7 3 2 2 3" xfId="43471"/>
    <cellStyle name="Normal 6 7 3 2 3" xfId="43472"/>
    <cellStyle name="Normal 6 7 3 2 3 2" xfId="43473"/>
    <cellStyle name="Normal 6 7 3 2 4" xfId="43474"/>
    <cellStyle name="Normal 6 7 3 3" xfId="43475"/>
    <cellStyle name="Normal 6 7 3 3 2" xfId="43476"/>
    <cellStyle name="Normal 6 7 3 3 2 2" xfId="43477"/>
    <cellStyle name="Normal 6 7 3 3 3" xfId="43478"/>
    <cellStyle name="Normal 6 7 3 4" xfId="43479"/>
    <cellStyle name="Normal 6 7 3 4 2" xfId="43480"/>
    <cellStyle name="Normal 6 7 3 5" xfId="43481"/>
    <cellStyle name="Normal 6 7 4" xfId="3292"/>
    <cellStyle name="Normal 6 7 4 2" xfId="43482"/>
    <cellStyle name="Normal 6 7 4 2 2" xfId="43483"/>
    <cellStyle name="Normal 6 7 4 2 2 2" xfId="43484"/>
    <cellStyle name="Normal 6 7 4 2 3" xfId="43485"/>
    <cellStyle name="Normal 6 7 4 3" xfId="43486"/>
    <cellStyle name="Normal 6 7 4 3 2" xfId="43487"/>
    <cellStyle name="Normal 6 7 4 4" xfId="43488"/>
    <cellStyle name="Normal 6 7 5" xfId="43489"/>
    <cellStyle name="Normal 6 7 5 2" xfId="43490"/>
    <cellStyle name="Normal 6 7 5 2 2" xfId="43491"/>
    <cellStyle name="Normal 6 7 5 3" xfId="43492"/>
    <cellStyle name="Normal 6 7 6" xfId="43493"/>
    <cellStyle name="Normal 6 7 6 2" xfId="43494"/>
    <cellStyle name="Normal 6 7 7" xfId="43495"/>
    <cellStyle name="Normal 6 8" xfId="708"/>
    <cellStyle name="Normal 6 8 2" xfId="2068"/>
    <cellStyle name="Normal 6 8 2 2" xfId="4788"/>
    <cellStyle name="Normal 6 8 2 2 2" xfId="43496"/>
    <cellStyle name="Normal 6 8 2 2 2 2" xfId="43497"/>
    <cellStyle name="Normal 6 8 2 2 2 2 2" xfId="43498"/>
    <cellStyle name="Normal 6 8 2 2 2 3" xfId="43499"/>
    <cellStyle name="Normal 6 8 2 2 3" xfId="43500"/>
    <cellStyle name="Normal 6 8 2 2 3 2" xfId="43501"/>
    <cellStyle name="Normal 6 8 2 2 4" xfId="43502"/>
    <cellStyle name="Normal 6 8 2 3" xfId="43503"/>
    <cellStyle name="Normal 6 8 2 3 2" xfId="43504"/>
    <cellStyle name="Normal 6 8 2 3 2 2" xfId="43505"/>
    <cellStyle name="Normal 6 8 2 3 3" xfId="43506"/>
    <cellStyle name="Normal 6 8 2 4" xfId="43507"/>
    <cellStyle name="Normal 6 8 2 4 2" xfId="43508"/>
    <cellStyle name="Normal 6 8 2 5" xfId="43509"/>
    <cellStyle name="Normal 6 8 3" xfId="3428"/>
    <cellStyle name="Normal 6 8 3 2" xfId="43510"/>
    <cellStyle name="Normal 6 8 3 2 2" xfId="43511"/>
    <cellStyle name="Normal 6 8 3 2 2 2" xfId="43512"/>
    <cellStyle name="Normal 6 8 3 2 3" xfId="43513"/>
    <cellStyle name="Normal 6 8 3 3" xfId="43514"/>
    <cellStyle name="Normal 6 8 3 3 2" xfId="43515"/>
    <cellStyle name="Normal 6 8 3 4" xfId="43516"/>
    <cellStyle name="Normal 6 8 4" xfId="43517"/>
    <cellStyle name="Normal 6 8 4 2" xfId="43518"/>
    <cellStyle name="Normal 6 8 4 2 2" xfId="43519"/>
    <cellStyle name="Normal 6 8 4 3" xfId="43520"/>
    <cellStyle name="Normal 6 8 5" xfId="43521"/>
    <cellStyle name="Normal 6 8 5 2" xfId="43522"/>
    <cellStyle name="Normal 6 8 6" xfId="43523"/>
    <cellStyle name="Normal 6 9" xfId="1388"/>
    <cellStyle name="Normal 6 9 2" xfId="4108"/>
    <cellStyle name="Normal 6 9 2 2" xfId="43524"/>
    <cellStyle name="Normal 6 9 2 2 2" xfId="43525"/>
    <cellStyle name="Normal 6 9 2 2 2 2" xfId="43526"/>
    <cellStyle name="Normal 6 9 2 2 3" xfId="43527"/>
    <cellStyle name="Normal 6 9 2 3" xfId="43528"/>
    <cellStyle name="Normal 6 9 2 3 2" xfId="43529"/>
    <cellStyle name="Normal 6 9 2 4" xfId="43530"/>
    <cellStyle name="Normal 6 9 3" xfId="43531"/>
    <cellStyle name="Normal 6 9 3 2" xfId="43532"/>
    <cellStyle name="Normal 6 9 3 2 2" xfId="43533"/>
    <cellStyle name="Normal 6 9 3 3" xfId="43534"/>
    <cellStyle name="Normal 6 9 4" xfId="43535"/>
    <cellStyle name="Normal 6 9 4 2" xfId="43536"/>
    <cellStyle name="Normal 6 9 5" xfId="43537"/>
    <cellStyle name="Normal 7" xfId="31"/>
    <cellStyle name="Normal 8" xfId="32"/>
    <cellStyle name="Normal 9" xfId="50"/>
    <cellStyle name="Percent" xfId="43541" builtinId="5"/>
    <cellStyle name="Percent 2" xfId="11"/>
    <cellStyle name="Percent 2 2" xfId="23"/>
    <cellStyle name="Percent 2 3" xfId="17"/>
    <cellStyle name="Percent 3" xfId="12"/>
    <cellStyle name="Percent 3 2" xfId="13"/>
  </cellStyles>
  <dxfs count="66">
    <dxf>
      <numFmt numFmtId="13" formatCode="0%"/>
    </dxf>
    <dxf>
      <numFmt numFmtId="14" formatCode="0.00%"/>
    </dxf>
    <dxf>
      <alignment horizontal="center" readingOrder="0"/>
    </dxf>
    <dxf>
      <alignment horizontal="center" readingOrder="0"/>
    </dxf>
    <dxf>
      <numFmt numFmtId="13" formatCode="0%"/>
    </dxf>
    <dxf>
      <numFmt numFmtId="13" formatCode="0%"/>
    </dxf>
    <dxf>
      <numFmt numFmtId="13" formatCode="0%"/>
    </dxf>
    <dxf>
      <alignment horizontal="center" readingOrder="0"/>
    </dxf>
    <dxf>
      <fill>
        <patternFill>
          <bgColor rgb="FFFF0000"/>
        </patternFill>
      </fill>
    </dxf>
    <dxf>
      <fill>
        <patternFill>
          <bgColor rgb="FFFF0000"/>
        </patternFill>
      </fill>
    </dxf>
    <dxf>
      <fill>
        <patternFill>
          <bgColor rgb="FF91D050"/>
        </patternFill>
      </fill>
    </dxf>
    <dxf>
      <fill>
        <patternFill>
          <bgColor rgb="FF91D050"/>
        </patternFill>
      </fill>
    </dxf>
    <dxf>
      <fill>
        <patternFill>
          <bgColor rgb="FF99CCFF"/>
        </patternFill>
      </fill>
    </dxf>
    <dxf>
      <fill>
        <patternFill>
          <bgColor rgb="FF99CCFF"/>
        </patternFill>
      </fill>
    </dxf>
    <dxf>
      <fill>
        <patternFill>
          <bgColor rgb="FF99CCFF"/>
        </patternFill>
      </fill>
    </dxf>
    <dxf>
      <fill>
        <patternFill>
          <bgColor rgb="FF99CCFF"/>
        </patternFill>
      </fill>
    </dxf>
    <dxf>
      <font>
        <strike val="0"/>
        <outline val="0"/>
        <shadow val="0"/>
        <u val="none"/>
        <vertAlign val="baseline"/>
        <sz val="11"/>
        <color auto="1"/>
        <name val="Calibri"/>
        <scheme val="minor"/>
      </font>
      <numFmt numFmtId="0" formatCode="General"/>
    </dxf>
    <dxf>
      <font>
        <b val="0"/>
        <i val="0"/>
        <strike val="0"/>
        <condense val="0"/>
        <extend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alignment horizontal="center" readingOrder="0"/>
    </dxf>
    <dxf>
      <numFmt numFmtId="13" formatCode="0%"/>
    </dxf>
    <dxf>
      <numFmt numFmtId="13" formatCode="0%"/>
    </dxf>
    <dxf>
      <numFmt numFmtId="13" formatCode="0%"/>
    </dxf>
    <dxf>
      <alignment horizontal="center" readingOrder="0"/>
    </dxf>
    <dxf>
      <alignment horizontal="center" readingOrder="0"/>
    </dxf>
    <dxf>
      <numFmt numFmtId="14" formatCode="0.00%"/>
    </dxf>
    <dxf>
      <numFmt numFmtId="13" formatCode="0%"/>
    </dxf>
    <dxf>
      <numFmt numFmtId="0" formatCode="General"/>
    </dxf>
    <dxf>
      <numFmt numFmtId="1" formatCode="0"/>
    </dxf>
    <dxf>
      <numFmt numFmtId="0" formatCode="General"/>
    </dxf>
    <dxf>
      <numFmt numFmtId="0" formatCode="General"/>
    </dxf>
    <dxf>
      <alignment horizontal="left" vertical="center" textRotation="0" wrapText="1" indent="0" justifyLastLine="0" shrinkToFit="0" readingOrder="0"/>
    </dxf>
    <dxf>
      <fill>
        <patternFill>
          <bgColor rgb="FF91D050"/>
        </patternFill>
      </fill>
    </dxf>
    <dxf>
      <fill>
        <patternFill>
          <bgColor rgb="FFFF0000"/>
        </patternFill>
      </fill>
    </dxf>
    <dxf>
      <fill>
        <patternFill>
          <bgColor rgb="FF91D050"/>
        </patternFill>
      </fill>
    </dxf>
    <dxf>
      <fill>
        <patternFill>
          <bgColor rgb="FF99CCFF"/>
        </patternFill>
      </fill>
    </dxf>
    <dxf>
      <fill>
        <patternFill>
          <bgColor rgb="FF99CCFF"/>
        </patternFill>
      </fill>
    </dxf>
    <dxf>
      <fill>
        <patternFill>
          <bgColor rgb="FFFF0000"/>
        </patternFill>
      </fill>
    </dxf>
    <dxf>
      <fill>
        <patternFill>
          <bgColor rgb="FF91D050"/>
        </patternFill>
      </fill>
    </dxf>
    <dxf>
      <fill>
        <patternFill>
          <bgColor rgb="FF99CCFF"/>
        </patternFill>
      </fill>
    </dxf>
    <dxf>
      <fill>
        <patternFill>
          <bgColor rgb="FF99CCFF"/>
        </patternFill>
      </fill>
    </dxf>
    <dxf>
      <fill>
        <patternFill>
          <bgColor rgb="FF91D050"/>
        </patternFill>
      </fill>
    </dxf>
    <dxf>
      <fill>
        <patternFill>
          <bgColor rgb="FF91D050"/>
        </patternFill>
      </fill>
    </dxf>
    <dxf>
      <fill>
        <patternFill>
          <bgColor rgb="FF91D050"/>
        </patternFill>
      </fill>
    </dxf>
    <dxf>
      <fill>
        <patternFill>
          <bgColor rgb="FFFF0000"/>
        </patternFill>
      </fill>
    </dxf>
    <dxf>
      <fill>
        <patternFill>
          <bgColor rgb="FF91D050"/>
        </patternFill>
      </fill>
    </dxf>
    <dxf>
      <fill>
        <patternFill>
          <bgColor rgb="FF99CCFF"/>
        </patternFill>
      </fill>
    </dxf>
    <dxf>
      <fill>
        <patternFill>
          <bgColor rgb="FF99CCFF"/>
        </patternFill>
      </fill>
    </dxf>
    <dxf>
      <fill>
        <patternFill>
          <bgColor rgb="FFFF0000"/>
        </patternFill>
      </fill>
    </dxf>
    <dxf>
      <fill>
        <patternFill>
          <bgColor rgb="FF91D050"/>
        </patternFill>
      </fill>
    </dxf>
    <dxf>
      <fill>
        <patternFill>
          <bgColor rgb="FF99CCFF"/>
        </patternFill>
      </fill>
    </dxf>
    <dxf>
      <fill>
        <patternFill>
          <bgColor rgb="FF99CCFF"/>
        </patternFill>
      </fill>
    </dxf>
    <dxf>
      <fill>
        <patternFill>
          <bgColor rgb="FFFF0000"/>
        </patternFill>
      </fill>
    </dxf>
    <dxf>
      <fill>
        <patternFill>
          <bgColor rgb="FF91D050"/>
        </patternFill>
      </fill>
    </dxf>
    <dxf>
      <fill>
        <patternFill>
          <bgColor rgb="FF99CCFF"/>
        </patternFill>
      </fill>
    </dxf>
    <dxf>
      <fill>
        <patternFill>
          <bgColor rgb="FF99CCFF"/>
        </patternFill>
      </fill>
    </dxf>
    <dxf>
      <fill>
        <patternFill>
          <bgColor rgb="FFFF0000"/>
        </patternFill>
      </fill>
    </dxf>
    <dxf>
      <fill>
        <patternFill>
          <bgColor rgb="FF91D050"/>
        </patternFill>
      </fill>
    </dxf>
    <dxf>
      <fill>
        <patternFill>
          <bgColor rgb="FF99CCFF"/>
        </patternFill>
      </fill>
    </dxf>
    <dxf>
      <fill>
        <patternFill>
          <bgColor rgb="FF99CCFF"/>
        </patternFill>
      </fill>
    </dxf>
    <dxf>
      <fill>
        <patternFill>
          <bgColor rgb="FFFF0000"/>
        </patternFill>
      </fill>
    </dxf>
    <dxf>
      <fill>
        <patternFill>
          <bgColor rgb="FF91D050"/>
        </patternFill>
      </fill>
    </dxf>
    <dxf>
      <fill>
        <patternFill>
          <bgColor rgb="FF99CCFF"/>
        </patternFill>
      </fill>
    </dxf>
    <dxf>
      <fill>
        <patternFill>
          <bgColor rgb="FF99CCFF"/>
        </patternFill>
      </fill>
    </dxf>
  </dxfs>
  <tableStyles count="0" defaultTableStyle="TableStyleMedium9" defaultPivotStyle="PivotStyleLight16"/>
  <colors>
    <mruColors>
      <color rgb="FF99CCFF"/>
      <color rgb="FF91D05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ic, Felipe" refreshedDate="41438.471328240739" createdVersion="5" refreshedVersion="5" minRefreshableVersion="3" recordCount="630">
  <cacheSource type="worksheet">
    <worksheetSource ref="A2:R1014" sheet="SCAP_Test_Matrix"/>
  </cacheSource>
  <cacheFields count="18">
    <cacheField name="Sl No" numFmtId="0">
      <sharedItems containsNonDate="0" containsString="0" containsBlank="1"/>
    </cacheField>
    <cacheField name="Bulletin" numFmtId="0">
      <sharedItems containsNonDate="0" containsBlank="1" count="37">
        <m/>
        <s v="MS13-051 " u="1"/>
        <s v="APSB13-06" u="1"/>
        <s v="MS13-020  " u="1"/>
        <s v="MS13-035 " u="1"/>
        <s v="MS13-009" u="1"/>
        <s v="MS13-040" u="1"/>
        <s v="APSB13-15" u="1"/>
        <s v="MS13-045 " u="1"/>
        <s v="MS13-014" u="1"/>
        <s v="MS13-019" u="1"/>
        <s v="MS13-050" u="1"/>
        <s v="MS13-039 " u="1"/>
        <s v="MS13-044" u="1"/>
        <s v="APSB13-05" u="1"/>
        <s v="MS13-013" u="1"/>
        <s v="MS13-049 " u="1"/>
        <s v="MS13-018" u="1"/>
        <s v="APSB13-14" u="1"/>
        <s v="MS13-038" u="1"/>
        <s v="MS13-043" u="1"/>
        <s v="MS13-048 " u="1"/>
        <s v="MS13-017" u="1"/>
        <s v="MS13-012 " u="1"/>
        <s v="APSB13-04" u="1"/>
        <s v="MS13-037" u="1"/>
        <s v="MS13-042" u="1"/>
        <s v="MS13-011" u="1"/>
        <s v="MS13-047 " u="1"/>
        <s v="MS13-016" u="1"/>
        <s v="MS13-0?? " u="1"/>
        <s v="MS13-XXX " u="1"/>
        <s v="APSB13-16" u="1"/>
        <s v="MS13-041" u="1"/>
        <s v="MS13-046" u="1"/>
        <s v="MS13-010" u="1"/>
        <s v="MS13-015" u="1"/>
      </sharedItems>
    </cacheField>
    <cacheField name="CVE ID" numFmtId="0">
      <sharedItems containsNonDate="0" containsString="0" containsBlank="1"/>
    </cacheField>
    <cacheField name="Description" numFmtId="0">
      <sharedItems containsNonDate="0" containsString="0" containsBlank="1"/>
    </cacheField>
    <cacheField name="KB Article" numFmtId="0">
      <sharedItems containsNonDate="0" containsString="0" containsBlank="1"/>
    </cacheField>
    <cacheField name="KB Article2" numFmtId="0">
      <sharedItems containsNonDate="0" containsString="0" containsBlank="1"/>
    </cacheField>
    <cacheField name="MS Risk Rating" numFmtId="0">
      <sharedItems containsNonDate="0" containsString="0" containsBlank="1"/>
    </cacheField>
    <cacheField name="Platforms" numFmtId="0">
      <sharedItems containsNonDate="0" containsString="0" containsBlank="1"/>
    </cacheField>
    <cacheField name="Components" numFmtId="0">
      <sharedItems containsNonDate="0" containsString="0" containsBlank="1"/>
    </cacheField>
    <cacheField name="QA status" numFmtId="0">
      <sharedItems containsNonDate="0" containsBlank="1" count="5">
        <m/>
        <s v="NOK" u="1"/>
        <s v="OK" u="1"/>
        <s v="In progress" u="1"/>
        <s v="Not applicable" u="1"/>
      </sharedItems>
    </cacheField>
    <cacheField name="Pass" numFmtId="0">
      <sharedItems containsNonDate="0" containsString="0" containsBlank="1"/>
    </cacheField>
    <cacheField name="Fail" numFmtId="0">
      <sharedItems containsNonDate="0" containsString="0" containsBlank="1"/>
    </cacheField>
    <cacheField name="NA" numFmtId="0">
      <sharedItems containsNonDate="0" containsString="0" containsBlank="1"/>
    </cacheField>
    <cacheField name="Supported on SCAP" numFmtId="0">
      <sharedItems containsNonDate="0" containsBlank="1" count="3">
        <m/>
        <s v="No" u="1"/>
        <s v="Yes" u="1"/>
      </sharedItems>
    </cacheField>
    <cacheField name="Setup Avaialable" numFmtId="0">
      <sharedItems containsNonDate="0" containsString="0" containsBlank="1"/>
    </cacheField>
    <cacheField name="QA Owner" numFmtId="0">
      <sharedItems containsNonDate="0" containsString="0" containsBlank="1"/>
    </cacheField>
    <cacheField name="Bugs" numFmtId="0">
      <sharedItems containsNonDate="0" containsString="0" containsBlank="1"/>
    </cacheField>
    <cacheField name="Bulletins Replaced by this Upd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30">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r>
    <m/>
    <x v="0"/>
    <m/>
    <m/>
    <m/>
    <m/>
    <m/>
    <m/>
    <m/>
    <x v="0"/>
    <m/>
    <m/>
    <m/>
    <x 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rowGrandTotals="0" colGrandTotals="0" itemPrintTitles="1" createdVersion="4" indent="0" outline="1" outlineData="1" multipleFieldFilters="0" rowHeaderCaption="Bulletin">
  <location ref="A27:B28" firstHeaderRow="1" firstDataRow="1" firstDataCol="1" rowPageCount="1" colPageCount="1"/>
  <pivotFields count="18">
    <pivotField showAll="0"/>
    <pivotField axis="axisRow" showAll="0" sortType="ascending">
      <items count="38">
        <item m="1" x="24"/>
        <item m="1" x="14"/>
        <item m="1" x="2"/>
        <item m="1" x="18"/>
        <item m="1" x="7"/>
        <item m="1" x="32"/>
        <item m="1" x="30"/>
        <item m="1" x="5"/>
        <item m="1" x="35"/>
        <item m="1" x="27"/>
        <item m="1" x="23"/>
        <item m="1" x="15"/>
        <item m="1" x="9"/>
        <item m="1" x="36"/>
        <item m="1" x="29"/>
        <item m="1" x="22"/>
        <item m="1" x="17"/>
        <item m="1" x="10"/>
        <item m="1" x="3"/>
        <item m="1" x="4"/>
        <item m="1" x="25"/>
        <item m="1" x="19"/>
        <item m="1" x="12"/>
        <item m="1" x="6"/>
        <item m="1" x="33"/>
        <item m="1" x="26"/>
        <item m="1" x="20"/>
        <item m="1" x="13"/>
        <item m="1" x="8"/>
        <item m="1" x="34"/>
        <item m="1" x="28"/>
        <item m="1" x="21"/>
        <item m="1" x="16"/>
        <item m="1" x="11"/>
        <item m="1" x="1"/>
        <item m="1" x="31"/>
        <item x="0"/>
        <item t="default"/>
      </items>
    </pivotField>
    <pivotField showAll="0"/>
    <pivotField showAll="0"/>
    <pivotField showAll="0"/>
    <pivotField showAll="0"/>
    <pivotField showAll="0"/>
    <pivotField showAll="0"/>
    <pivotField showAll="0"/>
    <pivotField multipleItemSelectionAllowed="1" showAll="0" countASubtotal="1"/>
    <pivotField showAll="0"/>
    <pivotField showAll="0"/>
    <pivotField showAll="0"/>
    <pivotField axis="axisPage" multipleItemSelectionAllowed="1" showAll="0">
      <items count="4">
        <item x="0"/>
        <item m="1" x="2"/>
        <item m="1" x="1"/>
        <item t="default"/>
      </items>
    </pivotField>
    <pivotField showAll="0"/>
    <pivotField showAll="0"/>
    <pivotField dataField="1" showAll="0" defaultSubtotal="0"/>
    <pivotField showAll="0" defaultSubtotal="0"/>
  </pivotFields>
  <rowFields count="1">
    <field x="1"/>
  </rowFields>
  <rowItems count="1">
    <i>
      <x v="36"/>
    </i>
  </rowItems>
  <colItems count="1">
    <i/>
  </colItems>
  <pageFields count="1">
    <pageField fld="13" hier="-1"/>
  </pageFields>
  <dataFields count="1">
    <dataField name="Bugs ID" fld="16" subtotal="average" baseField="1" baseItem="0"/>
  </dataFields>
  <formats count="2">
    <format dxfId="22">
      <pivotArea outline="0" collapsedLevelsAreSubtotals="1" fieldPosition="0"/>
    </format>
    <format dxfId="21">
      <pivotArea outline="0" collapsedLevelsAreSubtotals="1" fieldPosition="0"/>
    </format>
  </formats>
  <pivotTableStyleInfo name="PivotStyleMedium9" showRowHeaders="1" showColHeaders="1" showRowStripes="0" showColStripes="0" showLastColumn="1"/>
</pivotTableDefinition>
</file>

<file path=xl/pivotTables/pivotTable2.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colGrandTotals="0" itemPrintTitles="1" createdVersion="4" indent="0" outline="1" outlineData="1" multipleFieldFilters="0" rowHeaderCaption="Bulletin" colHeaderCaption="QA Progress">
  <location ref="A4:B6" firstHeaderRow="1" firstDataRow="2" firstDataCol="1"/>
  <pivotFields count="18">
    <pivotField showAll="0"/>
    <pivotField axis="axisRow" dataField="1" showAll="0" sortType="ascending">
      <items count="38">
        <item m="1" x="24"/>
        <item m="1" x="14"/>
        <item m="1" x="2"/>
        <item m="1" x="18"/>
        <item m="1" x="7"/>
        <item m="1" x="32"/>
        <item m="1" x="30"/>
        <item m="1" x="5"/>
        <item m="1" x="35"/>
        <item m="1" x="27"/>
        <item m="1" x="23"/>
        <item m="1" x="15"/>
        <item m="1" x="9"/>
        <item m="1" x="36"/>
        <item m="1" x="29"/>
        <item m="1" x="22"/>
        <item m="1" x="17"/>
        <item m="1" x="10"/>
        <item m="1" x="3"/>
        <item m="1" x="4"/>
        <item m="1" x="25"/>
        <item m="1" x="19"/>
        <item m="1" x="12"/>
        <item m="1" x="6"/>
        <item m="1" x="33"/>
        <item m="1" x="26"/>
        <item m="1" x="20"/>
        <item m="1" x="13"/>
        <item m="1" x="8"/>
        <item m="1" x="34"/>
        <item m="1" x="28"/>
        <item m="1" x="21"/>
        <item m="1" x="16"/>
        <item m="1" x="11"/>
        <item m="1" x="1"/>
        <item m="1" x="31"/>
        <item x="0"/>
        <item t="default"/>
      </items>
    </pivotField>
    <pivotField showAll="0"/>
    <pivotField showAll="0"/>
    <pivotField showAll="0"/>
    <pivotField showAll="0"/>
    <pivotField showAll="0"/>
    <pivotField showAll="0"/>
    <pivotField showAll="0"/>
    <pivotField axis="axisCol" multipleItemSelectionAllowed="1" showAll="0" countASubtotal="1">
      <items count="6">
        <item h="1" x="0"/>
        <item h="1" m="1" x="4"/>
        <item m="1" x="2"/>
        <item m="1" x="1"/>
        <item m="1" x="3"/>
        <item t="countA"/>
      </items>
    </pivotField>
    <pivotField showAll="0"/>
    <pivotField showAll="0"/>
    <pivotField showAll="0"/>
    <pivotField multipleItemSelectionAllowed="1" showAll="0"/>
    <pivotField showAll="0"/>
    <pivotField showAll="0"/>
    <pivotField showAll="0" defaultSubtotal="0"/>
    <pivotField showAll="0" defaultSubtotal="0"/>
  </pivotFields>
  <rowFields count="1">
    <field x="1"/>
  </rowFields>
  <rowItems count="1">
    <i t="grand">
      <x/>
    </i>
  </rowItems>
  <colFields count="1">
    <field x="9"/>
  </colFields>
  <dataFields count="1">
    <dataField name="Count of Bulletin" fld="1" subtotal="count" showDataAs="percentOfRow" baseField="1" baseItem="0" numFmtId="9"/>
  </dataFields>
  <formats count="6">
    <format dxfId="28">
      <pivotArea outline="0" collapsedLevelsAreSubtotals="1" fieldPosition="0"/>
    </format>
    <format dxfId="27">
      <pivotArea outline="0" fieldPosition="0">
        <references count="1">
          <reference field="4294967294" count="1">
            <x v="0"/>
          </reference>
        </references>
      </pivotArea>
    </format>
    <format dxfId="26">
      <pivotArea outline="0" collapsedLevelsAreSubtotals="1" fieldPosition="0"/>
    </format>
    <format dxfId="25">
      <pivotArea dataOnly="0" labelOnly="1" fieldPosition="0">
        <references count="1">
          <reference field="9" count="0"/>
        </references>
      </pivotArea>
    </format>
    <format dxfId="24">
      <pivotArea grandRow="1" outline="0" collapsedLevelsAreSubtotals="1" fieldPosition="0"/>
    </format>
    <format dxfId="23">
      <pivotArea outline="0" collapsedLevelsAreSubtotals="1" fieldPosition="0"/>
    </format>
  </formats>
  <pivotTableStyleInfo name="PivotStyleMedium9" showRowHeaders="1" showColHeaders="1" showRowStripes="0" showColStripes="0" showLastColumn="1"/>
</pivotTableDefinition>
</file>

<file path=xl/tables/table1.xml><?xml version="1.0" encoding="utf-8"?>
<table xmlns="http://schemas.openxmlformats.org/spreadsheetml/2006/main" id="1" name="Table1" displayName="Table1" ref="A1:E8" totalsRowShown="0" headerRowDxfId="33">
  <autoFilter ref="A1:E8"/>
  <tableColumns count="5">
    <tableColumn id="1" name="QA"/>
    <tableColumn id="2" name="# targets with component_x000a_Weight = 1.5" dataDxfId="32">
      <calculatedColumnFormula array="1">SUM(IF(Table1[[#This Row],[QA]]=SCAP_Test_Matrix!P$1:P$8357,1,0)*IF(SCAP_Test_Matrix!N$1:N$8357="Yes",1,0)*IF(TRIM(SCAP_Test_Matrix!I$1:I$8357)&lt;&gt;"",1,0))</calculatedColumnFormula>
    </tableColumn>
    <tableColumn id="4" name="# targets without component_x000a_Weight = 1" dataDxfId="31">
      <calculatedColumnFormula array="1">SUM(IF(Table1[[#This Row],[QA]]=SCAP_Test_Matrix!P$1:P$8357,1,0)*IF(SCAP_Test_Matrix!N$1:N$8357="Yes",1,0)*IF(TRIM(SCAP_Test_Matrix!I$1:I$8357)="",1,0))</calculatedColumnFormula>
    </tableColumn>
    <tableColumn id="5" name="Total_x000a_(Considering weight)" dataDxfId="30">
      <calculatedColumnFormula>Table1[[#This Row],['# targets with component
Weight = 1.5]]*1.5+Table1[[#This Row],['# targets without component
Weight = 1]]*1</calculatedColumnFormula>
    </tableColumn>
    <tableColumn id="3" name="Test integrity of the package for:" dataDxfId="29"/>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2:C5" totalsRowShown="0" headerRowDxfId="20" dataDxfId="19">
  <autoFilter ref="A2:C5"/>
  <tableColumns count="3">
    <tableColumn id="1" name="Status" dataDxfId="18"/>
    <tableColumn id="3" name="%" dataDxfId="17" dataCellStyle="Percent">
      <calculatedColumnFormula>Table2[[#This Row],['#]]/SUM(Table2['#])</calculatedColumnFormula>
    </tableColumn>
    <tableColumn id="2" name="#" dataDxfId="16">
      <calculatedColumnFormula>SUM(IF('Sanity Test'!E1:E999="Failed",1,0)*IF('Sanity Test'!C1:C999&lt;&gt;"",1,0))+SUM(IF('Sanity Test'!F1:F999="Failed",1,0)*IF('Sanity Test'!D1:D999&lt;&gt;"",1,0))+SUM(IF('Sanity Test'!F1:F999="Failed",1,0)*IF('Sanity Test'!D1:D999&lt;&gt;"",1,0))+SUM(IF('Sanity Test'!E1:E999="Deferred",1,0)*IF('Sanity Test'!C1:C999&lt;&gt;"",1,0))+SUM(IF('Sanity Test'!F1:F999="Deferred",1,0)*IF('Sanity Test'!D1:D999&lt;&gt;"",1,0))+SUM(IF('Sanity Test'!F1:F999="Deferred",1,0)*IF('Sanity Test'!D1:D999&lt;&gt;"",1,0))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48484"/>
  <sheetViews>
    <sheetView tabSelected="1" zoomScale="80" zoomScaleNormal="80" workbookViewId="0">
      <pane xSplit="5" ySplit="2" topLeftCell="F3" activePane="bottomRight" state="frozen"/>
      <selection pane="topRight" activeCell="F1" sqref="F1"/>
      <selection pane="bottomLeft" activeCell="A3" sqref="A3"/>
      <selection pane="bottomRight" activeCell="G13" sqref="G13"/>
    </sheetView>
  </sheetViews>
  <sheetFormatPr defaultColWidth="105.28515625" defaultRowHeight="15" x14ac:dyDescent="0.2"/>
  <cols>
    <col min="1" max="1" width="3.7109375" style="2" customWidth="1"/>
    <col min="2" max="2" width="12.42578125" style="2" customWidth="1"/>
    <col min="3" max="3" width="12.28515625" style="2" customWidth="1"/>
    <col min="4" max="4" width="14.42578125" style="2" customWidth="1"/>
    <col min="5" max="5" width="12.28515625" style="2" customWidth="1"/>
    <col min="6" max="6" width="17.28515625" style="2" customWidth="1"/>
    <col min="7" max="7" width="17.42578125" style="2" customWidth="1"/>
    <col min="8" max="8" width="78.7109375" style="2" customWidth="1"/>
    <col min="9" max="9" width="24.140625" style="2" customWidth="1"/>
    <col min="10" max="10" width="15.7109375" style="2" customWidth="1"/>
    <col min="11" max="11" width="5.28515625" style="2" customWidth="1"/>
    <col min="12" max="12" width="5.7109375" style="2" customWidth="1"/>
    <col min="13" max="13" width="5.140625" style="2" customWidth="1"/>
    <col min="14" max="14" width="9.7109375" style="2" customWidth="1"/>
    <col min="15" max="15" width="2.85546875" style="2" customWidth="1"/>
    <col min="16" max="16" width="19.85546875" style="2" customWidth="1"/>
    <col min="17" max="17" width="10.140625" style="2" customWidth="1"/>
    <col min="18" max="18" width="35.7109375" style="2" customWidth="1"/>
    <col min="19" max="16384" width="105.28515625" style="2"/>
  </cols>
  <sheetData>
    <row r="1" spans="1:18" x14ac:dyDescent="0.2">
      <c r="K1" s="44" t="s">
        <v>126</v>
      </c>
      <c r="L1" s="44"/>
      <c r="M1" s="44"/>
    </row>
    <row r="2" spans="1:18" ht="45" x14ac:dyDescent="0.2">
      <c r="A2" s="3" t="s">
        <v>127</v>
      </c>
      <c r="B2" s="3" t="s">
        <v>128</v>
      </c>
      <c r="C2" s="3" t="s">
        <v>129</v>
      </c>
      <c r="D2" s="3" t="s">
        <v>0</v>
      </c>
      <c r="E2" s="3" t="s">
        <v>130</v>
      </c>
      <c r="F2" s="3" t="s">
        <v>130</v>
      </c>
      <c r="G2" s="3" t="s">
        <v>131</v>
      </c>
      <c r="H2" s="23" t="s">
        <v>132</v>
      </c>
      <c r="I2" s="3" t="s">
        <v>133</v>
      </c>
      <c r="J2" s="3" t="s">
        <v>1</v>
      </c>
      <c r="K2" s="3" t="s">
        <v>134</v>
      </c>
      <c r="L2" s="3" t="s">
        <v>135</v>
      </c>
      <c r="M2" s="3" t="s">
        <v>136</v>
      </c>
      <c r="N2" s="3" t="s">
        <v>137</v>
      </c>
      <c r="O2" s="4" t="s">
        <v>138</v>
      </c>
      <c r="P2" s="3" t="s">
        <v>139</v>
      </c>
      <c r="Q2" s="3" t="s">
        <v>140</v>
      </c>
      <c r="R2" s="3" t="s">
        <v>141</v>
      </c>
    </row>
    <row r="3" spans="1:18" x14ac:dyDescent="0.2">
      <c r="A3" s="5"/>
      <c r="B3" s="5"/>
      <c r="C3" s="5"/>
      <c r="D3" s="5"/>
      <c r="E3" s="5"/>
      <c r="F3" s="5"/>
      <c r="G3" s="6"/>
      <c r="H3" s="7"/>
      <c r="I3" s="7"/>
      <c r="J3" s="7"/>
      <c r="K3" s="7"/>
      <c r="L3" s="7"/>
      <c r="M3" s="7"/>
      <c r="N3" s="5"/>
      <c r="O3" s="5"/>
      <c r="P3" s="7"/>
      <c r="Q3" s="7"/>
      <c r="R3" s="7"/>
    </row>
    <row r="4" spans="1:18" x14ac:dyDescent="0.2">
      <c r="A4" s="5"/>
      <c r="B4" s="5"/>
      <c r="C4" s="5"/>
      <c r="D4" s="5"/>
      <c r="E4" s="5"/>
      <c r="F4" s="5"/>
      <c r="G4" s="6"/>
      <c r="H4" s="7"/>
      <c r="I4" s="7"/>
      <c r="J4" s="7"/>
      <c r="K4" s="7"/>
      <c r="L4" s="7"/>
      <c r="M4" s="7"/>
      <c r="N4" s="5"/>
      <c r="O4" s="5"/>
      <c r="P4" s="7"/>
      <c r="Q4" s="7"/>
      <c r="R4" s="7"/>
    </row>
    <row r="5" spans="1:18" x14ac:dyDescent="0.2">
      <c r="A5" s="5"/>
      <c r="B5" s="5"/>
      <c r="C5" s="5"/>
      <c r="D5" s="5"/>
      <c r="E5" s="5"/>
      <c r="F5" s="5"/>
      <c r="G5" s="6"/>
      <c r="H5" s="7"/>
      <c r="I5" s="7"/>
      <c r="J5" s="7"/>
      <c r="K5" s="7"/>
      <c r="L5" s="7"/>
      <c r="M5" s="7"/>
      <c r="N5" s="5"/>
      <c r="O5" s="5"/>
      <c r="P5" s="7"/>
      <c r="Q5" s="7"/>
      <c r="R5" s="7"/>
    </row>
    <row r="6" spans="1:18" x14ac:dyDescent="0.2">
      <c r="A6" s="5"/>
      <c r="B6" s="5"/>
      <c r="C6" s="5"/>
      <c r="D6" s="5"/>
      <c r="E6" s="5"/>
      <c r="F6" s="5"/>
      <c r="G6" s="6"/>
      <c r="H6" s="7"/>
      <c r="I6" s="7"/>
      <c r="J6" s="7"/>
      <c r="K6" s="7"/>
      <c r="L6" s="7"/>
      <c r="M6" s="7"/>
      <c r="N6" s="5"/>
      <c r="O6" s="5"/>
      <c r="P6" s="7"/>
      <c r="Q6" s="7"/>
      <c r="R6" s="7"/>
    </row>
    <row r="7" spans="1:18" x14ac:dyDescent="0.2">
      <c r="A7" s="5"/>
      <c r="B7" s="5"/>
      <c r="C7" s="5"/>
      <c r="D7" s="5"/>
      <c r="E7" s="5"/>
      <c r="F7" s="5"/>
      <c r="G7" s="6"/>
      <c r="H7" s="7"/>
      <c r="I7" s="7"/>
      <c r="J7" s="7"/>
      <c r="K7" s="7"/>
      <c r="L7" s="7"/>
      <c r="M7" s="7"/>
      <c r="N7" s="5"/>
      <c r="O7" s="5"/>
      <c r="P7" s="7"/>
      <c r="Q7" s="7"/>
      <c r="R7" s="7"/>
    </row>
    <row r="8" spans="1:18" x14ac:dyDescent="0.2">
      <c r="A8" s="5"/>
      <c r="B8" s="5"/>
      <c r="C8" s="5"/>
      <c r="D8" s="5"/>
      <c r="E8" s="5"/>
      <c r="F8" s="5"/>
      <c r="G8" s="6"/>
      <c r="H8" s="7"/>
      <c r="I8" s="7"/>
      <c r="J8" s="7"/>
      <c r="K8" s="7"/>
      <c r="L8" s="7"/>
      <c r="M8" s="7"/>
      <c r="N8" s="5"/>
      <c r="O8" s="5"/>
      <c r="P8" s="7"/>
      <c r="Q8" s="7"/>
      <c r="R8" s="7"/>
    </row>
    <row r="9" spans="1:18" x14ac:dyDescent="0.2">
      <c r="A9" s="5"/>
      <c r="B9" s="5"/>
      <c r="C9" s="5"/>
      <c r="D9" s="5"/>
      <c r="E9" s="5"/>
      <c r="F9" s="5"/>
      <c r="G9" s="6"/>
      <c r="H9" s="7"/>
      <c r="I9" s="7"/>
      <c r="J9" s="7"/>
      <c r="K9" s="7"/>
      <c r="L9" s="7"/>
      <c r="M9" s="7"/>
      <c r="N9" s="5"/>
      <c r="O9" s="5"/>
      <c r="P9" s="7"/>
      <c r="Q9" s="7"/>
      <c r="R9" s="7"/>
    </row>
    <row r="10" spans="1:18" x14ac:dyDescent="0.2">
      <c r="A10" s="5"/>
      <c r="B10" s="5"/>
      <c r="C10" s="5"/>
      <c r="D10" s="5"/>
      <c r="E10" s="5"/>
      <c r="F10" s="5"/>
      <c r="G10" s="6"/>
      <c r="H10" s="7"/>
      <c r="I10" s="7"/>
      <c r="J10" s="7"/>
      <c r="K10" s="7"/>
      <c r="L10" s="7"/>
      <c r="M10" s="7"/>
      <c r="N10" s="5"/>
      <c r="O10" s="5"/>
      <c r="P10" s="7"/>
      <c r="Q10" s="7"/>
      <c r="R10" s="7"/>
    </row>
    <row r="11" spans="1:18" x14ac:dyDescent="0.2">
      <c r="A11" s="5"/>
      <c r="B11" s="5"/>
      <c r="C11" s="5"/>
      <c r="D11" s="5"/>
      <c r="E11" s="5"/>
      <c r="F11" s="5"/>
      <c r="G11" s="6"/>
      <c r="H11" s="7"/>
      <c r="I11" s="7"/>
      <c r="J11" s="7"/>
      <c r="K11" s="7"/>
      <c r="L11" s="7"/>
      <c r="M11" s="7"/>
      <c r="N11" s="5"/>
      <c r="O11" s="5"/>
      <c r="P11" s="7"/>
      <c r="Q11" s="7"/>
      <c r="R11" s="7"/>
    </row>
    <row r="12" spans="1:18" x14ac:dyDescent="0.2">
      <c r="A12" s="5"/>
      <c r="B12" s="5"/>
      <c r="C12" s="5"/>
      <c r="D12" s="5"/>
      <c r="E12" s="5"/>
      <c r="F12" s="5"/>
      <c r="G12" s="6"/>
      <c r="H12" s="7"/>
      <c r="I12" s="7"/>
      <c r="J12" s="7"/>
      <c r="K12" s="7"/>
      <c r="L12" s="7"/>
      <c r="M12" s="7"/>
      <c r="N12" s="5"/>
      <c r="O12" s="5"/>
      <c r="P12" s="7"/>
      <c r="Q12" s="7"/>
      <c r="R12" s="7"/>
    </row>
    <row r="13" spans="1:18" x14ac:dyDescent="0.2">
      <c r="A13" s="5"/>
      <c r="B13" s="5"/>
      <c r="C13" s="5"/>
      <c r="D13" s="5"/>
      <c r="E13" s="5"/>
      <c r="F13" s="5"/>
      <c r="G13" s="6"/>
      <c r="H13" s="7"/>
      <c r="I13" s="7"/>
      <c r="J13" s="7"/>
      <c r="K13" s="7"/>
      <c r="L13" s="7"/>
      <c r="M13" s="7"/>
      <c r="N13" s="5"/>
      <c r="O13" s="5"/>
      <c r="P13" s="7"/>
      <c r="Q13" s="7"/>
      <c r="R13" s="7"/>
    </row>
    <row r="14" spans="1:18" x14ac:dyDescent="0.2">
      <c r="A14" s="5"/>
      <c r="B14" s="5"/>
      <c r="C14" s="5"/>
      <c r="D14" s="5"/>
      <c r="E14" s="5"/>
      <c r="F14" s="5"/>
      <c r="G14" s="6"/>
      <c r="H14" s="7"/>
      <c r="I14" s="7"/>
      <c r="J14" s="7"/>
      <c r="K14" s="7"/>
      <c r="L14" s="7"/>
      <c r="M14" s="7"/>
      <c r="N14" s="5"/>
      <c r="O14" s="5"/>
      <c r="P14" s="7"/>
      <c r="Q14" s="7"/>
      <c r="R14" s="7"/>
    </row>
    <row r="15" spans="1:18" x14ac:dyDescent="0.2">
      <c r="A15" s="5"/>
      <c r="B15" s="5"/>
      <c r="C15" s="5"/>
      <c r="D15" s="5"/>
      <c r="E15" s="5"/>
      <c r="F15" s="5"/>
      <c r="G15" s="6"/>
      <c r="H15" s="7"/>
      <c r="I15" s="7"/>
      <c r="J15" s="7"/>
      <c r="K15" s="7"/>
      <c r="L15" s="7"/>
      <c r="M15" s="7"/>
      <c r="N15" s="5"/>
      <c r="O15" s="5"/>
      <c r="P15" s="7"/>
      <c r="Q15" s="7"/>
      <c r="R15" s="7"/>
    </row>
    <row r="16" spans="1:18" x14ac:dyDescent="0.2">
      <c r="A16" s="5"/>
      <c r="B16" s="5"/>
      <c r="C16" s="5"/>
      <c r="D16" s="5"/>
      <c r="E16" s="5"/>
      <c r="F16" s="5"/>
      <c r="G16" s="6"/>
      <c r="H16" s="7"/>
      <c r="I16" s="7"/>
      <c r="J16" s="7"/>
      <c r="K16" s="7"/>
      <c r="L16" s="7"/>
      <c r="M16" s="7"/>
      <c r="N16" s="5"/>
      <c r="O16" s="5"/>
      <c r="P16" s="7"/>
      <c r="Q16" s="7"/>
      <c r="R16" s="7"/>
    </row>
    <row r="17" spans="1:18" x14ac:dyDescent="0.2">
      <c r="A17" s="5"/>
      <c r="B17" s="5"/>
      <c r="C17" s="5"/>
      <c r="D17" s="5"/>
      <c r="E17" s="5"/>
      <c r="F17" s="5"/>
      <c r="G17" s="6"/>
      <c r="H17" s="7"/>
      <c r="I17" s="7"/>
      <c r="J17" s="7"/>
      <c r="K17" s="7"/>
      <c r="L17" s="7"/>
      <c r="M17" s="7"/>
      <c r="N17" s="5"/>
      <c r="O17" s="5"/>
      <c r="P17" s="7"/>
      <c r="Q17" s="7"/>
      <c r="R17" s="7"/>
    </row>
    <row r="18" spans="1:18" x14ac:dyDescent="0.2">
      <c r="A18" s="5"/>
      <c r="B18" s="5"/>
      <c r="C18" s="5"/>
      <c r="D18" s="5"/>
      <c r="E18" s="5"/>
      <c r="F18" s="5"/>
      <c r="G18" s="6"/>
      <c r="H18" s="7"/>
      <c r="I18" s="7"/>
      <c r="J18" s="7"/>
      <c r="K18" s="7"/>
      <c r="L18" s="7"/>
      <c r="M18" s="7"/>
      <c r="N18" s="5"/>
      <c r="O18" s="5"/>
      <c r="P18" s="7"/>
      <c r="Q18" s="7"/>
      <c r="R18" s="7"/>
    </row>
    <row r="19" spans="1:18" x14ac:dyDescent="0.2">
      <c r="A19" s="5"/>
      <c r="B19" s="5"/>
      <c r="C19" s="5"/>
      <c r="D19" s="5"/>
      <c r="E19" s="5"/>
      <c r="F19" s="5"/>
      <c r="G19" s="6"/>
      <c r="H19" s="7"/>
      <c r="I19" s="7"/>
      <c r="J19" s="7"/>
      <c r="K19" s="7"/>
      <c r="L19" s="7"/>
      <c r="M19" s="7"/>
      <c r="N19" s="5"/>
      <c r="O19" s="5"/>
      <c r="P19" s="7"/>
      <c r="Q19" s="7"/>
      <c r="R19" s="7"/>
    </row>
    <row r="20" spans="1:18" x14ac:dyDescent="0.2">
      <c r="A20" s="5"/>
      <c r="B20" s="5"/>
      <c r="C20" s="5"/>
      <c r="D20" s="5"/>
      <c r="E20" s="5"/>
      <c r="F20" s="5"/>
      <c r="G20" s="6"/>
      <c r="H20" s="7"/>
      <c r="I20" s="7"/>
      <c r="J20" s="7"/>
      <c r="K20" s="7"/>
      <c r="L20" s="7"/>
      <c r="M20" s="7"/>
      <c r="N20" s="5"/>
      <c r="O20" s="5"/>
      <c r="P20" s="7"/>
      <c r="Q20" s="7"/>
      <c r="R20" s="7"/>
    </row>
    <row r="21" spans="1:18" x14ac:dyDescent="0.2">
      <c r="A21" s="5"/>
      <c r="B21" s="5"/>
      <c r="C21" s="5"/>
      <c r="D21" s="5"/>
      <c r="E21" s="5"/>
      <c r="F21" s="5"/>
      <c r="G21" s="6"/>
      <c r="H21" s="7"/>
      <c r="I21" s="7"/>
      <c r="J21" s="7"/>
      <c r="K21" s="7"/>
      <c r="L21" s="7"/>
      <c r="M21" s="7"/>
      <c r="N21" s="5"/>
      <c r="O21" s="5"/>
      <c r="P21" s="7"/>
      <c r="Q21" s="7"/>
      <c r="R21" s="7"/>
    </row>
    <row r="22" spans="1:18" x14ac:dyDescent="0.2">
      <c r="A22" s="5"/>
      <c r="B22" s="5"/>
      <c r="C22" s="5"/>
      <c r="D22" s="5"/>
      <c r="E22" s="5"/>
      <c r="F22" s="5"/>
      <c r="G22" s="6"/>
      <c r="H22" s="7"/>
      <c r="I22" s="7"/>
      <c r="J22" s="7"/>
      <c r="K22" s="7"/>
      <c r="L22" s="7"/>
      <c r="M22" s="7"/>
      <c r="N22" s="5"/>
      <c r="O22" s="5"/>
      <c r="P22" s="7"/>
      <c r="Q22" s="7"/>
      <c r="R22" s="7"/>
    </row>
    <row r="23" spans="1:18" x14ac:dyDescent="0.2">
      <c r="A23" s="5"/>
      <c r="B23" s="5"/>
      <c r="C23" s="5"/>
      <c r="D23" s="5"/>
      <c r="E23" s="5"/>
      <c r="F23" s="5"/>
      <c r="G23" s="6"/>
      <c r="H23" s="7"/>
      <c r="I23" s="7"/>
      <c r="J23" s="7"/>
      <c r="K23" s="7"/>
      <c r="L23" s="7"/>
      <c r="M23" s="7"/>
      <c r="N23" s="5"/>
      <c r="O23" s="5"/>
      <c r="P23" s="7"/>
      <c r="Q23" s="7"/>
      <c r="R23" s="7"/>
    </row>
    <row r="24" spans="1:18" x14ac:dyDescent="0.2">
      <c r="A24" s="5"/>
      <c r="B24" s="5"/>
      <c r="C24" s="5"/>
      <c r="D24" s="5"/>
      <c r="E24" s="5"/>
      <c r="F24" s="5"/>
      <c r="G24" s="6"/>
      <c r="H24" s="7"/>
      <c r="I24" s="7"/>
      <c r="J24" s="7"/>
      <c r="K24" s="7"/>
      <c r="L24" s="7"/>
      <c r="M24" s="7"/>
      <c r="N24" s="5"/>
      <c r="O24" s="5"/>
      <c r="P24" s="7"/>
      <c r="Q24" s="7"/>
      <c r="R24" s="7"/>
    </row>
    <row r="25" spans="1:18" x14ac:dyDescent="0.2">
      <c r="A25" s="5"/>
      <c r="B25" s="5"/>
      <c r="C25" s="5"/>
      <c r="D25" s="5"/>
      <c r="E25" s="5"/>
      <c r="F25" s="5"/>
      <c r="G25" s="6"/>
      <c r="H25" s="7"/>
      <c r="I25" s="7"/>
      <c r="J25" s="7"/>
      <c r="K25" s="7"/>
      <c r="L25" s="7"/>
      <c r="M25" s="7"/>
      <c r="N25" s="5"/>
      <c r="O25" s="5"/>
      <c r="P25" s="7"/>
      <c r="Q25" s="7"/>
      <c r="R25" s="7"/>
    </row>
    <row r="26" spans="1:18" x14ac:dyDescent="0.2">
      <c r="A26" s="5"/>
      <c r="B26" s="5"/>
      <c r="C26" s="5"/>
      <c r="D26" s="5"/>
      <c r="E26" s="5"/>
      <c r="F26" s="5"/>
      <c r="G26" s="6"/>
      <c r="H26" s="7"/>
      <c r="I26" s="7"/>
      <c r="J26" s="7"/>
      <c r="K26" s="7"/>
      <c r="L26" s="7"/>
      <c r="M26" s="7"/>
      <c r="N26" s="5"/>
      <c r="O26" s="5"/>
      <c r="P26" s="7"/>
      <c r="Q26" s="7"/>
      <c r="R26" s="7"/>
    </row>
    <row r="27" spans="1:18" x14ac:dyDescent="0.2">
      <c r="A27" s="5"/>
      <c r="B27" s="5"/>
      <c r="C27" s="5"/>
      <c r="D27" s="5"/>
      <c r="E27" s="5"/>
      <c r="F27" s="5"/>
      <c r="G27" s="6"/>
      <c r="H27" s="7"/>
      <c r="I27" s="7"/>
      <c r="J27" s="7"/>
      <c r="K27" s="7"/>
      <c r="L27" s="7"/>
      <c r="M27" s="7"/>
      <c r="N27" s="5"/>
      <c r="O27" s="5"/>
      <c r="P27" s="7"/>
      <c r="Q27" s="7"/>
      <c r="R27" s="7"/>
    </row>
    <row r="28" spans="1:18" x14ac:dyDescent="0.2">
      <c r="A28" s="5"/>
      <c r="B28" s="5"/>
      <c r="C28" s="5"/>
      <c r="D28" s="5"/>
      <c r="E28" s="5"/>
      <c r="F28" s="5"/>
      <c r="G28" s="6"/>
      <c r="H28" s="7"/>
      <c r="I28" s="7"/>
      <c r="J28" s="7"/>
      <c r="K28" s="7"/>
      <c r="L28" s="7"/>
      <c r="M28" s="7"/>
      <c r="N28" s="5"/>
      <c r="O28" s="5"/>
      <c r="P28" s="7"/>
      <c r="Q28" s="7"/>
      <c r="R28" s="7"/>
    </row>
    <row r="29" spans="1:18" x14ac:dyDescent="0.2">
      <c r="A29" s="5"/>
      <c r="B29" s="5"/>
      <c r="C29" s="5"/>
      <c r="D29" s="5"/>
      <c r="E29" s="5"/>
      <c r="F29" s="5"/>
      <c r="G29" s="6"/>
      <c r="H29" s="7"/>
      <c r="I29" s="7"/>
      <c r="J29" s="7"/>
      <c r="K29" s="7"/>
      <c r="L29" s="7"/>
      <c r="M29" s="7"/>
      <c r="N29" s="5"/>
      <c r="O29" s="5"/>
      <c r="P29" s="7"/>
      <c r="Q29" s="7"/>
      <c r="R29" s="7"/>
    </row>
    <row r="30" spans="1:18" x14ac:dyDescent="0.2">
      <c r="A30" s="5"/>
      <c r="B30" s="5"/>
      <c r="C30" s="5"/>
      <c r="D30" s="5"/>
      <c r="E30" s="5"/>
      <c r="F30" s="5"/>
      <c r="G30" s="6"/>
      <c r="H30" s="7"/>
      <c r="I30" s="7"/>
      <c r="J30" s="7"/>
      <c r="K30" s="7"/>
      <c r="L30" s="7"/>
      <c r="M30" s="7"/>
      <c r="N30" s="5"/>
      <c r="O30" s="5"/>
      <c r="P30" s="7"/>
      <c r="Q30" s="7"/>
      <c r="R30" s="7"/>
    </row>
    <row r="31" spans="1:18" x14ac:dyDescent="0.2">
      <c r="A31" s="5"/>
      <c r="B31" s="5"/>
      <c r="C31" s="5"/>
      <c r="D31" s="5"/>
      <c r="E31" s="5"/>
      <c r="F31" s="5"/>
      <c r="G31" s="6"/>
      <c r="H31" s="7"/>
      <c r="I31" s="7"/>
      <c r="J31" s="7"/>
      <c r="K31" s="7"/>
      <c r="L31" s="7"/>
      <c r="M31" s="7"/>
      <c r="N31" s="5"/>
      <c r="O31" s="5"/>
      <c r="P31" s="7"/>
      <c r="Q31" s="7"/>
      <c r="R31" s="7"/>
    </row>
    <row r="32" spans="1:18" x14ac:dyDescent="0.2">
      <c r="A32" s="5"/>
      <c r="B32" s="5"/>
      <c r="C32" s="5"/>
      <c r="D32" s="5"/>
      <c r="E32" s="5"/>
      <c r="F32" s="5"/>
      <c r="G32" s="6"/>
      <c r="H32" s="7"/>
      <c r="I32" s="7"/>
      <c r="J32" s="7"/>
      <c r="K32" s="7"/>
      <c r="L32" s="7"/>
      <c r="M32" s="7"/>
      <c r="N32" s="5"/>
      <c r="O32" s="5"/>
      <c r="P32" s="7"/>
      <c r="Q32" s="7"/>
      <c r="R32" s="7"/>
    </row>
    <row r="33" spans="1:18" x14ac:dyDescent="0.2">
      <c r="A33" s="5"/>
      <c r="B33" s="5"/>
      <c r="C33" s="5"/>
      <c r="D33" s="5"/>
      <c r="E33" s="5"/>
      <c r="F33" s="5"/>
      <c r="G33" s="6"/>
      <c r="H33" s="7"/>
      <c r="I33" s="7"/>
      <c r="J33" s="7"/>
      <c r="K33" s="7"/>
      <c r="L33" s="7"/>
      <c r="M33" s="7"/>
      <c r="N33" s="5"/>
      <c r="O33" s="5"/>
      <c r="P33" s="7"/>
      <c r="Q33" s="7"/>
      <c r="R33" s="7"/>
    </row>
    <row r="34" spans="1:18" x14ac:dyDescent="0.2">
      <c r="A34" s="5"/>
      <c r="B34" s="5"/>
      <c r="C34" s="5"/>
      <c r="D34" s="5"/>
      <c r="E34" s="5"/>
      <c r="F34" s="5"/>
      <c r="G34" s="6"/>
      <c r="H34" s="7"/>
      <c r="I34" s="7"/>
      <c r="J34" s="7"/>
      <c r="K34" s="7"/>
      <c r="L34" s="7"/>
      <c r="M34" s="7"/>
      <c r="N34" s="5"/>
      <c r="O34" s="5"/>
      <c r="P34" s="7"/>
      <c r="Q34" s="7"/>
      <c r="R34" s="7"/>
    </row>
    <row r="35" spans="1:18" x14ac:dyDescent="0.2">
      <c r="A35" s="5"/>
      <c r="B35" s="5"/>
      <c r="C35" s="5"/>
      <c r="D35" s="5"/>
      <c r="E35" s="5"/>
      <c r="F35" s="5"/>
      <c r="G35" s="6"/>
      <c r="H35" s="7"/>
      <c r="I35" s="7"/>
      <c r="J35" s="7"/>
      <c r="K35" s="7"/>
      <c r="L35" s="7"/>
      <c r="M35" s="7"/>
      <c r="N35" s="5"/>
      <c r="O35" s="5"/>
      <c r="P35" s="7"/>
      <c r="Q35" s="7"/>
      <c r="R35" s="7"/>
    </row>
    <row r="36" spans="1:18" x14ac:dyDescent="0.2">
      <c r="A36" s="5"/>
      <c r="B36" s="5"/>
      <c r="C36" s="5"/>
      <c r="D36" s="5"/>
      <c r="E36" s="5"/>
      <c r="F36" s="5"/>
      <c r="G36" s="6"/>
      <c r="H36" s="7"/>
      <c r="I36" s="7"/>
      <c r="J36" s="7"/>
      <c r="K36" s="7"/>
      <c r="L36" s="7"/>
      <c r="M36" s="7"/>
      <c r="N36" s="5"/>
      <c r="O36" s="5"/>
      <c r="P36" s="7"/>
      <c r="Q36" s="7"/>
      <c r="R36" s="7"/>
    </row>
    <row r="37" spans="1:18" x14ac:dyDescent="0.2">
      <c r="A37" s="5"/>
      <c r="B37" s="5"/>
      <c r="C37" s="5"/>
      <c r="D37" s="5"/>
      <c r="E37" s="5"/>
      <c r="F37" s="5"/>
      <c r="G37" s="6"/>
      <c r="H37" s="7"/>
      <c r="I37" s="7"/>
      <c r="J37" s="7"/>
      <c r="K37" s="7"/>
      <c r="L37" s="7"/>
      <c r="M37" s="7"/>
      <c r="N37" s="5"/>
      <c r="O37" s="5"/>
      <c r="P37" s="7"/>
      <c r="Q37" s="7"/>
      <c r="R37" s="7"/>
    </row>
    <row r="38" spans="1:18" x14ac:dyDescent="0.2">
      <c r="A38" s="5"/>
      <c r="B38" s="5"/>
      <c r="C38" s="5"/>
      <c r="D38" s="5"/>
      <c r="E38" s="5"/>
      <c r="F38" s="5"/>
      <c r="G38" s="6"/>
      <c r="H38" s="7"/>
      <c r="I38" s="7"/>
      <c r="J38" s="7"/>
      <c r="K38" s="7"/>
      <c r="L38" s="7"/>
      <c r="M38" s="7"/>
      <c r="N38" s="5"/>
      <c r="O38" s="5"/>
      <c r="P38" s="7"/>
      <c r="Q38" s="7"/>
      <c r="R38" s="7"/>
    </row>
    <row r="39" spans="1:18" x14ac:dyDescent="0.2">
      <c r="A39" s="5"/>
      <c r="B39" s="5"/>
      <c r="C39" s="5"/>
      <c r="D39" s="5"/>
      <c r="E39" s="5"/>
      <c r="F39" s="5"/>
      <c r="G39" s="6"/>
      <c r="H39" s="7"/>
      <c r="I39" s="7"/>
      <c r="J39" s="7"/>
      <c r="K39" s="7"/>
      <c r="L39" s="7"/>
      <c r="M39" s="7"/>
      <c r="N39" s="5"/>
      <c r="O39" s="5"/>
      <c r="P39" s="7"/>
      <c r="Q39" s="7"/>
      <c r="R39" s="7"/>
    </row>
    <row r="40" spans="1:18" x14ac:dyDescent="0.2">
      <c r="A40" s="5"/>
      <c r="B40" s="5"/>
      <c r="C40" s="5"/>
      <c r="D40" s="5"/>
      <c r="E40" s="5"/>
      <c r="F40" s="5"/>
      <c r="G40" s="6"/>
      <c r="H40" s="7"/>
      <c r="I40" s="7"/>
      <c r="J40" s="7"/>
      <c r="K40" s="7"/>
      <c r="L40" s="7"/>
      <c r="M40" s="7"/>
      <c r="N40" s="5"/>
      <c r="O40" s="5"/>
      <c r="P40" s="7"/>
      <c r="Q40" s="7"/>
      <c r="R40" s="7"/>
    </row>
    <row r="41" spans="1:18" x14ac:dyDescent="0.2">
      <c r="A41" s="5"/>
      <c r="B41" s="5"/>
      <c r="C41" s="5"/>
      <c r="D41" s="5"/>
      <c r="E41" s="5"/>
      <c r="F41" s="5"/>
      <c r="G41" s="6"/>
      <c r="H41" s="7"/>
      <c r="I41" s="7"/>
      <c r="J41" s="7"/>
      <c r="K41" s="7"/>
      <c r="L41" s="7"/>
      <c r="M41" s="7"/>
      <c r="N41" s="5"/>
      <c r="O41" s="5"/>
      <c r="P41" s="7"/>
      <c r="Q41" s="7"/>
      <c r="R41" s="7"/>
    </row>
    <row r="42" spans="1:18" x14ac:dyDescent="0.2">
      <c r="A42" s="5"/>
      <c r="B42" s="5"/>
      <c r="C42" s="5"/>
      <c r="D42" s="5"/>
      <c r="E42" s="5"/>
      <c r="F42" s="5"/>
      <c r="G42" s="6"/>
      <c r="H42" s="7"/>
      <c r="I42" s="7"/>
      <c r="J42" s="7"/>
      <c r="K42" s="7"/>
      <c r="L42" s="7"/>
      <c r="M42" s="7"/>
      <c r="N42" s="5"/>
      <c r="O42" s="5"/>
      <c r="P42" s="7"/>
      <c r="Q42" s="7"/>
      <c r="R42" s="7"/>
    </row>
    <row r="43" spans="1:18" x14ac:dyDescent="0.2">
      <c r="A43" s="5"/>
      <c r="B43" s="5"/>
      <c r="C43" s="5"/>
      <c r="D43" s="5"/>
      <c r="E43" s="5"/>
      <c r="F43" s="5"/>
      <c r="G43" s="6"/>
      <c r="H43" s="7"/>
      <c r="I43" s="7"/>
      <c r="J43" s="7"/>
      <c r="K43" s="7"/>
      <c r="L43" s="7"/>
      <c r="M43" s="7"/>
      <c r="N43" s="5"/>
      <c r="O43" s="5"/>
      <c r="P43" s="7"/>
      <c r="Q43" s="7"/>
      <c r="R43" s="7"/>
    </row>
    <row r="44" spans="1:18" x14ac:dyDescent="0.2">
      <c r="A44" s="5"/>
      <c r="B44" s="5"/>
      <c r="C44" s="5"/>
      <c r="D44" s="5"/>
      <c r="E44" s="5"/>
      <c r="F44" s="5"/>
      <c r="G44" s="6"/>
      <c r="H44" s="7"/>
      <c r="I44" s="7"/>
      <c r="J44" s="7"/>
      <c r="K44" s="7"/>
      <c r="L44" s="7"/>
      <c r="M44" s="7"/>
      <c r="N44" s="5"/>
      <c r="O44" s="5"/>
      <c r="P44" s="7"/>
      <c r="Q44" s="7"/>
      <c r="R44" s="7"/>
    </row>
    <row r="45" spans="1:18" x14ac:dyDescent="0.2">
      <c r="A45" s="5"/>
      <c r="B45" s="5"/>
      <c r="C45" s="5"/>
      <c r="D45" s="5"/>
      <c r="E45" s="5"/>
      <c r="F45" s="5"/>
      <c r="G45" s="6"/>
      <c r="H45" s="7"/>
      <c r="I45" s="7"/>
      <c r="J45" s="7"/>
      <c r="K45" s="7"/>
      <c r="L45" s="7"/>
      <c r="M45" s="7"/>
      <c r="N45" s="5"/>
      <c r="O45" s="5"/>
      <c r="P45" s="7"/>
      <c r="Q45" s="7"/>
      <c r="R45" s="7"/>
    </row>
    <row r="46" spans="1:18" x14ac:dyDescent="0.2">
      <c r="A46" s="5"/>
      <c r="B46" s="5"/>
      <c r="C46" s="5"/>
      <c r="D46" s="5"/>
      <c r="E46" s="5"/>
      <c r="F46" s="5"/>
      <c r="G46" s="6"/>
      <c r="H46" s="7"/>
      <c r="I46" s="7"/>
      <c r="J46" s="7"/>
      <c r="K46" s="7"/>
      <c r="L46" s="7"/>
      <c r="M46" s="7"/>
      <c r="N46" s="5"/>
      <c r="O46" s="5"/>
      <c r="P46" s="7"/>
      <c r="Q46" s="7"/>
      <c r="R46" s="7"/>
    </row>
    <row r="47" spans="1:18" x14ac:dyDescent="0.2">
      <c r="A47" s="5"/>
      <c r="B47" s="5"/>
      <c r="C47" s="5"/>
      <c r="D47" s="5"/>
      <c r="E47" s="5"/>
      <c r="F47" s="5"/>
      <c r="G47" s="6"/>
      <c r="H47" s="7"/>
      <c r="I47" s="7"/>
      <c r="J47" s="7"/>
      <c r="K47" s="7"/>
      <c r="L47" s="7"/>
      <c r="M47" s="7"/>
      <c r="N47" s="5"/>
      <c r="O47" s="5"/>
      <c r="P47" s="7"/>
      <c r="Q47" s="7"/>
      <c r="R47" s="7"/>
    </row>
    <row r="48" spans="1:18" x14ac:dyDescent="0.2">
      <c r="A48" s="5"/>
      <c r="B48" s="5"/>
      <c r="C48" s="5"/>
      <c r="D48" s="5"/>
      <c r="E48" s="5"/>
      <c r="F48" s="5"/>
      <c r="G48" s="6"/>
      <c r="H48" s="7"/>
      <c r="I48" s="7"/>
      <c r="J48" s="7"/>
      <c r="K48" s="7"/>
      <c r="L48" s="7"/>
      <c r="M48" s="7"/>
      <c r="N48" s="5"/>
      <c r="O48" s="5"/>
      <c r="P48" s="7"/>
      <c r="Q48" s="7"/>
      <c r="R48" s="7"/>
    </row>
    <row r="49" spans="1:18" x14ac:dyDescent="0.2">
      <c r="A49" s="5"/>
      <c r="B49" s="5"/>
      <c r="C49" s="5"/>
      <c r="D49" s="5"/>
      <c r="E49" s="5"/>
      <c r="F49" s="5"/>
      <c r="G49" s="6"/>
      <c r="H49" s="7"/>
      <c r="I49" s="7"/>
      <c r="J49" s="7"/>
      <c r="K49" s="7"/>
      <c r="L49" s="7"/>
      <c r="M49" s="7"/>
      <c r="N49" s="5"/>
      <c r="O49" s="5"/>
      <c r="P49" s="7"/>
      <c r="Q49" s="7"/>
      <c r="R49" s="7"/>
    </row>
    <row r="50" spans="1:18" x14ac:dyDescent="0.2">
      <c r="A50" s="5"/>
      <c r="B50" s="5"/>
      <c r="C50" s="5"/>
      <c r="D50" s="5"/>
      <c r="E50" s="5"/>
      <c r="F50" s="5"/>
      <c r="G50" s="6"/>
      <c r="H50" s="7"/>
      <c r="I50" s="7"/>
      <c r="J50" s="7"/>
      <c r="K50" s="7"/>
      <c r="L50" s="7"/>
      <c r="M50" s="7"/>
      <c r="N50" s="5"/>
      <c r="O50" s="5"/>
      <c r="P50" s="7"/>
      <c r="Q50" s="7"/>
      <c r="R50" s="7"/>
    </row>
    <row r="51" spans="1:18" x14ac:dyDescent="0.2">
      <c r="A51" s="5"/>
      <c r="B51" s="5"/>
      <c r="C51" s="5"/>
      <c r="D51" s="5"/>
      <c r="E51" s="5"/>
      <c r="F51" s="5"/>
      <c r="G51" s="6"/>
      <c r="H51" s="7"/>
      <c r="I51" s="7"/>
      <c r="J51" s="7"/>
      <c r="K51" s="7"/>
      <c r="L51" s="7"/>
      <c r="M51" s="7"/>
      <c r="N51" s="5"/>
      <c r="O51" s="5"/>
      <c r="P51" s="7"/>
      <c r="Q51" s="7"/>
      <c r="R51" s="7"/>
    </row>
    <row r="52" spans="1:18" x14ac:dyDescent="0.2">
      <c r="A52" s="5"/>
      <c r="B52" s="5"/>
      <c r="C52" s="5"/>
      <c r="D52" s="5"/>
      <c r="E52" s="5"/>
      <c r="F52" s="5"/>
      <c r="G52" s="6"/>
      <c r="H52" s="7"/>
      <c r="I52" s="7"/>
      <c r="J52" s="7"/>
      <c r="K52" s="7"/>
      <c r="L52" s="7"/>
      <c r="M52" s="7"/>
      <c r="N52" s="5"/>
      <c r="O52" s="5"/>
      <c r="P52" s="7"/>
      <c r="Q52" s="7"/>
      <c r="R52" s="7"/>
    </row>
    <row r="53" spans="1:18" x14ac:dyDescent="0.2">
      <c r="A53" s="5"/>
      <c r="B53" s="5"/>
      <c r="C53" s="5"/>
      <c r="D53" s="5"/>
      <c r="E53" s="5"/>
      <c r="F53" s="5"/>
      <c r="G53" s="6"/>
      <c r="H53" s="7"/>
      <c r="I53" s="7"/>
      <c r="J53" s="7"/>
      <c r="K53" s="7"/>
      <c r="L53" s="7"/>
      <c r="M53" s="7"/>
      <c r="N53" s="5"/>
      <c r="O53" s="5"/>
      <c r="P53" s="7"/>
      <c r="Q53" s="7"/>
      <c r="R53" s="7"/>
    </row>
    <row r="54" spans="1:18" x14ac:dyDescent="0.2">
      <c r="A54" s="5"/>
      <c r="B54" s="5"/>
      <c r="C54" s="5"/>
      <c r="D54" s="5"/>
      <c r="E54" s="5"/>
      <c r="F54" s="5"/>
      <c r="G54" s="6"/>
      <c r="H54" s="7"/>
      <c r="I54" s="7"/>
      <c r="J54" s="7"/>
      <c r="K54" s="7"/>
      <c r="L54" s="7"/>
      <c r="M54" s="7"/>
      <c r="N54" s="5"/>
      <c r="O54" s="5"/>
      <c r="P54" s="7"/>
      <c r="Q54" s="7"/>
      <c r="R54" s="7"/>
    </row>
    <row r="55" spans="1:18" x14ac:dyDescent="0.2">
      <c r="A55" s="5"/>
      <c r="B55" s="5"/>
      <c r="C55" s="5"/>
      <c r="D55" s="5"/>
      <c r="E55" s="5"/>
      <c r="F55" s="5"/>
      <c r="G55" s="6"/>
      <c r="H55" s="7"/>
      <c r="I55" s="7"/>
      <c r="J55" s="7"/>
      <c r="K55" s="7"/>
      <c r="L55" s="7"/>
      <c r="M55" s="7"/>
      <c r="N55" s="5"/>
      <c r="O55" s="5"/>
      <c r="P55" s="7"/>
      <c r="Q55" s="7"/>
      <c r="R55" s="7"/>
    </row>
    <row r="56" spans="1:18" x14ac:dyDescent="0.2">
      <c r="A56" s="5"/>
      <c r="B56" s="5"/>
      <c r="C56" s="5"/>
      <c r="D56" s="5"/>
      <c r="E56" s="5"/>
      <c r="F56" s="5"/>
      <c r="G56" s="6"/>
      <c r="H56" s="7"/>
      <c r="I56" s="7"/>
      <c r="J56" s="7"/>
      <c r="K56" s="7"/>
      <c r="L56" s="7"/>
      <c r="M56" s="7"/>
      <c r="N56" s="5"/>
      <c r="O56" s="5"/>
      <c r="P56" s="7"/>
      <c r="Q56" s="7"/>
      <c r="R56" s="7"/>
    </row>
    <row r="57" spans="1:18" x14ac:dyDescent="0.2">
      <c r="A57" s="5"/>
      <c r="B57" s="5"/>
      <c r="C57" s="5"/>
      <c r="D57" s="5"/>
      <c r="E57" s="5"/>
      <c r="F57" s="5"/>
      <c r="G57" s="6"/>
      <c r="H57" s="7"/>
      <c r="I57" s="7"/>
      <c r="J57" s="7"/>
      <c r="K57" s="7"/>
      <c r="L57" s="7"/>
      <c r="M57" s="7"/>
      <c r="N57" s="5"/>
      <c r="O57" s="5"/>
      <c r="P57" s="7"/>
      <c r="Q57" s="7"/>
      <c r="R57" s="7"/>
    </row>
    <row r="58" spans="1:18" x14ac:dyDescent="0.2">
      <c r="A58" s="5"/>
      <c r="B58" s="5"/>
      <c r="C58" s="5"/>
      <c r="D58" s="5"/>
      <c r="E58" s="5"/>
      <c r="F58" s="5"/>
      <c r="G58" s="6"/>
      <c r="H58" s="7"/>
      <c r="I58" s="7"/>
      <c r="J58" s="7"/>
      <c r="K58" s="7"/>
      <c r="L58" s="7"/>
      <c r="M58" s="7"/>
      <c r="N58" s="5"/>
      <c r="O58" s="5"/>
      <c r="P58" s="7"/>
      <c r="Q58" s="7"/>
      <c r="R58" s="7"/>
    </row>
    <row r="59" spans="1:18" x14ac:dyDescent="0.2">
      <c r="A59" s="5"/>
      <c r="B59" s="5"/>
      <c r="C59" s="5"/>
      <c r="D59" s="5"/>
      <c r="E59" s="5"/>
      <c r="F59" s="5"/>
      <c r="G59" s="6"/>
      <c r="H59" s="7"/>
      <c r="I59" s="7"/>
      <c r="J59" s="7"/>
      <c r="K59" s="7"/>
      <c r="L59" s="7"/>
      <c r="M59" s="7"/>
      <c r="N59" s="5"/>
      <c r="O59" s="5"/>
      <c r="P59" s="7"/>
      <c r="Q59" s="7"/>
      <c r="R59" s="7"/>
    </row>
    <row r="60" spans="1:18" x14ac:dyDescent="0.2">
      <c r="A60" s="5"/>
      <c r="B60" s="5"/>
      <c r="C60" s="5"/>
      <c r="D60" s="5"/>
      <c r="E60" s="5"/>
      <c r="F60" s="5"/>
      <c r="G60" s="6"/>
      <c r="H60" s="7"/>
      <c r="I60" s="7"/>
      <c r="J60" s="7"/>
      <c r="K60" s="7"/>
      <c r="L60" s="7"/>
      <c r="M60" s="7"/>
      <c r="N60" s="5"/>
      <c r="O60" s="5"/>
      <c r="P60" s="7"/>
      <c r="Q60" s="7"/>
      <c r="R60" s="7"/>
    </row>
    <row r="61" spans="1:18" x14ac:dyDescent="0.2">
      <c r="A61" s="5"/>
      <c r="B61" s="5"/>
      <c r="C61" s="5"/>
      <c r="D61" s="5"/>
      <c r="E61" s="5"/>
      <c r="F61" s="5"/>
      <c r="G61" s="6"/>
      <c r="H61" s="7"/>
      <c r="I61" s="7"/>
      <c r="J61" s="7"/>
      <c r="K61" s="7"/>
      <c r="L61" s="7"/>
      <c r="M61" s="7"/>
      <c r="N61" s="5"/>
      <c r="O61" s="5"/>
      <c r="P61" s="7"/>
      <c r="Q61" s="7"/>
      <c r="R61" s="7"/>
    </row>
    <row r="62" spans="1:18" x14ac:dyDescent="0.2">
      <c r="A62" s="5"/>
      <c r="B62" s="5"/>
      <c r="C62" s="5"/>
      <c r="D62" s="5"/>
      <c r="E62" s="5"/>
      <c r="F62" s="5"/>
      <c r="G62" s="6"/>
      <c r="H62" s="7"/>
      <c r="I62" s="7"/>
      <c r="J62" s="7"/>
      <c r="K62" s="7"/>
      <c r="L62" s="7"/>
      <c r="M62" s="7"/>
      <c r="N62" s="5"/>
      <c r="O62" s="5"/>
      <c r="P62" s="7"/>
      <c r="Q62" s="7"/>
      <c r="R62" s="7"/>
    </row>
    <row r="63" spans="1:18" x14ac:dyDescent="0.2">
      <c r="A63" s="5"/>
      <c r="B63" s="5"/>
      <c r="C63" s="5"/>
      <c r="D63" s="5"/>
      <c r="E63" s="5"/>
      <c r="F63" s="5"/>
      <c r="G63" s="6"/>
      <c r="H63" s="7"/>
      <c r="I63" s="7"/>
      <c r="J63" s="7"/>
      <c r="K63" s="7"/>
      <c r="L63" s="7"/>
      <c r="M63" s="7"/>
      <c r="N63" s="5"/>
      <c r="O63" s="5"/>
      <c r="P63" s="7"/>
      <c r="Q63" s="7"/>
      <c r="R63" s="7"/>
    </row>
    <row r="64" spans="1:18" x14ac:dyDescent="0.2">
      <c r="A64" s="5"/>
      <c r="B64" s="5"/>
      <c r="C64" s="5"/>
      <c r="D64" s="5"/>
      <c r="E64" s="5"/>
      <c r="F64" s="5"/>
      <c r="G64" s="6"/>
      <c r="H64" s="7"/>
      <c r="I64" s="7"/>
      <c r="J64" s="7"/>
      <c r="K64" s="7"/>
      <c r="L64" s="7"/>
      <c r="M64" s="7"/>
      <c r="N64" s="5"/>
      <c r="O64" s="5"/>
      <c r="P64" s="7"/>
      <c r="Q64" s="7"/>
      <c r="R64" s="7"/>
    </row>
    <row r="65" spans="1:18" x14ac:dyDescent="0.2">
      <c r="A65" s="5"/>
      <c r="B65" s="5"/>
      <c r="C65" s="5"/>
      <c r="D65" s="5"/>
      <c r="E65" s="5"/>
      <c r="F65" s="5"/>
      <c r="G65" s="6"/>
      <c r="H65" s="7"/>
      <c r="I65" s="7"/>
      <c r="J65" s="7"/>
      <c r="K65" s="7"/>
      <c r="L65" s="7"/>
      <c r="M65" s="7"/>
      <c r="N65" s="5"/>
      <c r="O65" s="5"/>
      <c r="P65" s="7"/>
      <c r="Q65" s="7"/>
      <c r="R65" s="7"/>
    </row>
    <row r="66" spans="1:18" x14ac:dyDescent="0.2">
      <c r="A66" s="5"/>
      <c r="B66" s="5"/>
      <c r="C66" s="5"/>
      <c r="D66" s="5"/>
      <c r="E66" s="5"/>
      <c r="F66" s="5"/>
      <c r="G66" s="6"/>
      <c r="H66" s="7"/>
      <c r="I66" s="7"/>
      <c r="J66" s="7"/>
      <c r="K66" s="7"/>
      <c r="L66" s="7"/>
      <c r="M66" s="7"/>
      <c r="N66" s="5"/>
      <c r="O66" s="5"/>
      <c r="P66" s="7"/>
      <c r="Q66" s="7"/>
      <c r="R66" s="7"/>
    </row>
    <row r="67" spans="1:18" x14ac:dyDescent="0.2">
      <c r="A67" s="5"/>
      <c r="B67" s="5"/>
      <c r="C67" s="5"/>
      <c r="D67" s="5"/>
      <c r="E67" s="5"/>
      <c r="F67" s="5"/>
      <c r="G67" s="6"/>
      <c r="H67" s="7"/>
      <c r="I67" s="7"/>
      <c r="J67" s="7"/>
      <c r="K67" s="7"/>
      <c r="L67" s="7"/>
      <c r="M67" s="7"/>
      <c r="N67" s="5"/>
      <c r="O67" s="5"/>
      <c r="P67" s="7"/>
      <c r="Q67" s="7"/>
      <c r="R67" s="7"/>
    </row>
    <row r="68" spans="1:18" x14ac:dyDescent="0.2">
      <c r="A68" s="5"/>
      <c r="B68" s="5"/>
      <c r="C68" s="5"/>
      <c r="D68" s="5"/>
      <c r="E68" s="5"/>
      <c r="F68" s="5"/>
      <c r="G68" s="6"/>
      <c r="H68" s="7"/>
      <c r="I68" s="7"/>
      <c r="J68" s="7"/>
      <c r="K68" s="7"/>
      <c r="L68" s="7"/>
      <c r="M68" s="7"/>
      <c r="N68" s="5"/>
      <c r="O68" s="5"/>
      <c r="P68" s="7"/>
      <c r="Q68" s="7"/>
      <c r="R68" s="7"/>
    </row>
    <row r="69" spans="1:18" x14ac:dyDescent="0.2">
      <c r="A69" s="5"/>
      <c r="B69" s="5"/>
      <c r="C69" s="5"/>
      <c r="D69" s="5"/>
      <c r="E69" s="5"/>
      <c r="F69" s="5"/>
      <c r="G69" s="6"/>
      <c r="H69" s="7"/>
      <c r="I69" s="7"/>
      <c r="J69" s="7"/>
      <c r="K69" s="7"/>
      <c r="L69" s="7"/>
      <c r="M69" s="7"/>
      <c r="N69" s="5"/>
      <c r="O69" s="5"/>
      <c r="P69" s="7"/>
      <c r="Q69" s="7"/>
      <c r="R69" s="7"/>
    </row>
    <row r="70" spans="1:18" x14ac:dyDescent="0.2">
      <c r="A70" s="5"/>
      <c r="B70" s="5"/>
      <c r="C70" s="5"/>
      <c r="D70" s="5"/>
      <c r="E70" s="5"/>
      <c r="F70" s="5"/>
      <c r="G70" s="6"/>
      <c r="H70" s="7"/>
      <c r="I70" s="7"/>
      <c r="J70" s="7"/>
      <c r="K70" s="7"/>
      <c r="L70" s="7"/>
      <c r="M70" s="7"/>
      <c r="N70" s="5"/>
      <c r="O70" s="5"/>
      <c r="P70" s="7"/>
      <c r="Q70" s="7"/>
      <c r="R70" s="7"/>
    </row>
    <row r="71" spans="1:18" x14ac:dyDescent="0.2">
      <c r="A71" s="5"/>
      <c r="B71" s="5"/>
      <c r="C71" s="5"/>
      <c r="D71" s="5"/>
      <c r="E71" s="5"/>
      <c r="F71" s="5"/>
      <c r="G71" s="6"/>
      <c r="H71" s="7"/>
      <c r="I71" s="7"/>
      <c r="J71" s="7"/>
      <c r="K71" s="7"/>
      <c r="L71" s="7"/>
      <c r="M71" s="7"/>
      <c r="N71" s="5"/>
      <c r="O71" s="5"/>
      <c r="P71" s="7"/>
      <c r="Q71" s="7"/>
      <c r="R71" s="7"/>
    </row>
    <row r="72" spans="1:18" x14ac:dyDescent="0.2">
      <c r="A72" s="5"/>
      <c r="B72" s="5"/>
      <c r="C72" s="5"/>
      <c r="D72" s="5"/>
      <c r="E72" s="5"/>
      <c r="F72" s="5"/>
      <c r="G72" s="6"/>
      <c r="H72" s="7"/>
      <c r="I72" s="7"/>
      <c r="J72" s="7"/>
      <c r="K72" s="7"/>
      <c r="L72" s="7"/>
      <c r="M72" s="7"/>
      <c r="N72" s="5"/>
      <c r="O72" s="5"/>
      <c r="P72" s="7"/>
      <c r="Q72" s="7"/>
      <c r="R72" s="7"/>
    </row>
    <row r="73" spans="1:18" x14ac:dyDescent="0.2">
      <c r="A73" s="5"/>
      <c r="B73" s="5"/>
      <c r="C73" s="5"/>
      <c r="D73" s="5"/>
      <c r="E73" s="5"/>
      <c r="F73" s="5"/>
      <c r="G73" s="6"/>
      <c r="H73" s="7"/>
      <c r="I73" s="7"/>
      <c r="J73" s="7"/>
      <c r="K73" s="7"/>
      <c r="L73" s="7"/>
      <c r="M73" s="7"/>
      <c r="N73" s="5"/>
      <c r="O73" s="5"/>
      <c r="P73" s="7"/>
      <c r="Q73" s="7"/>
      <c r="R73" s="7"/>
    </row>
    <row r="74" spans="1:18" x14ac:dyDescent="0.2">
      <c r="A74" s="5"/>
      <c r="B74" s="5"/>
      <c r="C74" s="5"/>
      <c r="D74" s="5"/>
      <c r="E74" s="5"/>
      <c r="F74" s="5"/>
      <c r="G74" s="6"/>
      <c r="H74" s="7"/>
      <c r="I74" s="7"/>
      <c r="J74" s="7"/>
      <c r="K74" s="7"/>
      <c r="L74" s="7"/>
      <c r="M74" s="7"/>
      <c r="N74" s="5"/>
      <c r="O74" s="5"/>
      <c r="P74" s="7"/>
      <c r="Q74" s="7"/>
      <c r="R74" s="7"/>
    </row>
    <row r="75" spans="1:18" x14ac:dyDescent="0.2">
      <c r="A75" s="5"/>
      <c r="B75" s="5"/>
      <c r="C75" s="5"/>
      <c r="D75" s="5"/>
      <c r="E75" s="5"/>
      <c r="F75" s="5"/>
      <c r="G75" s="6"/>
      <c r="H75" s="7"/>
      <c r="I75" s="7"/>
      <c r="J75" s="7"/>
      <c r="K75" s="7"/>
      <c r="L75" s="7"/>
      <c r="M75" s="7"/>
      <c r="N75" s="5"/>
      <c r="O75" s="5"/>
      <c r="P75" s="7"/>
      <c r="Q75" s="7"/>
      <c r="R75" s="7"/>
    </row>
    <row r="76" spans="1:18" x14ac:dyDescent="0.2">
      <c r="A76" s="5"/>
      <c r="B76" s="5"/>
      <c r="C76" s="5"/>
      <c r="D76" s="5"/>
      <c r="E76" s="5"/>
      <c r="F76" s="5"/>
      <c r="G76" s="6"/>
      <c r="H76" s="7"/>
      <c r="I76" s="7"/>
      <c r="J76" s="7"/>
      <c r="K76" s="7"/>
      <c r="L76" s="7"/>
      <c r="M76" s="7"/>
      <c r="N76" s="5"/>
      <c r="O76" s="5"/>
      <c r="P76" s="7"/>
      <c r="Q76" s="7"/>
      <c r="R76" s="7"/>
    </row>
    <row r="77" spans="1:18" x14ac:dyDescent="0.2">
      <c r="A77" s="5"/>
      <c r="B77" s="5"/>
      <c r="C77" s="5"/>
      <c r="D77" s="5"/>
      <c r="E77" s="5"/>
      <c r="F77" s="5"/>
      <c r="G77" s="6"/>
      <c r="H77" s="7"/>
      <c r="I77" s="7"/>
      <c r="J77" s="7"/>
      <c r="K77" s="7"/>
      <c r="L77" s="7"/>
      <c r="M77" s="7"/>
      <c r="N77" s="5"/>
      <c r="O77" s="5"/>
      <c r="P77" s="7"/>
      <c r="Q77" s="7"/>
      <c r="R77" s="7"/>
    </row>
    <row r="78" spans="1:18" x14ac:dyDescent="0.2">
      <c r="A78" s="5"/>
      <c r="B78" s="5"/>
      <c r="C78" s="5"/>
      <c r="D78" s="5"/>
      <c r="E78" s="5"/>
      <c r="F78" s="5"/>
      <c r="G78" s="6"/>
      <c r="H78" s="7"/>
      <c r="I78" s="7"/>
      <c r="J78" s="7"/>
      <c r="K78" s="7"/>
      <c r="L78" s="7"/>
      <c r="M78" s="7"/>
      <c r="N78" s="5"/>
      <c r="O78" s="5"/>
      <c r="P78" s="7"/>
      <c r="Q78" s="7"/>
      <c r="R78" s="7"/>
    </row>
    <row r="79" spans="1:18" x14ac:dyDescent="0.2">
      <c r="A79" s="5"/>
      <c r="B79" s="5"/>
      <c r="C79" s="5"/>
      <c r="D79" s="5"/>
      <c r="E79" s="5"/>
      <c r="F79" s="5"/>
      <c r="G79" s="6"/>
      <c r="H79" s="7"/>
      <c r="I79" s="7"/>
      <c r="J79" s="7"/>
      <c r="K79" s="7"/>
      <c r="L79" s="7"/>
      <c r="M79" s="7"/>
      <c r="N79" s="5"/>
      <c r="O79" s="5"/>
      <c r="P79" s="7"/>
      <c r="Q79" s="7"/>
      <c r="R79" s="7"/>
    </row>
    <row r="80" spans="1:18" x14ac:dyDescent="0.2">
      <c r="A80" s="5"/>
      <c r="B80" s="5"/>
      <c r="C80" s="5"/>
      <c r="D80" s="5"/>
      <c r="E80" s="5"/>
      <c r="F80" s="5"/>
      <c r="G80" s="6"/>
      <c r="H80" s="7"/>
      <c r="I80" s="7"/>
      <c r="J80" s="7"/>
      <c r="K80" s="7"/>
      <c r="L80" s="7"/>
      <c r="M80" s="7"/>
      <c r="N80" s="5"/>
      <c r="O80" s="5"/>
      <c r="P80" s="7"/>
      <c r="Q80" s="7"/>
      <c r="R80" s="7"/>
    </row>
    <row r="81" spans="1:18" x14ac:dyDescent="0.2">
      <c r="A81" s="5"/>
      <c r="B81" s="5"/>
      <c r="C81" s="5"/>
      <c r="D81" s="5"/>
      <c r="E81" s="5"/>
      <c r="F81" s="5"/>
      <c r="G81" s="6"/>
      <c r="H81" s="7"/>
      <c r="I81" s="7"/>
      <c r="J81" s="7"/>
      <c r="K81" s="7"/>
      <c r="L81" s="7"/>
      <c r="M81" s="7"/>
      <c r="N81" s="5"/>
      <c r="O81" s="5"/>
      <c r="P81" s="7"/>
      <c r="Q81" s="7"/>
      <c r="R81" s="7"/>
    </row>
    <row r="82" spans="1:18" x14ac:dyDescent="0.2">
      <c r="A82" s="5"/>
      <c r="B82" s="5"/>
      <c r="C82" s="5"/>
      <c r="D82" s="5"/>
      <c r="E82" s="5"/>
      <c r="F82" s="5"/>
      <c r="G82" s="6"/>
      <c r="H82" s="7"/>
      <c r="I82" s="7"/>
      <c r="J82" s="7"/>
      <c r="K82" s="7"/>
      <c r="L82" s="7"/>
      <c r="M82" s="7"/>
      <c r="N82" s="5"/>
      <c r="O82" s="5"/>
      <c r="P82" s="7"/>
      <c r="Q82" s="7"/>
      <c r="R82" s="7"/>
    </row>
    <row r="83" spans="1:18" x14ac:dyDescent="0.2">
      <c r="A83" s="5"/>
      <c r="B83" s="5"/>
      <c r="C83" s="5"/>
      <c r="D83" s="5"/>
      <c r="E83" s="5"/>
      <c r="F83" s="5"/>
      <c r="G83" s="6"/>
      <c r="H83" s="7"/>
      <c r="I83" s="7"/>
      <c r="J83" s="7"/>
      <c r="K83" s="7"/>
      <c r="L83" s="7"/>
      <c r="M83" s="7"/>
      <c r="N83" s="5"/>
      <c r="O83" s="5"/>
      <c r="P83" s="7"/>
      <c r="Q83" s="7"/>
      <c r="R83" s="7"/>
    </row>
    <row r="84" spans="1:18" x14ac:dyDescent="0.2">
      <c r="A84" s="5"/>
      <c r="B84" s="5"/>
      <c r="C84" s="5"/>
      <c r="D84" s="5"/>
      <c r="E84" s="5"/>
      <c r="F84" s="5"/>
      <c r="G84" s="6"/>
      <c r="H84" s="7"/>
      <c r="I84" s="7"/>
      <c r="J84" s="7"/>
      <c r="K84" s="7"/>
      <c r="L84" s="7"/>
      <c r="M84" s="7"/>
      <c r="N84" s="5"/>
      <c r="O84" s="5"/>
      <c r="P84" s="7"/>
      <c r="Q84" s="7"/>
      <c r="R84" s="7"/>
    </row>
    <row r="85" spans="1:18" x14ac:dyDescent="0.2">
      <c r="A85" s="5"/>
      <c r="B85" s="5"/>
      <c r="C85" s="5"/>
      <c r="D85" s="5"/>
      <c r="E85" s="5"/>
      <c r="F85" s="5"/>
      <c r="G85" s="6"/>
      <c r="H85" s="7"/>
      <c r="I85" s="7"/>
      <c r="J85" s="7"/>
      <c r="K85" s="7"/>
      <c r="L85" s="7"/>
      <c r="M85" s="7"/>
      <c r="N85" s="5"/>
      <c r="O85" s="5"/>
      <c r="P85" s="7"/>
      <c r="Q85" s="7"/>
      <c r="R85" s="7"/>
    </row>
    <row r="86" spans="1:18" x14ac:dyDescent="0.2">
      <c r="A86" s="5"/>
      <c r="B86" s="5"/>
      <c r="C86" s="5"/>
      <c r="D86" s="5"/>
      <c r="E86" s="5"/>
      <c r="F86" s="5"/>
      <c r="G86" s="6"/>
      <c r="H86" s="7"/>
      <c r="I86" s="7"/>
      <c r="J86" s="7"/>
      <c r="K86" s="7"/>
      <c r="L86" s="7"/>
      <c r="M86" s="7"/>
      <c r="N86" s="5"/>
      <c r="O86" s="5"/>
      <c r="P86" s="7"/>
      <c r="Q86" s="7"/>
      <c r="R86" s="7"/>
    </row>
    <row r="87" spans="1:18" x14ac:dyDescent="0.2">
      <c r="A87" s="5"/>
      <c r="B87" s="5"/>
      <c r="C87" s="5"/>
      <c r="D87" s="5"/>
      <c r="E87" s="5"/>
      <c r="F87" s="5"/>
      <c r="G87" s="6"/>
      <c r="H87" s="7"/>
      <c r="I87" s="7"/>
      <c r="J87" s="7"/>
      <c r="K87" s="7"/>
      <c r="L87" s="7"/>
      <c r="M87" s="7"/>
      <c r="N87" s="5"/>
      <c r="O87" s="5"/>
      <c r="P87" s="7"/>
      <c r="Q87" s="7"/>
      <c r="R87" s="7"/>
    </row>
    <row r="88" spans="1:18" x14ac:dyDescent="0.2">
      <c r="A88" s="5"/>
      <c r="B88" s="5"/>
      <c r="C88" s="5"/>
      <c r="D88" s="5"/>
      <c r="E88" s="5"/>
      <c r="F88" s="5"/>
      <c r="G88" s="6"/>
      <c r="H88" s="7"/>
      <c r="I88" s="7"/>
      <c r="J88" s="7"/>
      <c r="K88" s="7"/>
      <c r="L88" s="7"/>
      <c r="M88" s="7"/>
      <c r="N88" s="5"/>
      <c r="O88" s="5"/>
      <c r="P88" s="7"/>
      <c r="Q88" s="7"/>
      <c r="R88" s="7"/>
    </row>
    <row r="89" spans="1:18" x14ac:dyDescent="0.2">
      <c r="A89" s="5"/>
      <c r="B89" s="5"/>
      <c r="C89" s="5"/>
      <c r="D89" s="5"/>
      <c r="E89" s="5"/>
      <c r="F89" s="5"/>
      <c r="G89" s="6"/>
      <c r="H89" s="7"/>
      <c r="I89" s="7"/>
      <c r="J89" s="7"/>
      <c r="K89" s="7"/>
      <c r="L89" s="7"/>
      <c r="M89" s="7"/>
      <c r="N89" s="5"/>
      <c r="O89" s="5"/>
      <c r="P89" s="7"/>
      <c r="Q89" s="7"/>
      <c r="R89" s="7"/>
    </row>
    <row r="90" spans="1:18" x14ac:dyDescent="0.2">
      <c r="A90" s="5"/>
      <c r="B90" s="5"/>
      <c r="C90" s="5"/>
      <c r="D90" s="5"/>
      <c r="E90" s="5"/>
      <c r="F90" s="5"/>
      <c r="G90" s="6"/>
      <c r="H90" s="7"/>
      <c r="I90" s="7"/>
      <c r="J90" s="7"/>
      <c r="K90" s="7"/>
      <c r="L90" s="7"/>
      <c r="M90" s="7"/>
      <c r="N90" s="5"/>
      <c r="O90" s="5"/>
      <c r="P90" s="7"/>
      <c r="Q90" s="7"/>
      <c r="R90" s="7"/>
    </row>
    <row r="91" spans="1:18" x14ac:dyDescent="0.2">
      <c r="A91" s="5"/>
      <c r="B91" s="5"/>
      <c r="C91" s="5"/>
      <c r="D91" s="5"/>
      <c r="E91" s="5"/>
      <c r="F91" s="5"/>
      <c r="G91" s="6"/>
      <c r="H91" s="7"/>
      <c r="I91" s="7"/>
      <c r="J91" s="7"/>
      <c r="K91" s="7"/>
      <c r="L91" s="7"/>
      <c r="M91" s="7"/>
      <c r="N91" s="5"/>
      <c r="O91" s="5"/>
      <c r="P91" s="7"/>
      <c r="Q91" s="7"/>
      <c r="R91" s="7"/>
    </row>
    <row r="92" spans="1:18" x14ac:dyDescent="0.2">
      <c r="A92" s="5"/>
      <c r="B92" s="5"/>
      <c r="C92" s="5"/>
      <c r="D92" s="5"/>
      <c r="E92" s="5"/>
      <c r="F92" s="5"/>
      <c r="G92" s="6"/>
      <c r="H92" s="7"/>
      <c r="I92" s="7"/>
      <c r="J92" s="7"/>
      <c r="K92" s="7"/>
      <c r="L92" s="7"/>
      <c r="M92" s="7"/>
      <c r="N92" s="5"/>
      <c r="O92" s="5"/>
      <c r="P92" s="7"/>
      <c r="Q92" s="7"/>
      <c r="R92" s="7"/>
    </row>
    <row r="93" spans="1:18" x14ac:dyDescent="0.2">
      <c r="A93" s="5"/>
      <c r="B93" s="5"/>
      <c r="C93" s="5"/>
      <c r="D93" s="5"/>
      <c r="E93" s="5"/>
      <c r="F93" s="5"/>
      <c r="G93" s="6"/>
      <c r="H93" s="7"/>
      <c r="I93" s="7"/>
      <c r="J93" s="7"/>
      <c r="K93" s="7"/>
      <c r="L93" s="7"/>
      <c r="M93" s="7"/>
      <c r="N93" s="5"/>
      <c r="O93" s="5"/>
      <c r="P93" s="7"/>
      <c r="Q93" s="7"/>
      <c r="R93" s="7"/>
    </row>
    <row r="94" spans="1:18" x14ac:dyDescent="0.2">
      <c r="A94" s="5"/>
      <c r="B94" s="5"/>
      <c r="C94" s="5"/>
      <c r="D94" s="5"/>
      <c r="E94" s="5"/>
      <c r="F94" s="5"/>
      <c r="G94" s="6"/>
      <c r="H94" s="7"/>
      <c r="I94" s="7"/>
      <c r="J94" s="7"/>
      <c r="K94" s="7"/>
      <c r="L94" s="7"/>
      <c r="M94" s="7"/>
      <c r="N94" s="5"/>
      <c r="O94" s="5"/>
      <c r="P94" s="7"/>
      <c r="Q94" s="7"/>
      <c r="R94" s="7"/>
    </row>
    <row r="95" spans="1:18" x14ac:dyDescent="0.2">
      <c r="A95" s="5"/>
      <c r="B95" s="5"/>
      <c r="C95" s="5"/>
      <c r="D95" s="5"/>
      <c r="E95" s="5"/>
      <c r="F95" s="5"/>
      <c r="G95" s="6"/>
      <c r="H95" s="7"/>
      <c r="I95" s="7"/>
      <c r="J95" s="7"/>
      <c r="K95" s="7"/>
      <c r="L95" s="7"/>
      <c r="M95" s="7"/>
      <c r="N95" s="5"/>
      <c r="O95" s="5"/>
      <c r="P95" s="7"/>
      <c r="Q95" s="7"/>
      <c r="R95" s="7"/>
    </row>
    <row r="96" spans="1:18" x14ac:dyDescent="0.2">
      <c r="A96" s="5"/>
      <c r="B96" s="5"/>
      <c r="C96" s="5"/>
      <c r="D96" s="5"/>
      <c r="E96" s="5"/>
      <c r="F96" s="5"/>
      <c r="G96" s="6"/>
      <c r="H96" s="7"/>
      <c r="I96" s="7"/>
      <c r="J96" s="7"/>
      <c r="K96" s="7"/>
      <c r="L96" s="7"/>
      <c r="M96" s="7"/>
      <c r="N96" s="5"/>
      <c r="O96" s="5"/>
      <c r="P96" s="7"/>
      <c r="Q96" s="7"/>
      <c r="R96" s="7"/>
    </row>
    <row r="97" spans="1:18" x14ac:dyDescent="0.2">
      <c r="A97" s="5"/>
      <c r="B97" s="5"/>
      <c r="C97" s="5"/>
      <c r="D97" s="5"/>
      <c r="E97" s="5"/>
      <c r="F97" s="5"/>
      <c r="G97" s="6"/>
      <c r="H97" s="7"/>
      <c r="I97" s="7"/>
      <c r="J97" s="7"/>
      <c r="K97" s="7"/>
      <c r="L97" s="7"/>
      <c r="M97" s="7"/>
      <c r="N97" s="5"/>
      <c r="O97" s="5"/>
      <c r="P97" s="7"/>
      <c r="Q97" s="7"/>
      <c r="R97" s="7"/>
    </row>
    <row r="98" spans="1:18" x14ac:dyDescent="0.2">
      <c r="A98" s="5"/>
      <c r="B98" s="5"/>
      <c r="C98" s="5"/>
      <c r="D98" s="5"/>
      <c r="E98" s="5"/>
      <c r="F98" s="5"/>
      <c r="G98" s="6"/>
      <c r="H98" s="7"/>
      <c r="I98" s="7"/>
      <c r="J98" s="7"/>
      <c r="K98" s="7"/>
      <c r="L98" s="7"/>
      <c r="M98" s="7"/>
      <c r="N98" s="5"/>
      <c r="O98" s="5"/>
      <c r="P98" s="7"/>
      <c r="Q98" s="7"/>
      <c r="R98" s="7"/>
    </row>
    <row r="99" spans="1:18" x14ac:dyDescent="0.2">
      <c r="A99" s="5"/>
      <c r="B99" s="5"/>
      <c r="C99" s="5"/>
      <c r="D99" s="5"/>
      <c r="E99" s="5"/>
      <c r="F99" s="5"/>
      <c r="G99" s="6"/>
      <c r="H99" s="7"/>
      <c r="I99" s="7"/>
      <c r="J99" s="7"/>
      <c r="K99" s="7"/>
      <c r="L99" s="7"/>
      <c r="M99" s="7"/>
      <c r="N99" s="5"/>
      <c r="O99" s="5"/>
      <c r="P99" s="7"/>
      <c r="Q99" s="7"/>
      <c r="R99" s="7"/>
    </row>
    <row r="100" spans="1:18" x14ac:dyDescent="0.2">
      <c r="A100" s="5"/>
      <c r="B100" s="5"/>
      <c r="C100" s="5"/>
      <c r="D100" s="5"/>
      <c r="E100" s="5"/>
      <c r="F100" s="5"/>
      <c r="G100" s="6"/>
      <c r="H100" s="7"/>
      <c r="I100" s="7"/>
      <c r="J100" s="7"/>
      <c r="K100" s="7"/>
      <c r="L100" s="7"/>
      <c r="M100" s="7"/>
      <c r="N100" s="5"/>
      <c r="O100" s="5"/>
      <c r="P100" s="7"/>
      <c r="Q100" s="7"/>
      <c r="R100" s="7"/>
    </row>
    <row r="101" spans="1:18" x14ac:dyDescent="0.2">
      <c r="A101" s="5"/>
      <c r="B101" s="5"/>
      <c r="C101" s="5"/>
      <c r="D101" s="5"/>
      <c r="E101" s="5"/>
      <c r="F101" s="5"/>
      <c r="G101" s="6"/>
      <c r="H101" s="7"/>
      <c r="I101" s="7"/>
      <c r="J101" s="7"/>
      <c r="K101" s="7"/>
      <c r="L101" s="7"/>
      <c r="M101" s="7"/>
      <c r="N101" s="5"/>
      <c r="O101" s="5"/>
      <c r="P101" s="7"/>
      <c r="Q101" s="7"/>
      <c r="R101" s="7"/>
    </row>
    <row r="102" spans="1:18" x14ac:dyDescent="0.2">
      <c r="A102" s="5"/>
      <c r="B102" s="5"/>
      <c r="C102" s="5"/>
      <c r="D102" s="5"/>
      <c r="E102" s="5"/>
      <c r="F102" s="5"/>
      <c r="G102" s="6"/>
      <c r="H102" s="7"/>
      <c r="I102" s="7"/>
      <c r="J102" s="7"/>
      <c r="K102" s="7"/>
      <c r="L102" s="7"/>
      <c r="M102" s="7"/>
      <c r="N102" s="5"/>
      <c r="O102" s="5"/>
      <c r="P102" s="7"/>
      <c r="Q102" s="7"/>
      <c r="R102" s="7"/>
    </row>
    <row r="103" spans="1:18" x14ac:dyDescent="0.2">
      <c r="A103" s="5"/>
      <c r="B103" s="5"/>
      <c r="C103" s="5"/>
      <c r="D103" s="5"/>
      <c r="E103" s="5"/>
      <c r="F103" s="5"/>
      <c r="G103" s="6"/>
      <c r="H103" s="7"/>
      <c r="I103" s="7"/>
      <c r="J103" s="7"/>
      <c r="K103" s="7"/>
      <c r="L103" s="7"/>
      <c r="M103" s="7"/>
      <c r="N103" s="5"/>
      <c r="O103" s="5"/>
      <c r="P103" s="7"/>
      <c r="Q103" s="7"/>
      <c r="R103" s="7"/>
    </row>
    <row r="104" spans="1:18" x14ac:dyDescent="0.2">
      <c r="A104" s="5"/>
      <c r="B104" s="5"/>
      <c r="C104" s="5"/>
      <c r="D104" s="5"/>
      <c r="E104" s="5"/>
      <c r="F104" s="5"/>
      <c r="G104" s="6"/>
      <c r="H104" s="7"/>
      <c r="I104" s="7"/>
      <c r="J104" s="7"/>
      <c r="K104" s="7"/>
      <c r="L104" s="7"/>
      <c r="M104" s="7"/>
      <c r="N104" s="5"/>
      <c r="O104" s="5"/>
      <c r="P104" s="7"/>
      <c r="Q104" s="7"/>
      <c r="R104" s="7"/>
    </row>
    <row r="105" spans="1:18" x14ac:dyDescent="0.2">
      <c r="A105" s="5"/>
      <c r="B105" s="5"/>
      <c r="C105" s="5"/>
      <c r="D105" s="5"/>
      <c r="E105" s="5"/>
      <c r="F105" s="5"/>
      <c r="G105" s="6"/>
      <c r="H105" s="7"/>
      <c r="I105" s="7"/>
      <c r="J105" s="7"/>
      <c r="K105" s="7"/>
      <c r="L105" s="7"/>
      <c r="M105" s="7"/>
      <c r="N105" s="5"/>
      <c r="O105" s="5"/>
      <c r="P105" s="7"/>
      <c r="Q105" s="7"/>
      <c r="R105" s="7"/>
    </row>
    <row r="106" spans="1:18" x14ac:dyDescent="0.2">
      <c r="A106" s="5"/>
      <c r="B106" s="5"/>
      <c r="C106" s="5"/>
      <c r="D106" s="5"/>
      <c r="E106" s="5"/>
      <c r="F106" s="5"/>
      <c r="G106" s="6"/>
      <c r="H106" s="7"/>
      <c r="I106" s="7"/>
      <c r="J106" s="7"/>
      <c r="K106" s="7"/>
      <c r="L106" s="7"/>
      <c r="M106" s="7"/>
      <c r="N106" s="5"/>
      <c r="O106" s="5"/>
      <c r="P106" s="7"/>
      <c r="Q106" s="7"/>
      <c r="R106" s="7"/>
    </row>
    <row r="107" spans="1:18" x14ac:dyDescent="0.2">
      <c r="A107" s="5"/>
      <c r="B107" s="5"/>
      <c r="C107" s="5"/>
      <c r="D107" s="5"/>
      <c r="E107" s="5"/>
      <c r="F107" s="5"/>
      <c r="G107" s="6"/>
      <c r="H107" s="7"/>
      <c r="I107" s="7"/>
      <c r="J107" s="7"/>
      <c r="K107" s="7"/>
      <c r="L107" s="7"/>
      <c r="M107" s="7"/>
      <c r="N107" s="5"/>
      <c r="O107" s="5"/>
      <c r="P107" s="7"/>
      <c r="Q107" s="7"/>
      <c r="R107" s="7"/>
    </row>
    <row r="108" spans="1:18" x14ac:dyDescent="0.2">
      <c r="A108" s="5"/>
      <c r="B108" s="5"/>
      <c r="C108" s="5"/>
      <c r="D108" s="5"/>
      <c r="E108" s="5"/>
      <c r="F108" s="5"/>
      <c r="G108" s="6"/>
      <c r="H108" s="7"/>
      <c r="I108" s="7"/>
      <c r="J108" s="7"/>
      <c r="K108" s="7"/>
      <c r="L108" s="7"/>
      <c r="M108" s="7"/>
      <c r="N108" s="5"/>
      <c r="O108" s="5"/>
      <c r="P108" s="7"/>
      <c r="Q108" s="7"/>
      <c r="R108" s="7"/>
    </row>
    <row r="109" spans="1:18" x14ac:dyDescent="0.2">
      <c r="A109" s="5"/>
      <c r="B109" s="5"/>
      <c r="C109" s="5"/>
      <c r="D109" s="5"/>
      <c r="E109" s="5"/>
      <c r="F109" s="5"/>
      <c r="G109" s="6"/>
      <c r="H109" s="7"/>
      <c r="I109" s="7"/>
      <c r="J109" s="7"/>
      <c r="K109" s="7"/>
      <c r="L109" s="7"/>
      <c r="M109" s="7"/>
      <c r="N109" s="5"/>
      <c r="O109" s="5"/>
      <c r="P109" s="7"/>
      <c r="Q109" s="7"/>
      <c r="R109" s="7"/>
    </row>
    <row r="110" spans="1:18" x14ac:dyDescent="0.2">
      <c r="A110" s="5"/>
      <c r="B110" s="5"/>
      <c r="C110" s="5"/>
      <c r="D110" s="5"/>
      <c r="E110" s="5"/>
      <c r="F110" s="5"/>
      <c r="G110" s="6"/>
      <c r="H110" s="7"/>
      <c r="I110" s="7"/>
      <c r="J110" s="7"/>
      <c r="K110" s="7"/>
      <c r="L110" s="7"/>
      <c r="M110" s="7"/>
      <c r="N110" s="5"/>
      <c r="O110" s="5"/>
      <c r="P110" s="7"/>
      <c r="Q110" s="7"/>
      <c r="R110" s="7"/>
    </row>
    <row r="111" spans="1:18" x14ac:dyDescent="0.2">
      <c r="A111" s="5"/>
      <c r="B111" s="5"/>
      <c r="C111" s="5"/>
      <c r="D111" s="5"/>
      <c r="E111" s="5"/>
      <c r="F111" s="5"/>
      <c r="G111" s="6"/>
      <c r="H111" s="7"/>
      <c r="I111" s="7"/>
      <c r="J111" s="7"/>
      <c r="K111" s="7"/>
      <c r="L111" s="7"/>
      <c r="M111" s="7"/>
      <c r="N111" s="5"/>
      <c r="O111" s="5"/>
      <c r="P111" s="7"/>
      <c r="Q111" s="7"/>
      <c r="R111" s="7"/>
    </row>
    <row r="112" spans="1:18" x14ac:dyDescent="0.2">
      <c r="A112" s="5"/>
      <c r="B112" s="5"/>
      <c r="C112" s="5"/>
      <c r="D112" s="5"/>
      <c r="E112" s="5"/>
      <c r="F112" s="5"/>
      <c r="G112" s="6"/>
      <c r="H112" s="7"/>
      <c r="I112" s="7"/>
      <c r="J112" s="7"/>
      <c r="K112" s="7"/>
      <c r="L112" s="7"/>
      <c r="M112" s="7"/>
      <c r="N112" s="5"/>
      <c r="O112" s="5"/>
      <c r="P112" s="7"/>
      <c r="Q112" s="7"/>
      <c r="R112" s="7"/>
    </row>
    <row r="113" spans="1:18" x14ac:dyDescent="0.2">
      <c r="A113" s="5"/>
      <c r="B113" s="5"/>
      <c r="C113" s="5"/>
      <c r="D113" s="5"/>
      <c r="E113" s="5"/>
      <c r="F113" s="5"/>
      <c r="G113" s="6"/>
      <c r="H113" s="7"/>
      <c r="I113" s="7"/>
      <c r="J113" s="7"/>
      <c r="K113" s="7"/>
      <c r="L113" s="7"/>
      <c r="M113" s="7"/>
      <c r="N113" s="5"/>
      <c r="O113" s="5"/>
      <c r="P113" s="7"/>
      <c r="Q113" s="7"/>
      <c r="R113" s="7"/>
    </row>
    <row r="114" spans="1:18" x14ac:dyDescent="0.2">
      <c r="A114" s="5"/>
      <c r="B114" s="5"/>
      <c r="C114" s="5"/>
      <c r="D114" s="5"/>
      <c r="E114" s="5"/>
      <c r="F114" s="5"/>
      <c r="G114" s="6"/>
      <c r="H114" s="7"/>
      <c r="I114" s="7"/>
      <c r="J114" s="7"/>
      <c r="K114" s="7"/>
      <c r="L114" s="7"/>
      <c r="M114" s="7"/>
      <c r="N114" s="5"/>
      <c r="O114" s="5"/>
      <c r="P114" s="7"/>
      <c r="Q114" s="7"/>
      <c r="R114" s="7"/>
    </row>
    <row r="115" spans="1:18" x14ac:dyDescent="0.2">
      <c r="A115" s="5"/>
      <c r="B115" s="5"/>
      <c r="C115" s="5"/>
      <c r="D115" s="5"/>
      <c r="E115" s="5"/>
      <c r="F115" s="5"/>
      <c r="G115" s="6"/>
      <c r="H115" s="7"/>
      <c r="I115" s="7"/>
      <c r="J115" s="7"/>
      <c r="K115" s="7"/>
      <c r="L115" s="7"/>
      <c r="M115" s="7"/>
      <c r="N115" s="5"/>
      <c r="O115" s="5"/>
      <c r="P115" s="7"/>
      <c r="Q115" s="7"/>
      <c r="R115" s="7"/>
    </row>
    <row r="116" spans="1:18" x14ac:dyDescent="0.2">
      <c r="A116" s="5"/>
      <c r="B116" s="5"/>
      <c r="C116" s="5"/>
      <c r="D116" s="5"/>
      <c r="E116" s="5"/>
      <c r="F116" s="5"/>
      <c r="G116" s="6"/>
      <c r="H116" s="7"/>
      <c r="I116" s="7"/>
      <c r="J116" s="7"/>
      <c r="K116" s="7"/>
      <c r="L116" s="7"/>
      <c r="M116" s="7"/>
      <c r="N116" s="5"/>
      <c r="O116" s="5"/>
      <c r="P116" s="7"/>
      <c r="Q116" s="7"/>
      <c r="R116" s="7"/>
    </row>
    <row r="117" spans="1:18" x14ac:dyDescent="0.2">
      <c r="A117" s="5"/>
      <c r="B117" s="5"/>
      <c r="C117" s="5"/>
      <c r="D117" s="5"/>
      <c r="E117" s="5"/>
      <c r="F117" s="5"/>
      <c r="G117" s="6"/>
      <c r="H117" s="7"/>
      <c r="I117" s="7"/>
      <c r="J117" s="7"/>
      <c r="K117" s="7"/>
      <c r="L117" s="7"/>
      <c r="M117" s="7"/>
      <c r="N117" s="5"/>
      <c r="O117" s="5"/>
      <c r="P117" s="7"/>
      <c r="Q117" s="7"/>
      <c r="R117" s="7"/>
    </row>
    <row r="118" spans="1:18" x14ac:dyDescent="0.2">
      <c r="A118" s="5"/>
      <c r="B118" s="5"/>
      <c r="C118" s="5"/>
      <c r="D118" s="5"/>
      <c r="E118" s="5"/>
      <c r="F118" s="5"/>
      <c r="G118" s="6"/>
      <c r="H118" s="7"/>
      <c r="I118" s="7"/>
      <c r="J118" s="7"/>
      <c r="K118" s="7"/>
      <c r="L118" s="7"/>
      <c r="M118" s="7"/>
      <c r="N118" s="5"/>
      <c r="O118" s="5"/>
      <c r="P118" s="7"/>
      <c r="Q118" s="7"/>
      <c r="R118" s="7"/>
    </row>
    <row r="119" spans="1:18" x14ac:dyDescent="0.2">
      <c r="A119" s="5"/>
      <c r="B119" s="5"/>
      <c r="C119" s="5"/>
      <c r="D119" s="5"/>
      <c r="E119" s="5"/>
      <c r="F119" s="5"/>
      <c r="G119" s="6"/>
      <c r="H119" s="7"/>
      <c r="I119" s="7"/>
      <c r="J119" s="7"/>
      <c r="K119" s="7"/>
      <c r="L119" s="7"/>
      <c r="M119" s="7"/>
      <c r="N119" s="5"/>
      <c r="O119" s="5"/>
      <c r="P119" s="7"/>
      <c r="Q119" s="7"/>
      <c r="R119" s="7"/>
    </row>
    <row r="120" spans="1:18" x14ac:dyDescent="0.2">
      <c r="A120" s="5"/>
      <c r="B120" s="5"/>
      <c r="C120" s="5"/>
      <c r="D120" s="5"/>
      <c r="E120" s="5"/>
      <c r="F120" s="5"/>
      <c r="G120" s="6"/>
      <c r="H120" s="7"/>
      <c r="I120" s="7"/>
      <c r="J120" s="7"/>
      <c r="K120" s="7"/>
      <c r="L120" s="7"/>
      <c r="M120" s="7"/>
      <c r="N120" s="5"/>
      <c r="O120" s="5"/>
      <c r="P120" s="7"/>
      <c r="Q120" s="7"/>
      <c r="R120" s="7"/>
    </row>
    <row r="121" spans="1:18" x14ac:dyDescent="0.2">
      <c r="A121" s="5"/>
      <c r="B121" s="5"/>
      <c r="C121" s="5"/>
      <c r="D121" s="5"/>
      <c r="E121" s="5"/>
      <c r="F121" s="5"/>
      <c r="G121" s="6"/>
      <c r="H121" s="7"/>
      <c r="I121" s="7"/>
      <c r="J121" s="7"/>
      <c r="K121" s="7"/>
      <c r="L121" s="7"/>
      <c r="M121" s="7"/>
      <c r="N121" s="5"/>
      <c r="O121" s="5"/>
      <c r="P121" s="7"/>
      <c r="Q121" s="7"/>
      <c r="R121" s="7"/>
    </row>
    <row r="122" spans="1:18" x14ac:dyDescent="0.2">
      <c r="A122" s="5"/>
      <c r="B122" s="5"/>
      <c r="C122" s="5"/>
      <c r="D122" s="5"/>
      <c r="E122" s="5"/>
      <c r="F122" s="5"/>
      <c r="G122" s="6"/>
      <c r="H122" s="7"/>
      <c r="I122" s="7"/>
      <c r="J122" s="7"/>
      <c r="K122" s="7"/>
      <c r="L122" s="7"/>
      <c r="M122" s="7"/>
      <c r="N122" s="5"/>
      <c r="O122" s="5"/>
      <c r="P122" s="7"/>
      <c r="Q122" s="7"/>
      <c r="R122" s="7"/>
    </row>
    <row r="123" spans="1:18" x14ac:dyDescent="0.2">
      <c r="A123" s="5"/>
      <c r="B123" s="5"/>
      <c r="C123" s="5"/>
      <c r="D123" s="5"/>
      <c r="E123" s="5"/>
      <c r="F123" s="5"/>
      <c r="G123" s="6"/>
      <c r="H123" s="7"/>
      <c r="I123" s="7"/>
      <c r="J123" s="7"/>
      <c r="K123" s="7"/>
      <c r="L123" s="7"/>
      <c r="M123" s="7"/>
      <c r="N123" s="5"/>
      <c r="O123" s="5"/>
      <c r="P123" s="7"/>
      <c r="Q123" s="7"/>
      <c r="R123" s="7"/>
    </row>
    <row r="124" spans="1:18" x14ac:dyDescent="0.2">
      <c r="A124" s="5"/>
      <c r="B124" s="5"/>
      <c r="C124" s="5"/>
      <c r="D124" s="5"/>
      <c r="E124" s="5"/>
      <c r="F124" s="5"/>
      <c r="G124" s="6"/>
      <c r="H124" s="7"/>
      <c r="I124" s="7"/>
      <c r="J124" s="7"/>
      <c r="K124" s="7"/>
      <c r="L124" s="7"/>
      <c r="M124" s="7"/>
      <c r="N124" s="5"/>
      <c r="O124" s="5"/>
      <c r="P124" s="7"/>
      <c r="Q124" s="7"/>
      <c r="R124" s="7"/>
    </row>
    <row r="125" spans="1:18" x14ac:dyDescent="0.2">
      <c r="A125" s="5"/>
      <c r="B125" s="5"/>
      <c r="C125" s="5"/>
      <c r="D125" s="5"/>
      <c r="E125" s="5"/>
      <c r="F125" s="5"/>
      <c r="G125" s="6"/>
      <c r="H125" s="7"/>
      <c r="I125" s="7"/>
      <c r="J125" s="7"/>
      <c r="K125" s="7"/>
      <c r="L125" s="7"/>
      <c r="M125" s="7"/>
      <c r="N125" s="5"/>
      <c r="O125" s="5"/>
      <c r="P125" s="7"/>
      <c r="Q125" s="7"/>
      <c r="R125" s="7"/>
    </row>
    <row r="126" spans="1:18" x14ac:dyDescent="0.2">
      <c r="A126" s="5"/>
      <c r="B126" s="5"/>
      <c r="C126" s="5"/>
      <c r="D126" s="5"/>
      <c r="E126" s="5"/>
      <c r="F126" s="5"/>
      <c r="G126" s="6"/>
      <c r="H126" s="7"/>
      <c r="I126" s="7"/>
      <c r="J126" s="7"/>
      <c r="K126" s="7"/>
      <c r="L126" s="7"/>
      <c r="M126" s="7"/>
      <c r="N126" s="5"/>
      <c r="O126" s="5"/>
      <c r="P126" s="7"/>
      <c r="Q126" s="7"/>
      <c r="R126" s="7"/>
    </row>
    <row r="127" spans="1:18" x14ac:dyDescent="0.2">
      <c r="A127" s="5"/>
      <c r="B127" s="5"/>
      <c r="C127" s="5"/>
      <c r="D127" s="5"/>
      <c r="E127" s="5"/>
      <c r="F127" s="5"/>
      <c r="G127" s="6"/>
      <c r="H127" s="7"/>
      <c r="I127" s="7"/>
      <c r="J127" s="7"/>
      <c r="K127" s="7"/>
      <c r="L127" s="7"/>
      <c r="M127" s="7"/>
      <c r="N127" s="5"/>
      <c r="O127" s="5"/>
      <c r="P127" s="7"/>
      <c r="Q127" s="7"/>
      <c r="R127" s="7"/>
    </row>
    <row r="128" spans="1:18" x14ac:dyDescent="0.2">
      <c r="A128" s="5"/>
      <c r="B128" s="5"/>
      <c r="C128" s="5"/>
      <c r="D128" s="5"/>
      <c r="E128" s="5"/>
      <c r="F128" s="5"/>
      <c r="G128" s="6"/>
      <c r="H128" s="7"/>
      <c r="I128" s="7"/>
      <c r="J128" s="7"/>
      <c r="K128" s="7"/>
      <c r="L128" s="7"/>
      <c r="M128" s="7"/>
      <c r="N128" s="5"/>
      <c r="O128" s="5"/>
      <c r="P128" s="7"/>
      <c r="Q128" s="7"/>
      <c r="R128" s="7"/>
    </row>
    <row r="129" spans="1:18" x14ac:dyDescent="0.2">
      <c r="A129" s="5"/>
      <c r="B129" s="5"/>
      <c r="C129" s="5"/>
      <c r="D129" s="5"/>
      <c r="E129" s="5"/>
      <c r="F129" s="5"/>
      <c r="G129" s="6"/>
      <c r="H129" s="7"/>
      <c r="I129" s="7"/>
      <c r="J129" s="7"/>
      <c r="K129" s="7"/>
      <c r="L129" s="7"/>
      <c r="M129" s="7"/>
      <c r="N129" s="5"/>
      <c r="O129" s="5"/>
      <c r="P129" s="7"/>
      <c r="Q129" s="7"/>
      <c r="R129" s="7"/>
    </row>
    <row r="130" spans="1:18" x14ac:dyDescent="0.2">
      <c r="A130" s="5"/>
      <c r="B130" s="5"/>
      <c r="C130" s="5"/>
      <c r="D130" s="5"/>
      <c r="E130" s="5"/>
      <c r="F130" s="5"/>
      <c r="G130" s="6"/>
      <c r="H130" s="7"/>
      <c r="I130" s="7"/>
      <c r="J130" s="7"/>
      <c r="K130" s="7"/>
      <c r="L130" s="7"/>
      <c r="M130" s="7"/>
      <c r="N130" s="5"/>
      <c r="O130" s="5"/>
      <c r="P130" s="7"/>
      <c r="Q130" s="7"/>
      <c r="R130" s="7"/>
    </row>
    <row r="131" spans="1:18" x14ac:dyDescent="0.2">
      <c r="A131" s="5"/>
      <c r="B131" s="5"/>
      <c r="C131" s="5"/>
      <c r="D131" s="5"/>
      <c r="E131" s="5"/>
      <c r="F131" s="5"/>
      <c r="G131" s="6"/>
      <c r="H131" s="7"/>
      <c r="I131" s="7"/>
      <c r="J131" s="7"/>
      <c r="K131" s="7"/>
      <c r="L131" s="7"/>
      <c r="M131" s="7"/>
      <c r="N131" s="5"/>
      <c r="O131" s="5"/>
      <c r="P131" s="7"/>
      <c r="Q131" s="7"/>
      <c r="R131" s="7"/>
    </row>
    <row r="132" spans="1:18" x14ac:dyDescent="0.2">
      <c r="A132" s="5"/>
      <c r="B132" s="5"/>
      <c r="C132" s="5"/>
      <c r="D132" s="5"/>
      <c r="E132" s="5"/>
      <c r="F132" s="5"/>
      <c r="G132" s="6"/>
      <c r="H132" s="7"/>
      <c r="I132" s="7"/>
      <c r="J132" s="7"/>
      <c r="K132" s="7"/>
      <c r="L132" s="7"/>
      <c r="M132" s="7"/>
      <c r="N132" s="5"/>
      <c r="O132" s="5"/>
      <c r="P132" s="7"/>
      <c r="Q132" s="7"/>
      <c r="R132" s="7"/>
    </row>
    <row r="133" spans="1:18" x14ac:dyDescent="0.2">
      <c r="A133" s="5"/>
      <c r="B133" s="5"/>
      <c r="C133" s="5"/>
      <c r="D133" s="5"/>
      <c r="E133" s="5"/>
      <c r="F133" s="5"/>
      <c r="G133" s="6"/>
      <c r="H133" s="7"/>
      <c r="I133" s="7"/>
      <c r="J133" s="7"/>
      <c r="K133" s="7"/>
      <c r="L133" s="7"/>
      <c r="M133" s="7"/>
      <c r="N133" s="5"/>
      <c r="O133" s="5"/>
      <c r="P133" s="7"/>
      <c r="Q133" s="7"/>
      <c r="R133" s="7"/>
    </row>
    <row r="134" spans="1:18" x14ac:dyDescent="0.2">
      <c r="A134" s="5"/>
      <c r="B134" s="5"/>
      <c r="C134" s="5"/>
      <c r="D134" s="5"/>
      <c r="E134" s="5"/>
      <c r="F134" s="5"/>
      <c r="G134" s="6"/>
      <c r="H134" s="7"/>
      <c r="I134" s="7"/>
      <c r="J134" s="7"/>
      <c r="K134" s="7"/>
      <c r="L134" s="7"/>
      <c r="M134" s="7"/>
      <c r="N134" s="5"/>
      <c r="O134" s="5"/>
      <c r="P134" s="7"/>
      <c r="Q134" s="7"/>
      <c r="R134" s="7"/>
    </row>
    <row r="135" spans="1:18" x14ac:dyDescent="0.2">
      <c r="A135" s="5"/>
      <c r="B135" s="5"/>
      <c r="C135" s="5"/>
      <c r="D135" s="5"/>
      <c r="E135" s="5"/>
      <c r="F135" s="5"/>
      <c r="G135" s="6"/>
      <c r="H135" s="7"/>
      <c r="I135" s="7"/>
      <c r="J135" s="7"/>
      <c r="K135" s="7"/>
      <c r="L135" s="7"/>
      <c r="M135" s="7"/>
      <c r="N135" s="5"/>
      <c r="O135" s="5"/>
      <c r="P135" s="7"/>
      <c r="Q135" s="7"/>
      <c r="R135" s="7"/>
    </row>
    <row r="136" spans="1:18" x14ac:dyDescent="0.2">
      <c r="A136" s="5"/>
      <c r="B136" s="5"/>
      <c r="C136" s="5"/>
      <c r="D136" s="5"/>
      <c r="E136" s="5"/>
      <c r="F136" s="5"/>
      <c r="G136" s="6"/>
      <c r="H136" s="7"/>
      <c r="I136" s="7"/>
      <c r="J136" s="7"/>
      <c r="K136" s="7"/>
      <c r="L136" s="7"/>
      <c r="M136" s="7"/>
      <c r="N136" s="5"/>
      <c r="O136" s="5"/>
      <c r="P136" s="7"/>
      <c r="Q136" s="7"/>
      <c r="R136" s="7"/>
    </row>
    <row r="137" spans="1:18" x14ac:dyDescent="0.2">
      <c r="A137" s="5"/>
      <c r="B137" s="5"/>
      <c r="C137" s="5"/>
      <c r="D137" s="5"/>
      <c r="E137" s="5"/>
      <c r="F137" s="5"/>
      <c r="G137" s="6"/>
      <c r="H137" s="7"/>
      <c r="I137" s="7"/>
      <c r="J137" s="7"/>
      <c r="K137" s="7"/>
      <c r="L137" s="7"/>
      <c r="M137" s="7"/>
      <c r="N137" s="5"/>
      <c r="O137" s="5"/>
      <c r="P137" s="7"/>
      <c r="Q137" s="7"/>
      <c r="R137" s="7"/>
    </row>
    <row r="138" spans="1:18" x14ac:dyDescent="0.2">
      <c r="A138" s="5"/>
      <c r="B138" s="5"/>
      <c r="C138" s="5"/>
      <c r="D138" s="5"/>
      <c r="E138" s="5"/>
      <c r="F138" s="5"/>
      <c r="G138" s="6"/>
      <c r="H138" s="7"/>
      <c r="I138" s="7"/>
      <c r="J138" s="7"/>
      <c r="K138" s="7"/>
      <c r="L138" s="7"/>
      <c r="M138" s="7"/>
      <c r="N138" s="5"/>
      <c r="O138" s="5"/>
      <c r="P138" s="7"/>
      <c r="Q138" s="7"/>
      <c r="R138" s="7"/>
    </row>
    <row r="139" spans="1:18" x14ac:dyDescent="0.2">
      <c r="A139" s="5"/>
      <c r="B139" s="5"/>
      <c r="C139" s="5"/>
      <c r="D139" s="5"/>
      <c r="E139" s="5"/>
      <c r="F139" s="5"/>
      <c r="G139" s="6"/>
      <c r="H139" s="7"/>
      <c r="I139" s="7"/>
      <c r="J139" s="7"/>
      <c r="K139" s="7"/>
      <c r="L139" s="7"/>
      <c r="M139" s="7"/>
      <c r="N139" s="5"/>
      <c r="O139" s="5"/>
      <c r="P139" s="7"/>
      <c r="Q139" s="7"/>
      <c r="R139" s="7"/>
    </row>
    <row r="140" spans="1:18" x14ac:dyDescent="0.2">
      <c r="A140" s="5"/>
      <c r="B140" s="5"/>
      <c r="C140" s="5"/>
      <c r="D140" s="5"/>
      <c r="E140" s="5"/>
      <c r="F140" s="5"/>
      <c r="G140" s="6"/>
      <c r="H140" s="7"/>
      <c r="I140" s="7"/>
      <c r="J140" s="7"/>
      <c r="K140" s="7"/>
      <c r="L140" s="7"/>
      <c r="M140" s="7"/>
      <c r="N140" s="5"/>
      <c r="O140" s="5"/>
      <c r="P140" s="7"/>
      <c r="Q140" s="7"/>
      <c r="R140" s="7"/>
    </row>
    <row r="141" spans="1:18" x14ac:dyDescent="0.2">
      <c r="A141" s="5"/>
      <c r="B141" s="5"/>
      <c r="C141" s="5"/>
      <c r="D141" s="5"/>
      <c r="E141" s="5"/>
      <c r="F141" s="5"/>
      <c r="G141" s="6"/>
      <c r="H141" s="7"/>
      <c r="I141" s="7"/>
      <c r="J141" s="7"/>
      <c r="K141" s="7"/>
      <c r="L141" s="7"/>
      <c r="M141" s="7"/>
      <c r="N141" s="5"/>
      <c r="O141" s="5"/>
      <c r="P141" s="7"/>
      <c r="Q141" s="7"/>
      <c r="R141" s="7"/>
    </row>
    <row r="142" spans="1:18" x14ac:dyDescent="0.2">
      <c r="A142" s="5"/>
      <c r="B142" s="5"/>
      <c r="C142" s="5"/>
      <c r="D142" s="5"/>
      <c r="E142" s="5"/>
      <c r="F142" s="5"/>
      <c r="G142" s="6"/>
      <c r="H142" s="7"/>
      <c r="I142" s="7"/>
      <c r="J142" s="7"/>
      <c r="K142" s="7"/>
      <c r="L142" s="7"/>
      <c r="M142" s="7"/>
      <c r="N142" s="5"/>
      <c r="O142" s="5"/>
      <c r="P142" s="7"/>
      <c r="Q142" s="7"/>
      <c r="R142" s="7"/>
    </row>
    <row r="143" spans="1:18" x14ac:dyDescent="0.2">
      <c r="A143" s="5"/>
      <c r="B143" s="5"/>
      <c r="C143" s="5"/>
      <c r="D143" s="5"/>
      <c r="E143" s="5"/>
      <c r="F143" s="5"/>
      <c r="G143" s="6"/>
      <c r="H143" s="7"/>
      <c r="I143" s="7"/>
      <c r="J143" s="7"/>
      <c r="K143" s="7"/>
      <c r="L143" s="7"/>
      <c r="M143" s="7"/>
      <c r="N143" s="5"/>
      <c r="O143" s="5"/>
      <c r="P143" s="7"/>
      <c r="Q143" s="7"/>
      <c r="R143" s="7"/>
    </row>
    <row r="144" spans="1:18" x14ac:dyDescent="0.2">
      <c r="A144" s="5"/>
      <c r="B144" s="5"/>
      <c r="C144" s="5"/>
      <c r="D144" s="5"/>
      <c r="E144" s="5"/>
      <c r="F144" s="5"/>
      <c r="G144" s="6"/>
      <c r="H144" s="7"/>
      <c r="I144" s="7"/>
      <c r="J144" s="7"/>
      <c r="K144" s="7"/>
      <c r="L144" s="7"/>
      <c r="M144" s="7"/>
      <c r="N144" s="5"/>
      <c r="O144" s="5"/>
      <c r="P144" s="7"/>
      <c r="Q144" s="7"/>
      <c r="R144" s="7"/>
    </row>
    <row r="145" spans="1:18" x14ac:dyDescent="0.2">
      <c r="A145" s="5"/>
      <c r="B145" s="5"/>
      <c r="C145" s="5"/>
      <c r="D145" s="5"/>
      <c r="E145" s="5"/>
      <c r="F145" s="5"/>
      <c r="G145" s="6"/>
      <c r="H145" s="7"/>
      <c r="I145" s="7"/>
      <c r="J145" s="7"/>
      <c r="K145" s="7"/>
      <c r="L145" s="7"/>
      <c r="M145" s="7"/>
      <c r="N145" s="5"/>
      <c r="O145" s="5"/>
      <c r="P145" s="7"/>
      <c r="Q145" s="7"/>
      <c r="R145" s="7"/>
    </row>
    <row r="146" spans="1:18" x14ac:dyDescent="0.2">
      <c r="A146" s="5"/>
      <c r="B146" s="5"/>
      <c r="C146" s="5"/>
      <c r="D146" s="5"/>
      <c r="E146" s="5"/>
      <c r="F146" s="5"/>
      <c r="G146" s="6"/>
      <c r="H146" s="7"/>
      <c r="I146" s="7"/>
      <c r="J146" s="7"/>
      <c r="K146" s="7"/>
      <c r="L146" s="7"/>
      <c r="M146" s="7"/>
      <c r="N146" s="5"/>
      <c r="O146" s="5"/>
      <c r="P146" s="7"/>
      <c r="Q146" s="7"/>
      <c r="R146" s="7"/>
    </row>
    <row r="147" spans="1:18" x14ac:dyDescent="0.2">
      <c r="A147" s="5"/>
      <c r="B147" s="5"/>
      <c r="C147" s="5"/>
      <c r="D147" s="5"/>
      <c r="E147" s="5"/>
      <c r="F147" s="5"/>
      <c r="G147" s="6"/>
      <c r="H147" s="7"/>
      <c r="I147" s="7"/>
      <c r="J147" s="7"/>
      <c r="K147" s="7"/>
      <c r="L147" s="7"/>
      <c r="M147" s="7"/>
      <c r="N147" s="5"/>
      <c r="O147" s="5"/>
      <c r="P147" s="7"/>
      <c r="Q147" s="7"/>
      <c r="R147" s="7"/>
    </row>
    <row r="148" spans="1:18" x14ac:dyDescent="0.2">
      <c r="A148" s="5"/>
      <c r="B148" s="5"/>
      <c r="C148" s="5"/>
      <c r="D148" s="5"/>
      <c r="E148" s="5"/>
      <c r="F148" s="5"/>
      <c r="G148" s="6"/>
      <c r="H148" s="7"/>
      <c r="I148" s="7"/>
      <c r="J148" s="7"/>
      <c r="K148" s="7"/>
      <c r="L148" s="7"/>
      <c r="M148" s="7"/>
      <c r="N148" s="5"/>
      <c r="O148" s="5"/>
      <c r="P148" s="7"/>
      <c r="Q148" s="7"/>
      <c r="R148" s="7"/>
    </row>
    <row r="149" spans="1:18" x14ac:dyDescent="0.2">
      <c r="A149" s="5"/>
      <c r="B149" s="5"/>
      <c r="C149" s="5"/>
      <c r="D149" s="5"/>
      <c r="E149" s="5"/>
      <c r="F149" s="5"/>
      <c r="G149" s="6"/>
      <c r="H149" s="7"/>
      <c r="I149" s="7"/>
      <c r="J149" s="7"/>
      <c r="K149" s="7"/>
      <c r="L149" s="7"/>
      <c r="M149" s="7"/>
      <c r="N149" s="5"/>
      <c r="O149" s="5"/>
      <c r="P149" s="7"/>
      <c r="Q149" s="7"/>
      <c r="R149" s="7"/>
    </row>
    <row r="150" spans="1:18" x14ac:dyDescent="0.2">
      <c r="A150" s="5"/>
      <c r="B150" s="5"/>
      <c r="C150" s="5"/>
      <c r="D150" s="5"/>
      <c r="E150" s="5"/>
      <c r="F150" s="5"/>
      <c r="G150" s="6"/>
      <c r="H150" s="7"/>
      <c r="I150" s="7"/>
      <c r="J150" s="7"/>
      <c r="K150" s="7"/>
      <c r="L150" s="7"/>
      <c r="M150" s="7"/>
      <c r="N150" s="5"/>
      <c r="O150" s="5"/>
      <c r="P150" s="7"/>
      <c r="Q150" s="7"/>
      <c r="R150" s="7"/>
    </row>
    <row r="151" spans="1:18" x14ac:dyDescent="0.2">
      <c r="A151" s="5"/>
      <c r="B151" s="5"/>
      <c r="C151" s="5"/>
      <c r="D151" s="5"/>
      <c r="E151" s="5"/>
      <c r="F151" s="5"/>
      <c r="G151" s="6"/>
      <c r="H151" s="7"/>
      <c r="I151" s="7"/>
      <c r="J151" s="7"/>
      <c r="K151" s="7"/>
      <c r="L151" s="7"/>
      <c r="M151" s="7"/>
      <c r="N151" s="5"/>
      <c r="O151" s="5"/>
      <c r="P151" s="7"/>
      <c r="Q151" s="7"/>
      <c r="R151" s="7"/>
    </row>
    <row r="152" spans="1:18" x14ac:dyDescent="0.2">
      <c r="A152" s="5"/>
      <c r="B152" s="5"/>
      <c r="C152" s="5"/>
      <c r="D152" s="5"/>
      <c r="E152" s="5"/>
      <c r="F152" s="5"/>
      <c r="G152" s="6"/>
      <c r="H152" s="7"/>
      <c r="I152" s="7"/>
      <c r="J152" s="7"/>
      <c r="K152" s="7"/>
      <c r="L152" s="7"/>
      <c r="M152" s="7"/>
      <c r="N152" s="5"/>
      <c r="O152" s="5"/>
      <c r="P152" s="7"/>
      <c r="Q152" s="7"/>
      <c r="R152" s="7"/>
    </row>
    <row r="153" spans="1:18" x14ac:dyDescent="0.2">
      <c r="A153" s="5"/>
      <c r="B153" s="5"/>
      <c r="C153" s="5"/>
      <c r="D153" s="5"/>
      <c r="E153" s="5"/>
      <c r="F153" s="5"/>
      <c r="G153" s="6"/>
      <c r="H153" s="7"/>
      <c r="I153" s="7"/>
      <c r="J153" s="7"/>
      <c r="K153" s="7"/>
      <c r="L153" s="7"/>
      <c r="M153" s="7"/>
      <c r="N153" s="5"/>
      <c r="O153" s="5"/>
      <c r="P153" s="7"/>
      <c r="Q153" s="7"/>
      <c r="R153" s="7"/>
    </row>
    <row r="154" spans="1:18" x14ac:dyDescent="0.2">
      <c r="A154" s="5"/>
      <c r="B154" s="5"/>
      <c r="C154" s="5"/>
      <c r="D154" s="5"/>
      <c r="E154" s="5"/>
      <c r="F154" s="5"/>
      <c r="G154" s="6"/>
      <c r="H154" s="7"/>
      <c r="I154" s="7"/>
      <c r="J154" s="7"/>
      <c r="K154" s="7"/>
      <c r="L154" s="7"/>
      <c r="M154" s="7"/>
      <c r="N154" s="5"/>
      <c r="O154" s="5"/>
      <c r="P154" s="7"/>
      <c r="Q154" s="7"/>
      <c r="R154" s="7"/>
    </row>
    <row r="155" spans="1:18" x14ac:dyDescent="0.2">
      <c r="A155" s="5"/>
      <c r="B155" s="5"/>
      <c r="C155" s="5"/>
      <c r="D155" s="5"/>
      <c r="E155" s="5"/>
      <c r="F155" s="5"/>
      <c r="G155" s="6"/>
      <c r="H155" s="7"/>
      <c r="I155" s="7"/>
      <c r="J155" s="7"/>
      <c r="K155" s="7"/>
      <c r="L155" s="7"/>
      <c r="M155" s="7"/>
      <c r="N155" s="5"/>
      <c r="O155" s="5"/>
      <c r="P155" s="7"/>
      <c r="Q155" s="7"/>
      <c r="R155" s="7"/>
    </row>
    <row r="156" spans="1:18" x14ac:dyDescent="0.2">
      <c r="A156" s="5"/>
      <c r="B156" s="5"/>
      <c r="C156" s="5"/>
      <c r="D156" s="5"/>
      <c r="E156" s="5"/>
      <c r="F156" s="5"/>
      <c r="G156" s="6"/>
      <c r="H156" s="7"/>
      <c r="I156" s="7"/>
      <c r="J156" s="7"/>
      <c r="K156" s="7"/>
      <c r="L156" s="7"/>
      <c r="M156" s="7"/>
      <c r="N156" s="5"/>
      <c r="O156" s="5"/>
      <c r="P156" s="7"/>
      <c r="Q156" s="7"/>
      <c r="R156" s="7"/>
    </row>
    <row r="157" spans="1:18" x14ac:dyDescent="0.2">
      <c r="A157" s="5"/>
      <c r="B157" s="5"/>
      <c r="C157" s="5"/>
      <c r="D157" s="5"/>
      <c r="E157" s="5"/>
      <c r="F157" s="5"/>
      <c r="G157" s="6"/>
      <c r="H157" s="7"/>
      <c r="I157" s="7"/>
      <c r="J157" s="7"/>
      <c r="K157" s="7"/>
      <c r="L157" s="7"/>
      <c r="M157" s="7"/>
      <c r="N157" s="5"/>
      <c r="O157" s="5"/>
      <c r="P157" s="7"/>
      <c r="Q157" s="7"/>
      <c r="R157" s="7"/>
    </row>
    <row r="158" spans="1:18" x14ac:dyDescent="0.2">
      <c r="A158" s="5"/>
      <c r="B158" s="5"/>
      <c r="C158" s="5"/>
      <c r="D158" s="5"/>
      <c r="E158" s="5"/>
      <c r="F158" s="5"/>
      <c r="G158" s="6"/>
      <c r="H158" s="7"/>
      <c r="I158" s="7"/>
      <c r="J158" s="7"/>
      <c r="K158" s="7"/>
      <c r="L158" s="7"/>
      <c r="M158" s="7"/>
      <c r="N158" s="5"/>
      <c r="O158" s="5"/>
      <c r="P158" s="7"/>
      <c r="Q158" s="7"/>
      <c r="R158" s="7"/>
    </row>
    <row r="159" spans="1:18" x14ac:dyDescent="0.2">
      <c r="A159" s="5"/>
      <c r="B159" s="5"/>
      <c r="C159" s="5"/>
      <c r="D159" s="5"/>
      <c r="E159" s="5"/>
      <c r="F159" s="5"/>
      <c r="G159" s="6"/>
      <c r="H159" s="7"/>
      <c r="I159" s="7"/>
      <c r="J159" s="7"/>
      <c r="K159" s="7"/>
      <c r="L159" s="7"/>
      <c r="M159" s="7"/>
      <c r="N159" s="5"/>
      <c r="O159" s="5"/>
      <c r="P159" s="7"/>
      <c r="Q159" s="7"/>
      <c r="R159" s="7"/>
    </row>
    <row r="160" spans="1:18" x14ac:dyDescent="0.2">
      <c r="A160" s="5"/>
      <c r="B160" s="5"/>
      <c r="C160" s="5"/>
      <c r="D160" s="5"/>
      <c r="E160" s="5"/>
      <c r="F160" s="5"/>
      <c r="G160" s="6"/>
      <c r="H160" s="7"/>
      <c r="I160" s="7"/>
      <c r="J160" s="7"/>
      <c r="K160" s="7"/>
      <c r="L160" s="7"/>
      <c r="M160" s="7"/>
      <c r="N160" s="5"/>
      <c r="O160" s="5"/>
      <c r="P160" s="7"/>
      <c r="Q160" s="7"/>
      <c r="R160" s="7"/>
    </row>
    <row r="161" spans="1:18" x14ac:dyDescent="0.2">
      <c r="A161" s="5"/>
      <c r="B161" s="5"/>
      <c r="C161" s="5"/>
      <c r="D161" s="5"/>
      <c r="E161" s="5"/>
      <c r="F161" s="5"/>
      <c r="G161" s="6"/>
      <c r="H161" s="7"/>
      <c r="I161" s="7"/>
      <c r="J161" s="7"/>
      <c r="K161" s="7"/>
      <c r="L161" s="7"/>
      <c r="M161" s="7"/>
      <c r="N161" s="5"/>
      <c r="O161" s="5"/>
      <c r="P161" s="7"/>
      <c r="Q161" s="7"/>
      <c r="R161" s="7"/>
    </row>
    <row r="162" spans="1:18" x14ac:dyDescent="0.2">
      <c r="A162" s="5"/>
      <c r="B162" s="5"/>
      <c r="C162" s="5"/>
      <c r="D162" s="5"/>
      <c r="E162" s="5"/>
      <c r="F162" s="5"/>
      <c r="G162" s="6"/>
      <c r="H162" s="7"/>
      <c r="I162" s="7"/>
      <c r="J162" s="7"/>
      <c r="K162" s="7"/>
      <c r="L162" s="7"/>
      <c r="M162" s="7"/>
      <c r="N162" s="5"/>
      <c r="O162" s="5"/>
      <c r="P162" s="7"/>
      <c r="Q162" s="7"/>
      <c r="R162" s="7"/>
    </row>
    <row r="163" spans="1:18" x14ac:dyDescent="0.2">
      <c r="A163" s="5"/>
      <c r="B163" s="5"/>
      <c r="C163" s="5"/>
      <c r="D163" s="5"/>
      <c r="E163" s="5"/>
      <c r="F163" s="5"/>
      <c r="G163" s="6"/>
      <c r="H163" s="7"/>
      <c r="I163" s="7"/>
      <c r="J163" s="7"/>
      <c r="K163" s="7"/>
      <c r="L163" s="7"/>
      <c r="M163" s="7"/>
      <c r="N163" s="5"/>
      <c r="O163" s="5"/>
      <c r="P163" s="7"/>
      <c r="Q163" s="7"/>
      <c r="R163" s="7"/>
    </row>
    <row r="164" spans="1:18" x14ac:dyDescent="0.2">
      <c r="A164" s="5"/>
      <c r="B164" s="5"/>
      <c r="C164" s="5"/>
      <c r="D164" s="5"/>
      <c r="E164" s="5"/>
      <c r="F164" s="5"/>
      <c r="G164" s="6"/>
      <c r="H164" s="7"/>
      <c r="I164" s="7"/>
      <c r="J164" s="7"/>
      <c r="K164" s="7"/>
      <c r="L164" s="7"/>
      <c r="M164" s="7"/>
      <c r="N164" s="5"/>
      <c r="O164" s="5"/>
      <c r="P164" s="7"/>
      <c r="Q164" s="7"/>
      <c r="R164" s="7"/>
    </row>
    <row r="165" spans="1:18" x14ac:dyDescent="0.2">
      <c r="A165" s="5"/>
      <c r="B165" s="5"/>
      <c r="C165" s="5"/>
      <c r="D165" s="5"/>
      <c r="E165" s="5"/>
      <c r="F165" s="5"/>
      <c r="G165" s="6"/>
      <c r="H165" s="7"/>
      <c r="I165" s="7"/>
      <c r="J165" s="7"/>
      <c r="K165" s="7"/>
      <c r="L165" s="7"/>
      <c r="M165" s="7"/>
      <c r="N165" s="5"/>
      <c r="O165" s="5"/>
      <c r="P165" s="7"/>
      <c r="Q165" s="7"/>
      <c r="R165" s="7"/>
    </row>
    <row r="166" spans="1:18" x14ac:dyDescent="0.2">
      <c r="A166" s="5"/>
      <c r="B166" s="5"/>
      <c r="C166" s="5"/>
      <c r="D166" s="5"/>
      <c r="E166" s="5"/>
      <c r="F166" s="5"/>
      <c r="G166" s="6"/>
      <c r="H166" s="7"/>
      <c r="I166" s="7"/>
      <c r="J166" s="7"/>
      <c r="K166" s="7"/>
      <c r="L166" s="7"/>
      <c r="M166" s="7"/>
      <c r="N166" s="5"/>
      <c r="O166" s="5"/>
      <c r="P166" s="7"/>
      <c r="Q166" s="7"/>
      <c r="R166" s="7"/>
    </row>
    <row r="167" spans="1:18" x14ac:dyDescent="0.2">
      <c r="A167" s="5"/>
      <c r="B167" s="5"/>
      <c r="C167" s="5"/>
      <c r="D167" s="5"/>
      <c r="E167" s="5"/>
      <c r="F167" s="5"/>
      <c r="G167" s="6"/>
      <c r="H167" s="7"/>
      <c r="I167" s="7"/>
      <c r="J167" s="7"/>
      <c r="K167" s="7"/>
      <c r="L167" s="7"/>
      <c r="M167" s="7"/>
      <c r="N167" s="5"/>
      <c r="O167" s="5"/>
      <c r="P167" s="7"/>
      <c r="Q167" s="7"/>
      <c r="R167" s="7"/>
    </row>
    <row r="168" spans="1:18" x14ac:dyDescent="0.2">
      <c r="A168" s="5"/>
      <c r="B168" s="5"/>
      <c r="C168" s="5"/>
      <c r="D168" s="5"/>
      <c r="E168" s="5"/>
      <c r="F168" s="5"/>
      <c r="G168" s="6"/>
      <c r="H168" s="7"/>
      <c r="I168" s="7"/>
      <c r="J168" s="7"/>
      <c r="K168" s="7"/>
      <c r="L168" s="7"/>
      <c r="M168" s="7"/>
      <c r="N168" s="5"/>
      <c r="O168" s="5"/>
      <c r="P168" s="7"/>
      <c r="Q168" s="7"/>
      <c r="R168" s="7"/>
    </row>
    <row r="169" spans="1:18" x14ac:dyDescent="0.2">
      <c r="A169" s="5"/>
      <c r="B169" s="5"/>
      <c r="C169" s="5"/>
      <c r="D169" s="5"/>
      <c r="E169" s="5"/>
      <c r="F169" s="5"/>
      <c r="G169" s="6"/>
      <c r="H169" s="7"/>
      <c r="I169" s="7"/>
      <c r="J169" s="7"/>
      <c r="K169" s="7"/>
      <c r="L169" s="7"/>
      <c r="M169" s="7"/>
      <c r="N169" s="5"/>
      <c r="O169" s="5"/>
      <c r="P169" s="7"/>
      <c r="Q169" s="7"/>
      <c r="R169" s="7"/>
    </row>
    <row r="170" spans="1:18" x14ac:dyDescent="0.2">
      <c r="A170" s="5"/>
      <c r="B170" s="5"/>
      <c r="C170" s="5"/>
      <c r="D170" s="5"/>
      <c r="E170" s="5"/>
      <c r="F170" s="5"/>
      <c r="G170" s="6"/>
      <c r="H170" s="7"/>
      <c r="I170" s="7"/>
      <c r="J170" s="7"/>
      <c r="K170" s="7"/>
      <c r="L170" s="7"/>
      <c r="M170" s="7"/>
      <c r="N170" s="5"/>
      <c r="O170" s="5"/>
      <c r="P170" s="7"/>
      <c r="Q170" s="7"/>
      <c r="R170" s="7"/>
    </row>
    <row r="171" spans="1:18" x14ac:dyDescent="0.2">
      <c r="A171" s="5"/>
      <c r="B171" s="5"/>
      <c r="C171" s="5"/>
      <c r="D171" s="5"/>
      <c r="E171" s="5"/>
      <c r="F171" s="5"/>
      <c r="G171" s="6"/>
      <c r="H171" s="7"/>
      <c r="I171" s="7"/>
      <c r="J171" s="7"/>
      <c r="K171" s="7"/>
      <c r="L171" s="7"/>
      <c r="M171" s="7"/>
      <c r="N171" s="5"/>
      <c r="O171" s="5"/>
      <c r="P171" s="7"/>
      <c r="Q171" s="7"/>
      <c r="R171" s="7"/>
    </row>
    <row r="172" spans="1:18" x14ac:dyDescent="0.2">
      <c r="A172" s="5"/>
      <c r="B172" s="5"/>
      <c r="C172" s="5"/>
      <c r="D172" s="5"/>
      <c r="E172" s="5"/>
      <c r="F172" s="5"/>
      <c r="G172" s="6"/>
      <c r="H172" s="7"/>
      <c r="I172" s="7"/>
      <c r="J172" s="7"/>
      <c r="K172" s="7"/>
      <c r="L172" s="7"/>
      <c r="M172" s="7"/>
      <c r="N172" s="5"/>
      <c r="O172" s="5"/>
      <c r="P172" s="7"/>
      <c r="Q172" s="7"/>
      <c r="R172" s="7"/>
    </row>
    <row r="173" spans="1:18" x14ac:dyDescent="0.2">
      <c r="A173" s="5"/>
      <c r="B173" s="5"/>
      <c r="C173" s="5"/>
      <c r="D173" s="5"/>
      <c r="E173" s="5"/>
      <c r="F173" s="5"/>
      <c r="G173" s="6"/>
      <c r="H173" s="7"/>
      <c r="I173" s="7"/>
      <c r="J173" s="7"/>
      <c r="K173" s="7"/>
      <c r="L173" s="7"/>
      <c r="M173" s="7"/>
      <c r="N173" s="5"/>
      <c r="O173" s="5"/>
      <c r="P173" s="7"/>
      <c r="Q173" s="7"/>
      <c r="R173" s="7"/>
    </row>
    <row r="174" spans="1:18" x14ac:dyDescent="0.2">
      <c r="A174" s="5"/>
      <c r="B174" s="5"/>
      <c r="C174" s="5"/>
      <c r="D174" s="5"/>
      <c r="E174" s="5"/>
      <c r="F174" s="5"/>
      <c r="G174" s="6"/>
      <c r="H174" s="7"/>
      <c r="I174" s="7"/>
      <c r="J174" s="7"/>
      <c r="K174" s="7"/>
      <c r="L174" s="7"/>
      <c r="M174" s="7"/>
      <c r="N174" s="5"/>
      <c r="O174" s="5"/>
      <c r="P174" s="7"/>
      <c r="Q174" s="7"/>
      <c r="R174" s="7"/>
    </row>
    <row r="175" spans="1:18" x14ac:dyDescent="0.2">
      <c r="A175" s="5"/>
      <c r="B175" s="5"/>
      <c r="C175" s="5"/>
      <c r="D175" s="5"/>
      <c r="E175" s="5"/>
      <c r="F175" s="5"/>
      <c r="G175" s="6"/>
      <c r="H175" s="7"/>
      <c r="I175" s="7"/>
      <c r="J175" s="7"/>
      <c r="K175" s="7"/>
      <c r="L175" s="7"/>
      <c r="M175" s="7"/>
      <c r="N175" s="5"/>
      <c r="O175" s="5"/>
      <c r="P175" s="7"/>
      <c r="Q175" s="7"/>
      <c r="R175" s="7"/>
    </row>
    <row r="176" spans="1:18" x14ac:dyDescent="0.2">
      <c r="A176" s="5"/>
      <c r="B176" s="5"/>
      <c r="C176" s="5"/>
      <c r="D176" s="5"/>
      <c r="E176" s="5"/>
      <c r="F176" s="5"/>
      <c r="G176" s="6"/>
      <c r="H176" s="7"/>
      <c r="I176" s="7"/>
      <c r="J176" s="7"/>
      <c r="K176" s="7"/>
      <c r="L176" s="7"/>
      <c r="M176" s="7"/>
      <c r="N176" s="5"/>
      <c r="O176" s="5"/>
      <c r="P176" s="7"/>
      <c r="Q176" s="7"/>
      <c r="R176" s="7"/>
    </row>
    <row r="177" spans="1:18" x14ac:dyDescent="0.2">
      <c r="A177" s="5"/>
      <c r="B177" s="5"/>
      <c r="C177" s="5"/>
      <c r="D177" s="5"/>
      <c r="E177" s="5"/>
      <c r="F177" s="5"/>
      <c r="G177" s="6"/>
      <c r="H177" s="7"/>
      <c r="I177" s="7"/>
      <c r="J177" s="7"/>
      <c r="K177" s="7"/>
      <c r="L177" s="7"/>
      <c r="M177" s="7"/>
      <c r="N177" s="5"/>
      <c r="O177" s="5"/>
      <c r="P177" s="7"/>
      <c r="Q177" s="7"/>
      <c r="R177" s="7"/>
    </row>
    <row r="178" spans="1:18" x14ac:dyDescent="0.2">
      <c r="A178" s="5"/>
      <c r="B178" s="5"/>
      <c r="C178" s="5"/>
      <c r="D178" s="5"/>
      <c r="E178" s="5"/>
      <c r="F178" s="5"/>
      <c r="G178" s="6"/>
      <c r="H178" s="7"/>
      <c r="I178" s="7"/>
      <c r="J178" s="7"/>
      <c r="K178" s="7"/>
      <c r="L178" s="7"/>
      <c r="M178" s="7"/>
      <c r="N178" s="5"/>
      <c r="O178" s="5"/>
      <c r="P178" s="7"/>
      <c r="Q178" s="7"/>
      <c r="R178" s="7"/>
    </row>
    <row r="179" spans="1:18" x14ac:dyDescent="0.2">
      <c r="A179" s="5"/>
      <c r="B179" s="5"/>
      <c r="C179" s="5"/>
      <c r="D179" s="5"/>
      <c r="E179" s="5"/>
      <c r="F179" s="5"/>
      <c r="G179" s="6"/>
      <c r="H179" s="7"/>
      <c r="I179" s="7"/>
      <c r="J179" s="7"/>
      <c r="K179" s="7"/>
      <c r="L179" s="7"/>
      <c r="M179" s="7"/>
      <c r="N179" s="5"/>
      <c r="O179" s="5"/>
      <c r="P179" s="7"/>
      <c r="Q179" s="7"/>
      <c r="R179" s="7"/>
    </row>
    <row r="180" spans="1:18" x14ac:dyDescent="0.2">
      <c r="A180" s="5"/>
      <c r="B180" s="5"/>
      <c r="C180" s="5"/>
      <c r="D180" s="5"/>
      <c r="E180" s="5"/>
      <c r="F180" s="5"/>
      <c r="G180" s="6"/>
      <c r="H180" s="7"/>
      <c r="I180" s="7"/>
      <c r="J180" s="7"/>
      <c r="K180" s="7"/>
      <c r="L180" s="7"/>
      <c r="M180" s="7"/>
      <c r="N180" s="5"/>
      <c r="O180" s="5"/>
      <c r="P180" s="7"/>
      <c r="Q180" s="7"/>
      <c r="R180" s="7"/>
    </row>
    <row r="181" spans="1:18" x14ac:dyDescent="0.2">
      <c r="A181" s="5"/>
      <c r="B181" s="5"/>
      <c r="C181" s="5"/>
      <c r="D181" s="5"/>
      <c r="E181" s="5"/>
      <c r="F181" s="5"/>
      <c r="G181" s="6"/>
      <c r="H181" s="7"/>
      <c r="I181" s="7"/>
      <c r="J181" s="7"/>
      <c r="K181" s="7"/>
      <c r="L181" s="7"/>
      <c r="M181" s="7"/>
      <c r="N181" s="5"/>
      <c r="O181" s="5"/>
      <c r="P181" s="7"/>
      <c r="Q181" s="7"/>
      <c r="R181" s="7"/>
    </row>
    <row r="182" spans="1:18" x14ac:dyDescent="0.2">
      <c r="A182" s="5"/>
      <c r="B182" s="5"/>
      <c r="C182" s="5"/>
      <c r="D182" s="5"/>
      <c r="E182" s="5"/>
      <c r="F182" s="5"/>
      <c r="G182" s="6"/>
      <c r="H182" s="7"/>
      <c r="I182" s="7"/>
      <c r="J182" s="7"/>
      <c r="K182" s="7"/>
      <c r="L182" s="7"/>
      <c r="M182" s="7"/>
      <c r="N182" s="5"/>
      <c r="O182" s="5"/>
      <c r="P182" s="7"/>
      <c r="Q182" s="7"/>
      <c r="R182" s="7"/>
    </row>
    <row r="183" spans="1:18" x14ac:dyDescent="0.2">
      <c r="A183" s="5"/>
      <c r="B183" s="5"/>
      <c r="C183" s="5"/>
      <c r="D183" s="5"/>
      <c r="E183" s="5"/>
      <c r="F183" s="5"/>
      <c r="G183" s="6"/>
      <c r="H183" s="7"/>
      <c r="I183" s="7"/>
      <c r="J183" s="7"/>
      <c r="K183" s="7"/>
      <c r="L183" s="7"/>
      <c r="M183" s="7"/>
      <c r="N183" s="5"/>
      <c r="O183" s="5"/>
      <c r="P183" s="7"/>
      <c r="Q183" s="7"/>
      <c r="R183" s="7"/>
    </row>
    <row r="184" spans="1:18" x14ac:dyDescent="0.2">
      <c r="A184" s="5"/>
      <c r="B184" s="5"/>
      <c r="C184" s="5"/>
      <c r="D184" s="5"/>
      <c r="E184" s="5"/>
      <c r="F184" s="5"/>
      <c r="G184" s="6"/>
      <c r="H184" s="7"/>
      <c r="I184" s="7"/>
      <c r="J184" s="7"/>
      <c r="K184" s="7"/>
      <c r="L184" s="7"/>
      <c r="M184" s="7"/>
      <c r="N184" s="5"/>
      <c r="O184" s="5"/>
      <c r="P184" s="7"/>
      <c r="Q184" s="7"/>
      <c r="R184" s="7"/>
    </row>
    <row r="185" spans="1:18" x14ac:dyDescent="0.2">
      <c r="A185" s="5"/>
      <c r="B185" s="5"/>
      <c r="C185" s="5"/>
      <c r="D185" s="5"/>
      <c r="E185" s="5"/>
      <c r="F185" s="5"/>
      <c r="G185" s="6"/>
      <c r="H185" s="7"/>
      <c r="I185" s="7"/>
      <c r="J185" s="7"/>
      <c r="K185" s="7"/>
      <c r="L185" s="7"/>
      <c r="M185" s="7"/>
      <c r="N185" s="5"/>
      <c r="O185" s="5"/>
      <c r="P185" s="7"/>
      <c r="Q185" s="7"/>
      <c r="R185" s="7"/>
    </row>
    <row r="186" spans="1:18" x14ac:dyDescent="0.2">
      <c r="A186" s="5"/>
      <c r="B186" s="5"/>
      <c r="C186" s="5"/>
      <c r="D186" s="5"/>
      <c r="E186" s="5"/>
      <c r="F186" s="5"/>
      <c r="G186" s="6"/>
      <c r="H186" s="7"/>
      <c r="I186" s="7"/>
      <c r="J186" s="7"/>
      <c r="K186" s="7"/>
      <c r="L186" s="7"/>
      <c r="M186" s="7"/>
      <c r="N186" s="5"/>
      <c r="O186" s="5"/>
      <c r="P186" s="7"/>
      <c r="Q186" s="7"/>
      <c r="R186" s="7"/>
    </row>
    <row r="187" spans="1:18" x14ac:dyDescent="0.2">
      <c r="A187" s="5"/>
      <c r="B187" s="5"/>
      <c r="C187" s="5"/>
      <c r="D187" s="5"/>
      <c r="E187" s="5"/>
      <c r="F187" s="5"/>
      <c r="G187" s="6"/>
      <c r="H187" s="7"/>
      <c r="I187" s="7"/>
      <c r="J187" s="7"/>
      <c r="K187" s="7"/>
      <c r="L187" s="7"/>
      <c r="M187" s="7"/>
      <c r="N187" s="5"/>
      <c r="O187" s="5"/>
      <c r="P187" s="7"/>
      <c r="Q187" s="7"/>
      <c r="R187" s="7"/>
    </row>
    <row r="188" spans="1:18" x14ac:dyDescent="0.2">
      <c r="A188" s="5"/>
      <c r="B188" s="5"/>
      <c r="C188" s="5"/>
      <c r="D188" s="5"/>
      <c r="E188" s="5"/>
      <c r="F188" s="5"/>
      <c r="G188" s="6"/>
      <c r="H188" s="7"/>
      <c r="I188" s="7"/>
      <c r="J188" s="7"/>
      <c r="K188" s="7"/>
      <c r="L188" s="7"/>
      <c r="M188" s="7"/>
      <c r="N188" s="5"/>
      <c r="O188" s="5"/>
      <c r="P188" s="7"/>
      <c r="Q188" s="7"/>
      <c r="R188" s="7"/>
    </row>
    <row r="189" spans="1:18" x14ac:dyDescent="0.2">
      <c r="A189" s="5"/>
      <c r="B189" s="5"/>
      <c r="C189" s="5"/>
      <c r="D189" s="5"/>
      <c r="E189" s="5"/>
      <c r="F189" s="5"/>
      <c r="G189" s="6"/>
      <c r="H189" s="7"/>
      <c r="I189" s="7"/>
      <c r="J189" s="7"/>
      <c r="K189" s="7"/>
      <c r="L189" s="7"/>
      <c r="M189" s="7"/>
      <c r="N189" s="5"/>
      <c r="O189" s="5"/>
      <c r="P189" s="7"/>
      <c r="Q189" s="7"/>
      <c r="R189" s="7"/>
    </row>
    <row r="190" spans="1:18" x14ac:dyDescent="0.2">
      <c r="A190" s="5"/>
      <c r="B190" s="5"/>
      <c r="C190" s="5"/>
      <c r="D190" s="5"/>
      <c r="E190" s="5"/>
      <c r="F190" s="5"/>
      <c r="G190" s="6"/>
      <c r="H190" s="7"/>
      <c r="I190" s="7"/>
      <c r="J190" s="7"/>
      <c r="K190" s="7"/>
      <c r="L190" s="7"/>
      <c r="M190" s="7"/>
      <c r="N190" s="5"/>
      <c r="O190" s="5"/>
      <c r="P190" s="7"/>
      <c r="Q190" s="7"/>
      <c r="R190" s="7"/>
    </row>
    <row r="191" spans="1:18" x14ac:dyDescent="0.2">
      <c r="A191" s="5"/>
      <c r="B191" s="5"/>
      <c r="C191" s="5"/>
      <c r="D191" s="5"/>
      <c r="E191" s="5"/>
      <c r="F191" s="5"/>
      <c r="G191" s="6"/>
      <c r="H191" s="7"/>
      <c r="I191" s="7"/>
      <c r="J191" s="7"/>
      <c r="K191" s="7"/>
      <c r="L191" s="7"/>
      <c r="M191" s="7"/>
      <c r="N191" s="5"/>
      <c r="O191" s="5"/>
      <c r="P191" s="7"/>
      <c r="Q191" s="7"/>
      <c r="R191" s="7"/>
    </row>
    <row r="192" spans="1:18" x14ac:dyDescent="0.2">
      <c r="A192" s="5"/>
      <c r="B192" s="5"/>
      <c r="C192" s="5"/>
      <c r="D192" s="5"/>
      <c r="E192" s="5"/>
      <c r="F192" s="5"/>
      <c r="G192" s="6"/>
      <c r="H192" s="7"/>
      <c r="I192" s="7"/>
      <c r="J192" s="7"/>
      <c r="K192" s="7"/>
      <c r="L192" s="7"/>
      <c r="M192" s="7"/>
      <c r="N192" s="5"/>
      <c r="O192" s="5"/>
      <c r="P192" s="7"/>
      <c r="Q192" s="7"/>
      <c r="R192" s="7"/>
    </row>
    <row r="193" spans="1:18" x14ac:dyDescent="0.2">
      <c r="A193" s="5"/>
      <c r="B193" s="5"/>
      <c r="C193" s="5"/>
      <c r="D193" s="5"/>
      <c r="E193" s="5"/>
      <c r="F193" s="5"/>
      <c r="G193" s="6"/>
      <c r="H193" s="7"/>
      <c r="I193" s="7"/>
      <c r="J193" s="7"/>
      <c r="K193" s="7"/>
      <c r="L193" s="7"/>
      <c r="M193" s="7"/>
      <c r="N193" s="5"/>
      <c r="O193" s="5"/>
      <c r="P193" s="7"/>
      <c r="Q193" s="7"/>
      <c r="R193" s="7"/>
    </row>
    <row r="194" spans="1:18" x14ac:dyDescent="0.2">
      <c r="A194" s="5"/>
      <c r="B194" s="5"/>
      <c r="C194" s="5"/>
      <c r="D194" s="5"/>
      <c r="E194" s="5"/>
      <c r="F194" s="5"/>
      <c r="G194" s="6"/>
      <c r="H194" s="7"/>
      <c r="I194" s="7"/>
      <c r="J194" s="7"/>
      <c r="K194" s="7"/>
      <c r="L194" s="7"/>
      <c r="M194" s="7"/>
      <c r="N194" s="5"/>
      <c r="O194" s="5"/>
      <c r="P194" s="7"/>
      <c r="Q194" s="7"/>
      <c r="R194" s="7"/>
    </row>
    <row r="195" spans="1:18" x14ac:dyDescent="0.2">
      <c r="A195" s="5"/>
      <c r="B195" s="5"/>
      <c r="C195" s="5"/>
      <c r="D195" s="5"/>
      <c r="E195" s="5"/>
      <c r="F195" s="5"/>
      <c r="G195" s="6"/>
      <c r="H195" s="7"/>
      <c r="I195" s="7"/>
      <c r="J195" s="7"/>
      <c r="K195" s="7"/>
      <c r="L195" s="7"/>
      <c r="M195" s="7"/>
      <c r="N195" s="5"/>
      <c r="O195" s="5"/>
      <c r="P195" s="7"/>
      <c r="Q195" s="7"/>
      <c r="R195" s="7"/>
    </row>
    <row r="196" spans="1:18" x14ac:dyDescent="0.2">
      <c r="A196" s="5"/>
      <c r="B196" s="5"/>
      <c r="C196" s="5"/>
      <c r="D196" s="5"/>
      <c r="E196" s="5"/>
      <c r="F196" s="5"/>
      <c r="G196" s="6"/>
      <c r="H196" s="7"/>
      <c r="I196" s="7"/>
      <c r="J196" s="7"/>
      <c r="K196" s="7"/>
      <c r="L196" s="7"/>
      <c r="M196" s="7"/>
      <c r="N196" s="5"/>
      <c r="O196" s="5"/>
      <c r="P196" s="7"/>
      <c r="Q196" s="7"/>
      <c r="R196" s="7"/>
    </row>
    <row r="197" spans="1:18" x14ac:dyDescent="0.2">
      <c r="A197" s="5"/>
      <c r="B197" s="5"/>
      <c r="C197" s="5"/>
      <c r="D197" s="5"/>
      <c r="E197" s="5"/>
      <c r="F197" s="5"/>
      <c r="G197" s="6"/>
      <c r="H197" s="7"/>
      <c r="I197" s="7"/>
      <c r="J197" s="7"/>
      <c r="K197" s="7"/>
      <c r="L197" s="7"/>
      <c r="M197" s="7"/>
      <c r="N197" s="5"/>
      <c r="O197" s="5"/>
      <c r="P197" s="7"/>
      <c r="Q197" s="7"/>
      <c r="R197" s="7"/>
    </row>
    <row r="198" spans="1:18" x14ac:dyDescent="0.2">
      <c r="A198" s="5"/>
      <c r="B198" s="5"/>
      <c r="C198" s="5"/>
      <c r="D198" s="5"/>
      <c r="E198" s="5"/>
      <c r="F198" s="5"/>
      <c r="G198" s="6"/>
      <c r="H198" s="7"/>
      <c r="I198" s="7"/>
      <c r="J198" s="7"/>
      <c r="K198" s="7"/>
      <c r="L198" s="7"/>
      <c r="M198" s="7"/>
      <c r="N198" s="5"/>
      <c r="O198" s="5"/>
      <c r="P198" s="7"/>
      <c r="Q198" s="7"/>
      <c r="R198" s="7"/>
    </row>
    <row r="199" spans="1:18" x14ac:dyDescent="0.2">
      <c r="A199" s="5"/>
      <c r="B199" s="5"/>
      <c r="C199" s="5"/>
      <c r="D199" s="5"/>
      <c r="E199" s="5"/>
      <c r="F199" s="5"/>
      <c r="G199" s="6"/>
      <c r="H199" s="7"/>
      <c r="I199" s="7"/>
      <c r="J199" s="7"/>
      <c r="K199" s="7"/>
      <c r="L199" s="7"/>
      <c r="M199" s="7"/>
      <c r="N199" s="5"/>
      <c r="O199" s="5"/>
      <c r="P199" s="7"/>
      <c r="Q199" s="7"/>
      <c r="R199" s="7"/>
    </row>
    <row r="200" spans="1:18" x14ac:dyDescent="0.2">
      <c r="A200" s="5"/>
      <c r="B200" s="5"/>
      <c r="C200" s="5"/>
      <c r="D200" s="5"/>
      <c r="E200" s="5"/>
      <c r="F200" s="5"/>
      <c r="G200" s="6"/>
      <c r="H200" s="7"/>
      <c r="I200" s="7"/>
      <c r="J200" s="7"/>
      <c r="K200" s="7"/>
      <c r="L200" s="7"/>
      <c r="M200" s="7"/>
      <c r="N200" s="5"/>
      <c r="O200" s="5"/>
      <c r="P200" s="7"/>
      <c r="Q200" s="7"/>
      <c r="R200" s="7"/>
    </row>
    <row r="201" spans="1:18" x14ac:dyDescent="0.2">
      <c r="A201" s="5"/>
      <c r="B201" s="5"/>
      <c r="C201" s="5"/>
      <c r="D201" s="5"/>
      <c r="E201" s="5"/>
      <c r="F201" s="5"/>
      <c r="G201" s="6"/>
      <c r="H201" s="7"/>
      <c r="I201" s="7"/>
      <c r="J201" s="7"/>
      <c r="K201" s="7"/>
      <c r="L201" s="7"/>
      <c r="M201" s="7"/>
      <c r="N201" s="5"/>
      <c r="O201" s="5"/>
      <c r="P201" s="7"/>
      <c r="Q201" s="7"/>
      <c r="R201" s="7"/>
    </row>
    <row r="202" spans="1:18" x14ac:dyDescent="0.2">
      <c r="A202" s="5"/>
      <c r="B202" s="5"/>
      <c r="C202" s="5"/>
      <c r="D202" s="5"/>
      <c r="E202" s="5"/>
      <c r="F202" s="5"/>
      <c r="G202" s="6"/>
      <c r="H202" s="7"/>
      <c r="I202" s="7"/>
      <c r="J202" s="7"/>
      <c r="K202" s="7"/>
      <c r="L202" s="7"/>
      <c r="M202" s="7"/>
      <c r="N202" s="5"/>
      <c r="O202" s="5"/>
      <c r="P202" s="7"/>
      <c r="Q202" s="7"/>
      <c r="R202" s="7"/>
    </row>
    <row r="203" spans="1:18" x14ac:dyDescent="0.2">
      <c r="A203" s="5"/>
      <c r="B203" s="5"/>
      <c r="C203" s="5"/>
      <c r="D203" s="5"/>
      <c r="E203" s="5"/>
      <c r="F203" s="5"/>
      <c r="G203" s="6"/>
      <c r="H203" s="7"/>
      <c r="I203" s="7"/>
      <c r="J203" s="7"/>
      <c r="K203" s="7"/>
      <c r="L203" s="7"/>
      <c r="M203" s="7"/>
      <c r="N203" s="5"/>
      <c r="O203" s="5"/>
      <c r="P203" s="7"/>
      <c r="Q203" s="7"/>
      <c r="R203" s="7"/>
    </row>
    <row r="204" spans="1:18" x14ac:dyDescent="0.2">
      <c r="A204" s="5"/>
      <c r="B204" s="5"/>
      <c r="C204" s="5"/>
      <c r="D204" s="5"/>
      <c r="E204" s="5"/>
      <c r="F204" s="5"/>
      <c r="G204" s="6"/>
      <c r="H204" s="7"/>
      <c r="I204" s="7"/>
      <c r="J204" s="7"/>
      <c r="K204" s="7"/>
      <c r="L204" s="7"/>
      <c r="M204" s="7"/>
      <c r="N204" s="5"/>
      <c r="O204" s="5"/>
      <c r="P204" s="7"/>
      <c r="Q204" s="7"/>
      <c r="R204" s="7"/>
    </row>
    <row r="205" spans="1:18" x14ac:dyDescent="0.2">
      <c r="A205" s="5"/>
      <c r="B205" s="5"/>
      <c r="C205" s="5"/>
      <c r="D205" s="5"/>
      <c r="E205" s="5"/>
      <c r="F205" s="5"/>
      <c r="G205" s="6"/>
      <c r="H205" s="7"/>
      <c r="I205" s="7"/>
      <c r="J205" s="7"/>
      <c r="K205" s="7"/>
      <c r="L205" s="7"/>
      <c r="M205" s="7"/>
      <c r="N205" s="5"/>
      <c r="O205" s="5"/>
      <c r="P205" s="7"/>
      <c r="Q205" s="7"/>
      <c r="R205" s="7"/>
    </row>
    <row r="206" spans="1:18" x14ac:dyDescent="0.2">
      <c r="A206" s="5"/>
      <c r="B206" s="5"/>
      <c r="C206" s="5"/>
      <c r="D206" s="5"/>
      <c r="E206" s="5"/>
      <c r="F206" s="5"/>
      <c r="G206" s="6"/>
      <c r="H206" s="7"/>
      <c r="I206" s="7"/>
      <c r="J206" s="7"/>
      <c r="K206" s="7"/>
      <c r="L206" s="7"/>
      <c r="M206" s="7"/>
      <c r="N206" s="5"/>
      <c r="O206" s="5"/>
      <c r="P206" s="7"/>
      <c r="Q206" s="7"/>
      <c r="R206" s="7"/>
    </row>
    <row r="207" spans="1:18" x14ac:dyDescent="0.2">
      <c r="A207" s="5"/>
      <c r="B207" s="5"/>
      <c r="C207" s="5"/>
      <c r="D207" s="5"/>
      <c r="E207" s="5"/>
      <c r="F207" s="5"/>
      <c r="G207" s="6"/>
      <c r="H207" s="7"/>
      <c r="I207" s="7"/>
      <c r="J207" s="7"/>
      <c r="K207" s="7"/>
      <c r="L207" s="7"/>
      <c r="M207" s="7"/>
      <c r="N207" s="5"/>
      <c r="O207" s="5"/>
      <c r="P207" s="7"/>
      <c r="Q207" s="7"/>
      <c r="R207" s="7"/>
    </row>
    <row r="208" spans="1:18" x14ac:dyDescent="0.2">
      <c r="A208" s="5"/>
      <c r="B208" s="5"/>
      <c r="C208" s="5"/>
      <c r="D208" s="5"/>
      <c r="E208" s="5"/>
      <c r="F208" s="5"/>
      <c r="G208" s="6"/>
      <c r="H208" s="7"/>
      <c r="I208" s="7"/>
      <c r="J208" s="7"/>
      <c r="K208" s="7"/>
      <c r="L208" s="7"/>
      <c r="M208" s="7"/>
      <c r="N208" s="5"/>
      <c r="O208" s="5"/>
      <c r="P208" s="7"/>
      <c r="Q208" s="7"/>
      <c r="R208" s="7"/>
    </row>
    <row r="209" spans="1:18" x14ac:dyDescent="0.2">
      <c r="A209" s="5"/>
      <c r="B209" s="5"/>
      <c r="C209" s="5"/>
      <c r="D209" s="5"/>
      <c r="E209" s="5"/>
      <c r="F209" s="5"/>
      <c r="G209" s="6"/>
      <c r="H209" s="7"/>
      <c r="I209" s="7"/>
      <c r="J209" s="7"/>
      <c r="K209" s="7"/>
      <c r="L209" s="7"/>
      <c r="M209" s="7"/>
      <c r="N209" s="5"/>
      <c r="O209" s="5"/>
      <c r="P209" s="7"/>
      <c r="Q209" s="7"/>
      <c r="R209" s="7"/>
    </row>
    <row r="210" spans="1:18" x14ac:dyDescent="0.2">
      <c r="A210" s="5"/>
      <c r="B210" s="5"/>
      <c r="C210" s="5"/>
      <c r="D210" s="5"/>
      <c r="E210" s="5"/>
      <c r="F210" s="5"/>
      <c r="G210" s="6"/>
      <c r="H210" s="7"/>
      <c r="I210" s="7"/>
      <c r="J210" s="7"/>
      <c r="K210" s="7"/>
      <c r="L210" s="7"/>
      <c r="M210" s="7"/>
      <c r="N210" s="5"/>
      <c r="O210" s="5"/>
      <c r="P210" s="7"/>
      <c r="Q210" s="7"/>
      <c r="R210" s="7"/>
    </row>
    <row r="211" spans="1:18" x14ac:dyDescent="0.2">
      <c r="A211" s="5"/>
      <c r="B211" s="5"/>
      <c r="C211" s="5"/>
      <c r="D211" s="5"/>
      <c r="E211" s="5"/>
      <c r="F211" s="5"/>
      <c r="G211" s="6"/>
      <c r="H211" s="7"/>
      <c r="I211" s="7"/>
      <c r="J211" s="7"/>
      <c r="K211" s="7"/>
      <c r="L211" s="7"/>
      <c r="M211" s="7"/>
      <c r="N211" s="5"/>
      <c r="O211" s="5"/>
      <c r="P211" s="7"/>
      <c r="Q211" s="7"/>
      <c r="R211" s="7"/>
    </row>
    <row r="212" spans="1:18" x14ac:dyDescent="0.2">
      <c r="A212" s="5"/>
      <c r="B212" s="5"/>
      <c r="C212" s="5"/>
      <c r="D212" s="5"/>
      <c r="E212" s="5"/>
      <c r="F212" s="5"/>
      <c r="G212" s="6"/>
      <c r="H212" s="7"/>
      <c r="I212" s="7"/>
      <c r="J212" s="7"/>
      <c r="K212" s="7"/>
      <c r="L212" s="7"/>
      <c r="M212" s="7"/>
      <c r="N212" s="5"/>
      <c r="O212" s="5"/>
      <c r="P212" s="7"/>
      <c r="Q212" s="7"/>
      <c r="R212" s="7"/>
    </row>
    <row r="213" spans="1:18" x14ac:dyDescent="0.2">
      <c r="A213" s="5"/>
      <c r="B213" s="5"/>
      <c r="C213" s="5"/>
      <c r="D213" s="5"/>
      <c r="E213" s="5"/>
      <c r="F213" s="5"/>
      <c r="G213" s="6"/>
      <c r="H213" s="7"/>
      <c r="I213" s="7"/>
      <c r="J213" s="7"/>
      <c r="K213" s="7"/>
      <c r="L213" s="7"/>
      <c r="M213" s="7"/>
      <c r="N213" s="5"/>
      <c r="O213" s="5"/>
      <c r="P213" s="7"/>
      <c r="Q213" s="7"/>
      <c r="R213" s="7"/>
    </row>
    <row r="214" spans="1:18" x14ac:dyDescent="0.2">
      <c r="A214" s="5"/>
      <c r="B214" s="5"/>
      <c r="C214" s="5"/>
      <c r="D214" s="5"/>
      <c r="E214" s="5"/>
      <c r="F214" s="5"/>
      <c r="G214" s="6"/>
      <c r="H214" s="7"/>
      <c r="I214" s="7"/>
      <c r="J214" s="7"/>
      <c r="K214" s="7"/>
      <c r="L214" s="7"/>
      <c r="M214" s="7"/>
      <c r="N214" s="5"/>
      <c r="O214" s="5"/>
      <c r="P214" s="7"/>
      <c r="Q214" s="7"/>
      <c r="R214" s="7"/>
    </row>
    <row r="215" spans="1:18" x14ac:dyDescent="0.2">
      <c r="A215" s="5"/>
      <c r="B215" s="5"/>
      <c r="C215" s="5"/>
      <c r="D215" s="5"/>
      <c r="E215" s="5"/>
      <c r="F215" s="5"/>
      <c r="G215" s="6"/>
      <c r="H215" s="7"/>
      <c r="I215" s="7"/>
      <c r="J215" s="7"/>
      <c r="K215" s="7"/>
      <c r="L215" s="7"/>
      <c r="M215" s="7"/>
      <c r="N215" s="5"/>
      <c r="O215" s="5"/>
      <c r="P215" s="7"/>
      <c r="Q215" s="7"/>
      <c r="R215" s="7"/>
    </row>
    <row r="216" spans="1:18" x14ac:dyDescent="0.2">
      <c r="A216" s="5"/>
      <c r="B216" s="5"/>
      <c r="C216" s="5"/>
      <c r="D216" s="5"/>
      <c r="E216" s="5"/>
      <c r="F216" s="5"/>
      <c r="G216" s="6"/>
      <c r="H216" s="7"/>
      <c r="I216" s="7"/>
      <c r="J216" s="7"/>
      <c r="K216" s="7"/>
      <c r="L216" s="7"/>
      <c r="M216" s="7"/>
      <c r="N216" s="5"/>
      <c r="O216" s="5"/>
      <c r="P216" s="7"/>
      <c r="Q216" s="7"/>
      <c r="R216" s="7"/>
    </row>
    <row r="217" spans="1:18" x14ac:dyDescent="0.2">
      <c r="A217" s="5"/>
      <c r="B217" s="5"/>
      <c r="C217" s="5"/>
      <c r="D217" s="5"/>
      <c r="E217" s="5"/>
      <c r="F217" s="5"/>
      <c r="G217" s="6"/>
      <c r="H217" s="7"/>
      <c r="I217" s="7"/>
      <c r="J217" s="7"/>
      <c r="K217" s="7"/>
      <c r="L217" s="7"/>
      <c r="M217" s="7"/>
      <c r="N217" s="5"/>
      <c r="O217" s="5"/>
      <c r="P217" s="7"/>
      <c r="Q217" s="7"/>
      <c r="R217" s="7"/>
    </row>
    <row r="218" spans="1:18" x14ac:dyDescent="0.2">
      <c r="A218" s="5"/>
      <c r="B218" s="5"/>
      <c r="C218" s="5"/>
      <c r="D218" s="5"/>
      <c r="E218" s="5"/>
      <c r="F218" s="5"/>
      <c r="G218" s="6"/>
      <c r="H218" s="7"/>
      <c r="I218" s="7"/>
      <c r="J218" s="7"/>
      <c r="K218" s="7"/>
      <c r="L218" s="7"/>
      <c r="M218" s="7"/>
      <c r="N218" s="5"/>
      <c r="O218" s="5"/>
      <c r="P218" s="7"/>
      <c r="Q218" s="7"/>
      <c r="R218" s="7"/>
    </row>
    <row r="219" spans="1:18" x14ac:dyDescent="0.2">
      <c r="A219" s="5"/>
      <c r="B219" s="5"/>
      <c r="C219" s="5"/>
      <c r="D219" s="5"/>
      <c r="E219" s="5"/>
      <c r="F219" s="5"/>
      <c r="G219" s="6"/>
      <c r="H219" s="7"/>
      <c r="I219" s="7"/>
      <c r="J219" s="7"/>
      <c r="K219" s="7"/>
      <c r="L219" s="7"/>
      <c r="M219" s="7"/>
      <c r="N219" s="5"/>
      <c r="O219" s="5"/>
      <c r="P219" s="7"/>
      <c r="Q219" s="7"/>
      <c r="R219" s="7"/>
    </row>
    <row r="220" spans="1:18" x14ac:dyDescent="0.2">
      <c r="A220" s="5"/>
      <c r="B220" s="5"/>
      <c r="C220" s="5"/>
      <c r="D220" s="5"/>
      <c r="E220" s="5"/>
      <c r="F220" s="5"/>
      <c r="G220" s="6"/>
      <c r="H220" s="7"/>
      <c r="I220" s="7"/>
      <c r="J220" s="7"/>
      <c r="K220" s="7"/>
      <c r="L220" s="7"/>
      <c r="M220" s="7"/>
      <c r="N220" s="5"/>
      <c r="O220" s="5"/>
      <c r="P220" s="7"/>
      <c r="Q220" s="7"/>
      <c r="R220" s="7"/>
    </row>
    <row r="221" spans="1:18" x14ac:dyDescent="0.2">
      <c r="A221" s="5"/>
      <c r="B221" s="5"/>
      <c r="C221" s="5"/>
      <c r="D221" s="5"/>
      <c r="E221" s="5"/>
      <c r="F221" s="5"/>
      <c r="G221" s="6"/>
      <c r="H221" s="7"/>
      <c r="I221" s="7"/>
      <c r="J221" s="7"/>
      <c r="K221" s="7"/>
      <c r="L221" s="7"/>
      <c r="M221" s="7"/>
      <c r="N221" s="5"/>
      <c r="O221" s="5"/>
      <c r="P221" s="7"/>
      <c r="Q221" s="7"/>
      <c r="R221" s="7"/>
    </row>
    <row r="222" spans="1:18" x14ac:dyDescent="0.2">
      <c r="A222" s="5"/>
      <c r="B222" s="5"/>
      <c r="C222" s="5"/>
      <c r="D222" s="5"/>
      <c r="E222" s="5"/>
      <c r="F222" s="5"/>
      <c r="G222" s="6"/>
      <c r="H222" s="7"/>
      <c r="I222" s="7"/>
      <c r="J222" s="7"/>
      <c r="K222" s="7"/>
      <c r="L222" s="7"/>
      <c r="M222" s="7"/>
      <c r="N222" s="5"/>
      <c r="O222" s="5"/>
      <c r="P222" s="7"/>
      <c r="Q222" s="7"/>
      <c r="R222" s="7"/>
    </row>
    <row r="223" spans="1:18" x14ac:dyDescent="0.2">
      <c r="A223" s="5"/>
      <c r="B223" s="5"/>
      <c r="C223" s="5"/>
      <c r="D223" s="5"/>
      <c r="E223" s="5"/>
      <c r="F223" s="5"/>
      <c r="G223" s="6"/>
      <c r="H223" s="7"/>
      <c r="I223" s="7"/>
      <c r="J223" s="7"/>
      <c r="K223" s="7"/>
      <c r="L223" s="7"/>
      <c r="M223" s="7"/>
      <c r="N223" s="5"/>
      <c r="O223" s="5"/>
      <c r="P223" s="7"/>
      <c r="Q223" s="7"/>
      <c r="R223" s="7"/>
    </row>
    <row r="224" spans="1:18" x14ac:dyDescent="0.2">
      <c r="A224" s="5"/>
      <c r="B224" s="5"/>
      <c r="C224" s="5"/>
      <c r="D224" s="5"/>
      <c r="E224" s="5"/>
      <c r="F224" s="5"/>
      <c r="G224" s="6"/>
      <c r="H224" s="7"/>
      <c r="I224" s="7"/>
      <c r="J224" s="7"/>
      <c r="K224" s="7"/>
      <c r="L224" s="7"/>
      <c r="M224" s="7"/>
      <c r="N224" s="5"/>
      <c r="O224" s="5"/>
      <c r="P224" s="7"/>
      <c r="Q224" s="7"/>
      <c r="R224" s="7"/>
    </row>
    <row r="225" spans="1:18" x14ac:dyDescent="0.2">
      <c r="A225" s="5"/>
      <c r="B225" s="5"/>
      <c r="C225" s="5"/>
      <c r="D225" s="5"/>
      <c r="E225" s="5"/>
      <c r="F225" s="5"/>
      <c r="G225" s="6"/>
      <c r="H225" s="7"/>
      <c r="I225" s="7"/>
      <c r="J225" s="7"/>
      <c r="K225" s="7"/>
      <c r="L225" s="7"/>
      <c r="M225" s="7"/>
      <c r="N225" s="5"/>
      <c r="O225" s="5"/>
      <c r="P225" s="7"/>
      <c r="Q225" s="7"/>
      <c r="R225" s="7"/>
    </row>
    <row r="226" spans="1:18" x14ac:dyDescent="0.2">
      <c r="A226" s="5"/>
      <c r="B226" s="5"/>
      <c r="C226" s="5"/>
      <c r="D226" s="5"/>
      <c r="E226" s="5"/>
      <c r="F226" s="5"/>
      <c r="G226" s="6"/>
      <c r="H226" s="7"/>
      <c r="I226" s="7"/>
      <c r="J226" s="7"/>
      <c r="K226" s="7"/>
      <c r="L226" s="7"/>
      <c r="M226" s="7"/>
      <c r="N226" s="5"/>
      <c r="O226" s="5"/>
      <c r="P226" s="7"/>
      <c r="Q226" s="7"/>
      <c r="R226" s="7"/>
    </row>
    <row r="227" spans="1:18" x14ac:dyDescent="0.2">
      <c r="A227" s="5"/>
      <c r="B227" s="5"/>
      <c r="C227" s="5"/>
      <c r="D227" s="5"/>
      <c r="E227" s="5"/>
      <c r="F227" s="5"/>
      <c r="G227" s="6"/>
      <c r="H227" s="7"/>
      <c r="I227" s="7"/>
      <c r="J227" s="7"/>
      <c r="K227" s="7"/>
      <c r="L227" s="7"/>
      <c r="M227" s="7"/>
      <c r="N227" s="5"/>
      <c r="O227" s="5"/>
      <c r="P227" s="7"/>
      <c r="Q227" s="7"/>
      <c r="R227" s="7"/>
    </row>
    <row r="228" spans="1:18" x14ac:dyDescent="0.2">
      <c r="A228" s="5"/>
      <c r="B228" s="5"/>
      <c r="C228" s="5"/>
      <c r="D228" s="5"/>
      <c r="E228" s="5"/>
      <c r="F228" s="5"/>
      <c r="G228" s="6"/>
      <c r="H228" s="7"/>
      <c r="I228" s="7"/>
      <c r="J228" s="7"/>
      <c r="K228" s="7"/>
      <c r="L228" s="7"/>
      <c r="M228" s="7"/>
      <c r="N228" s="5"/>
      <c r="O228" s="5"/>
      <c r="P228" s="7"/>
      <c r="Q228" s="7"/>
      <c r="R228" s="7"/>
    </row>
    <row r="229" spans="1:18" x14ac:dyDescent="0.2">
      <c r="A229" s="5"/>
      <c r="B229" s="5"/>
      <c r="C229" s="5"/>
      <c r="D229" s="5"/>
      <c r="E229" s="5"/>
      <c r="F229" s="5"/>
      <c r="G229" s="6"/>
      <c r="H229" s="7"/>
      <c r="I229" s="7"/>
      <c r="J229" s="7"/>
      <c r="K229" s="7"/>
      <c r="L229" s="7"/>
      <c r="M229" s="7"/>
      <c r="N229" s="5"/>
      <c r="O229" s="5"/>
      <c r="P229" s="7"/>
      <c r="Q229" s="7"/>
      <c r="R229" s="7"/>
    </row>
    <row r="230" spans="1:18" x14ac:dyDescent="0.2">
      <c r="A230" s="5"/>
      <c r="B230" s="5"/>
      <c r="C230" s="5"/>
      <c r="D230" s="5"/>
      <c r="E230" s="5"/>
      <c r="F230" s="5"/>
      <c r="G230" s="6"/>
      <c r="H230" s="7"/>
      <c r="I230" s="7"/>
      <c r="J230" s="7"/>
      <c r="K230" s="7"/>
      <c r="L230" s="7"/>
      <c r="M230" s="7"/>
      <c r="N230" s="5"/>
      <c r="O230" s="5"/>
      <c r="P230" s="7"/>
      <c r="Q230" s="7"/>
      <c r="R230" s="7"/>
    </row>
    <row r="231" spans="1:18" x14ac:dyDescent="0.2">
      <c r="A231" s="5"/>
      <c r="B231" s="5"/>
      <c r="C231" s="5"/>
      <c r="D231" s="5"/>
      <c r="E231" s="5"/>
      <c r="F231" s="5"/>
      <c r="G231" s="6"/>
      <c r="H231" s="7"/>
      <c r="I231" s="7"/>
      <c r="J231" s="7"/>
      <c r="K231" s="7"/>
      <c r="L231" s="7"/>
      <c r="M231" s="7"/>
      <c r="N231" s="5"/>
      <c r="O231" s="5"/>
      <c r="P231" s="7"/>
      <c r="Q231" s="7"/>
      <c r="R231" s="7"/>
    </row>
    <row r="232" spans="1:18" x14ac:dyDescent="0.2">
      <c r="A232" s="5"/>
      <c r="B232" s="5"/>
      <c r="C232" s="5"/>
      <c r="D232" s="5"/>
      <c r="E232" s="5"/>
      <c r="F232" s="5"/>
      <c r="G232" s="6"/>
      <c r="H232" s="7"/>
      <c r="I232" s="7"/>
      <c r="J232" s="7"/>
      <c r="K232" s="7"/>
      <c r="L232" s="7"/>
      <c r="M232" s="7"/>
      <c r="N232" s="5"/>
      <c r="O232" s="5"/>
      <c r="P232" s="7"/>
      <c r="Q232" s="7"/>
      <c r="R232" s="7"/>
    </row>
    <row r="233" spans="1:18" x14ac:dyDescent="0.2">
      <c r="A233" s="5"/>
      <c r="B233" s="5"/>
      <c r="C233" s="5"/>
      <c r="D233" s="5"/>
      <c r="E233" s="5"/>
      <c r="F233" s="5"/>
      <c r="G233" s="6"/>
      <c r="H233" s="7"/>
      <c r="I233" s="7"/>
      <c r="J233" s="7"/>
      <c r="K233" s="7"/>
      <c r="L233" s="7"/>
      <c r="M233" s="7"/>
      <c r="N233" s="5"/>
      <c r="O233" s="5"/>
      <c r="P233" s="7"/>
      <c r="Q233" s="7"/>
      <c r="R233" s="7"/>
    </row>
    <row r="234" spans="1:18" x14ac:dyDescent="0.2">
      <c r="A234" s="5"/>
      <c r="B234" s="5"/>
      <c r="C234" s="5"/>
      <c r="D234" s="5"/>
      <c r="E234" s="5"/>
      <c r="F234" s="5"/>
      <c r="G234" s="6"/>
      <c r="H234" s="7"/>
      <c r="I234" s="7"/>
      <c r="J234" s="7"/>
      <c r="K234" s="7"/>
      <c r="L234" s="7"/>
      <c r="M234" s="7"/>
      <c r="N234" s="5"/>
      <c r="O234" s="5"/>
      <c r="P234" s="7"/>
      <c r="Q234" s="7"/>
      <c r="R234" s="7"/>
    </row>
    <row r="235" spans="1:18" x14ac:dyDescent="0.2">
      <c r="A235" s="5"/>
      <c r="B235" s="5"/>
      <c r="C235" s="5"/>
      <c r="D235" s="5"/>
      <c r="E235" s="5"/>
      <c r="F235" s="5"/>
      <c r="G235" s="6"/>
      <c r="H235" s="7"/>
      <c r="I235" s="7"/>
      <c r="J235" s="7"/>
      <c r="K235" s="7"/>
      <c r="L235" s="7"/>
      <c r="M235" s="7"/>
      <c r="N235" s="5"/>
      <c r="O235" s="5"/>
      <c r="P235" s="7"/>
      <c r="Q235" s="7"/>
      <c r="R235" s="7"/>
    </row>
    <row r="236" spans="1:18" x14ac:dyDescent="0.2">
      <c r="A236" s="5"/>
      <c r="B236" s="5"/>
      <c r="C236" s="5"/>
      <c r="D236" s="5"/>
      <c r="E236" s="5"/>
      <c r="F236" s="5"/>
      <c r="G236" s="6"/>
      <c r="H236" s="7"/>
      <c r="I236" s="7"/>
      <c r="J236" s="7"/>
      <c r="K236" s="7"/>
      <c r="L236" s="7"/>
      <c r="M236" s="7"/>
      <c r="N236" s="5"/>
      <c r="O236" s="5"/>
      <c r="P236" s="7"/>
      <c r="Q236" s="7"/>
      <c r="R236" s="7"/>
    </row>
    <row r="237" spans="1:18" x14ac:dyDescent="0.2">
      <c r="A237" s="5"/>
      <c r="B237" s="5"/>
      <c r="C237" s="5"/>
      <c r="D237" s="5"/>
      <c r="E237" s="5"/>
      <c r="F237" s="5"/>
      <c r="G237" s="6"/>
      <c r="H237" s="7"/>
      <c r="I237" s="7"/>
      <c r="J237" s="7"/>
      <c r="K237" s="7"/>
      <c r="L237" s="7"/>
      <c r="M237" s="7"/>
      <c r="N237" s="5"/>
      <c r="O237" s="5"/>
      <c r="P237" s="7"/>
      <c r="Q237" s="7"/>
      <c r="R237" s="7"/>
    </row>
    <row r="238" spans="1:18" x14ac:dyDescent="0.2">
      <c r="A238" s="5"/>
      <c r="B238" s="5"/>
      <c r="C238" s="5"/>
      <c r="D238" s="5"/>
      <c r="E238" s="5"/>
      <c r="F238" s="5"/>
      <c r="G238" s="6"/>
      <c r="H238" s="7"/>
      <c r="I238" s="7"/>
      <c r="J238" s="7"/>
      <c r="K238" s="7"/>
      <c r="L238" s="7"/>
      <c r="M238" s="7"/>
      <c r="N238" s="5"/>
      <c r="O238" s="5"/>
      <c r="P238" s="7"/>
      <c r="Q238" s="7"/>
      <c r="R238" s="7"/>
    </row>
    <row r="239" spans="1:18" x14ac:dyDescent="0.2">
      <c r="A239" s="5"/>
      <c r="B239" s="5"/>
      <c r="C239" s="5"/>
      <c r="D239" s="5"/>
      <c r="E239" s="5"/>
      <c r="F239" s="5"/>
      <c r="G239" s="6"/>
      <c r="H239" s="7"/>
      <c r="I239" s="7"/>
      <c r="J239" s="7"/>
      <c r="K239" s="7"/>
      <c r="L239" s="7"/>
      <c r="M239" s="7"/>
      <c r="N239" s="5"/>
      <c r="O239" s="5"/>
      <c r="P239" s="7"/>
      <c r="Q239" s="7"/>
      <c r="R239" s="7"/>
    </row>
    <row r="240" spans="1:18" x14ac:dyDescent="0.2">
      <c r="A240" s="5"/>
      <c r="B240" s="5"/>
      <c r="C240" s="5"/>
      <c r="D240" s="5"/>
      <c r="E240" s="5"/>
      <c r="F240" s="5"/>
      <c r="G240" s="6"/>
      <c r="H240" s="7"/>
      <c r="I240" s="7"/>
      <c r="J240" s="7"/>
      <c r="K240" s="7"/>
      <c r="L240" s="7"/>
      <c r="M240" s="7"/>
      <c r="N240" s="5"/>
      <c r="O240" s="5"/>
      <c r="P240" s="7"/>
      <c r="Q240" s="7"/>
      <c r="R240" s="7"/>
    </row>
    <row r="241" spans="1:18" x14ac:dyDescent="0.2">
      <c r="A241" s="5"/>
      <c r="B241" s="5"/>
      <c r="C241" s="5"/>
      <c r="D241" s="5"/>
      <c r="E241" s="5"/>
      <c r="F241" s="5"/>
      <c r="G241" s="6"/>
      <c r="H241" s="7"/>
      <c r="I241" s="7"/>
      <c r="J241" s="7"/>
      <c r="K241" s="7"/>
      <c r="L241" s="7"/>
      <c r="M241" s="7"/>
      <c r="N241" s="5"/>
      <c r="O241" s="5"/>
      <c r="P241" s="7"/>
      <c r="Q241" s="7"/>
      <c r="R241" s="7"/>
    </row>
    <row r="242" spans="1:18" x14ac:dyDescent="0.2">
      <c r="A242" s="5"/>
      <c r="B242" s="5"/>
      <c r="C242" s="5"/>
      <c r="D242" s="5"/>
      <c r="E242" s="5"/>
      <c r="F242" s="5"/>
      <c r="G242" s="6"/>
      <c r="H242" s="7"/>
      <c r="I242" s="7"/>
      <c r="J242" s="7"/>
      <c r="K242" s="7"/>
      <c r="L242" s="7"/>
      <c r="M242" s="7"/>
      <c r="N242" s="5"/>
      <c r="O242" s="5"/>
      <c r="P242" s="7"/>
      <c r="Q242" s="7"/>
      <c r="R242" s="7"/>
    </row>
    <row r="243" spans="1:18" x14ac:dyDescent="0.2">
      <c r="A243" s="5"/>
      <c r="B243" s="5"/>
      <c r="C243" s="5"/>
      <c r="D243" s="5"/>
      <c r="E243" s="5"/>
      <c r="F243" s="5"/>
      <c r="G243" s="6"/>
      <c r="H243" s="7"/>
      <c r="I243" s="7"/>
      <c r="J243" s="7"/>
      <c r="K243" s="7"/>
      <c r="L243" s="7"/>
      <c r="M243" s="7"/>
      <c r="N243" s="5"/>
      <c r="O243" s="5"/>
      <c r="P243" s="7"/>
      <c r="Q243" s="7"/>
      <c r="R243" s="7"/>
    </row>
    <row r="244" spans="1:18" x14ac:dyDescent="0.2">
      <c r="A244" s="5"/>
      <c r="B244" s="5"/>
      <c r="C244" s="5"/>
      <c r="D244" s="5"/>
      <c r="E244" s="5"/>
      <c r="F244" s="5"/>
      <c r="G244" s="6"/>
      <c r="H244" s="7"/>
      <c r="I244" s="7"/>
      <c r="J244" s="7"/>
      <c r="K244" s="7"/>
      <c r="L244" s="7"/>
      <c r="M244" s="7"/>
      <c r="N244" s="5"/>
      <c r="O244" s="5"/>
      <c r="P244" s="7"/>
      <c r="Q244" s="7"/>
      <c r="R244" s="7"/>
    </row>
    <row r="245" spans="1:18" x14ac:dyDescent="0.2">
      <c r="A245" s="5"/>
      <c r="B245" s="5"/>
      <c r="C245" s="5"/>
      <c r="D245" s="5"/>
      <c r="E245" s="5"/>
      <c r="F245" s="5"/>
      <c r="G245" s="6"/>
      <c r="H245" s="7"/>
      <c r="I245" s="7"/>
      <c r="J245" s="7"/>
      <c r="K245" s="7"/>
      <c r="L245" s="7"/>
      <c r="M245" s="7"/>
      <c r="N245" s="5"/>
      <c r="O245" s="5"/>
      <c r="P245" s="7"/>
      <c r="Q245" s="7"/>
      <c r="R245" s="7"/>
    </row>
    <row r="246" spans="1:18" x14ac:dyDescent="0.2">
      <c r="A246" s="5"/>
      <c r="B246" s="5"/>
      <c r="C246" s="5"/>
      <c r="D246" s="5"/>
      <c r="E246" s="5"/>
      <c r="F246" s="5"/>
      <c r="G246" s="6"/>
      <c r="H246" s="7"/>
      <c r="I246" s="7"/>
      <c r="J246" s="7"/>
      <c r="K246" s="7"/>
      <c r="L246" s="7"/>
      <c r="M246" s="7"/>
      <c r="N246" s="5"/>
      <c r="O246" s="5"/>
      <c r="P246" s="7"/>
      <c r="Q246" s="7"/>
      <c r="R246" s="7"/>
    </row>
    <row r="247" spans="1:18" x14ac:dyDescent="0.2">
      <c r="A247" s="5"/>
      <c r="B247" s="5"/>
      <c r="C247" s="5"/>
      <c r="D247" s="5"/>
      <c r="E247" s="5"/>
      <c r="F247" s="5"/>
      <c r="G247" s="6"/>
      <c r="H247" s="7"/>
      <c r="I247" s="7"/>
      <c r="J247" s="7"/>
      <c r="K247" s="7"/>
      <c r="L247" s="7"/>
      <c r="M247" s="7"/>
      <c r="N247" s="5"/>
      <c r="O247" s="5"/>
      <c r="P247" s="7"/>
      <c r="Q247" s="7"/>
      <c r="R247" s="7"/>
    </row>
    <row r="248" spans="1:18" x14ac:dyDescent="0.2">
      <c r="A248" s="5"/>
      <c r="B248" s="5"/>
      <c r="C248" s="5"/>
      <c r="D248" s="5"/>
      <c r="E248" s="5"/>
      <c r="F248" s="5"/>
      <c r="G248" s="6"/>
      <c r="H248" s="7"/>
      <c r="I248" s="7"/>
      <c r="J248" s="7"/>
      <c r="K248" s="7"/>
      <c r="L248" s="7"/>
      <c r="M248" s="7"/>
      <c r="N248" s="5"/>
      <c r="O248" s="5"/>
      <c r="P248" s="7"/>
      <c r="Q248" s="7"/>
      <c r="R248" s="7"/>
    </row>
    <row r="249" spans="1:18" x14ac:dyDescent="0.2">
      <c r="A249" s="5"/>
      <c r="B249" s="5"/>
      <c r="C249" s="5"/>
      <c r="D249" s="5"/>
      <c r="E249" s="5"/>
      <c r="F249" s="5"/>
      <c r="G249" s="6"/>
      <c r="H249" s="7"/>
      <c r="I249" s="7"/>
      <c r="J249" s="7"/>
      <c r="K249" s="7"/>
      <c r="L249" s="7"/>
      <c r="M249" s="7"/>
      <c r="N249" s="5"/>
      <c r="O249" s="5"/>
      <c r="P249" s="7"/>
      <c r="Q249" s="7"/>
      <c r="R249" s="7"/>
    </row>
    <row r="250" spans="1:18" x14ac:dyDescent="0.2">
      <c r="A250" s="5"/>
      <c r="B250" s="5"/>
      <c r="C250" s="5"/>
      <c r="D250" s="5"/>
      <c r="E250" s="5"/>
      <c r="F250" s="5"/>
      <c r="G250" s="6"/>
      <c r="H250" s="7"/>
      <c r="I250" s="7"/>
      <c r="J250" s="7"/>
      <c r="K250" s="7"/>
      <c r="L250" s="7"/>
      <c r="M250" s="7"/>
      <c r="N250" s="5"/>
      <c r="O250" s="5"/>
      <c r="P250" s="7"/>
      <c r="Q250" s="7"/>
      <c r="R250" s="7"/>
    </row>
    <row r="251" spans="1:18" x14ac:dyDescent="0.2">
      <c r="A251" s="5"/>
      <c r="B251" s="5"/>
      <c r="C251" s="5"/>
      <c r="D251" s="5"/>
      <c r="E251" s="5"/>
      <c r="F251" s="5"/>
      <c r="G251" s="6"/>
      <c r="H251" s="7"/>
      <c r="I251" s="7"/>
      <c r="J251" s="7"/>
      <c r="K251" s="7"/>
      <c r="L251" s="7"/>
      <c r="M251" s="7"/>
      <c r="N251" s="5"/>
      <c r="O251" s="5"/>
      <c r="P251" s="7"/>
      <c r="Q251" s="7"/>
      <c r="R251" s="7"/>
    </row>
    <row r="252" spans="1:18" x14ac:dyDescent="0.2">
      <c r="A252" s="5"/>
      <c r="B252" s="5"/>
      <c r="C252" s="5"/>
      <c r="D252" s="5"/>
      <c r="E252" s="5"/>
      <c r="F252" s="5"/>
      <c r="G252" s="6"/>
      <c r="H252" s="7"/>
      <c r="I252" s="7"/>
      <c r="J252" s="7"/>
      <c r="K252" s="7"/>
      <c r="L252" s="7"/>
      <c r="M252" s="7"/>
      <c r="N252" s="5"/>
      <c r="O252" s="5"/>
      <c r="P252" s="7"/>
      <c r="Q252" s="7"/>
      <c r="R252" s="7"/>
    </row>
    <row r="253" spans="1:18" x14ac:dyDescent="0.2">
      <c r="A253" s="5"/>
      <c r="B253" s="5"/>
      <c r="C253" s="5"/>
      <c r="D253" s="5"/>
      <c r="E253" s="5"/>
      <c r="F253" s="5"/>
      <c r="G253" s="6"/>
      <c r="H253" s="7"/>
      <c r="I253" s="7"/>
      <c r="J253" s="7"/>
      <c r="K253" s="7"/>
      <c r="L253" s="7"/>
      <c r="M253" s="7"/>
      <c r="N253" s="5"/>
      <c r="O253" s="5"/>
      <c r="P253" s="7"/>
      <c r="Q253" s="7"/>
      <c r="R253" s="7"/>
    </row>
    <row r="254" spans="1:18" x14ac:dyDescent="0.2">
      <c r="A254" s="5"/>
      <c r="B254" s="5"/>
      <c r="C254" s="5"/>
      <c r="D254" s="5"/>
      <c r="E254" s="5"/>
      <c r="F254" s="5"/>
      <c r="G254" s="6"/>
      <c r="H254" s="7"/>
      <c r="I254" s="7"/>
      <c r="J254" s="7"/>
      <c r="K254" s="7"/>
      <c r="L254" s="7"/>
      <c r="M254" s="7"/>
      <c r="N254" s="5"/>
      <c r="O254" s="5"/>
      <c r="P254" s="7"/>
      <c r="Q254" s="7"/>
      <c r="R254" s="7"/>
    </row>
    <row r="255" spans="1:18" x14ac:dyDescent="0.2">
      <c r="A255" s="5"/>
      <c r="B255" s="5"/>
      <c r="C255" s="5"/>
      <c r="D255" s="5"/>
      <c r="E255" s="5"/>
      <c r="F255" s="5"/>
      <c r="G255" s="6"/>
      <c r="H255" s="7"/>
      <c r="I255" s="7"/>
      <c r="J255" s="7"/>
      <c r="K255" s="7"/>
      <c r="L255" s="7"/>
      <c r="M255" s="7"/>
      <c r="N255" s="5"/>
      <c r="O255" s="5"/>
      <c r="P255" s="7"/>
      <c r="Q255" s="7"/>
      <c r="R255" s="7"/>
    </row>
    <row r="256" spans="1:18" x14ac:dyDescent="0.2">
      <c r="A256" s="5"/>
      <c r="B256" s="5"/>
      <c r="C256" s="5"/>
      <c r="D256" s="5"/>
      <c r="E256" s="5"/>
      <c r="F256" s="5"/>
      <c r="G256" s="6"/>
      <c r="H256" s="7"/>
      <c r="I256" s="7"/>
      <c r="J256" s="7"/>
      <c r="K256" s="7"/>
      <c r="L256" s="7"/>
      <c r="M256" s="7"/>
      <c r="N256" s="5"/>
      <c r="O256" s="5"/>
      <c r="P256" s="7"/>
      <c r="Q256" s="7"/>
      <c r="R256" s="7"/>
    </row>
    <row r="257" spans="1:18" x14ac:dyDescent="0.2">
      <c r="A257" s="5"/>
      <c r="B257" s="5"/>
      <c r="C257" s="5"/>
      <c r="D257" s="5"/>
      <c r="E257" s="5"/>
      <c r="F257" s="5"/>
      <c r="G257" s="6"/>
      <c r="H257" s="7"/>
      <c r="I257" s="7"/>
      <c r="J257" s="7"/>
      <c r="K257" s="7"/>
      <c r="L257" s="7"/>
      <c r="M257" s="7"/>
      <c r="N257" s="5"/>
      <c r="O257" s="5"/>
      <c r="P257" s="7"/>
      <c r="Q257" s="7"/>
      <c r="R257" s="7"/>
    </row>
    <row r="258" spans="1:18" x14ac:dyDescent="0.2">
      <c r="A258" s="5"/>
      <c r="B258" s="5"/>
      <c r="C258" s="5"/>
      <c r="D258" s="5"/>
      <c r="E258" s="5"/>
      <c r="F258" s="5"/>
      <c r="G258" s="6"/>
      <c r="H258" s="7"/>
      <c r="I258" s="7"/>
      <c r="J258" s="7"/>
      <c r="K258" s="7"/>
      <c r="L258" s="7"/>
      <c r="M258" s="7"/>
      <c r="N258" s="5"/>
      <c r="O258" s="5"/>
      <c r="P258" s="7"/>
      <c r="Q258" s="7"/>
      <c r="R258" s="7"/>
    </row>
    <row r="259" spans="1:18" x14ac:dyDescent="0.2">
      <c r="A259" s="5"/>
      <c r="B259" s="5"/>
      <c r="C259" s="5"/>
      <c r="D259" s="5"/>
      <c r="E259" s="5"/>
      <c r="F259" s="5"/>
      <c r="G259" s="6"/>
      <c r="H259" s="7"/>
      <c r="I259" s="7"/>
      <c r="J259" s="7"/>
      <c r="K259" s="7"/>
      <c r="L259" s="7"/>
      <c r="M259" s="7"/>
      <c r="N259" s="5"/>
      <c r="O259" s="5"/>
      <c r="P259" s="7"/>
      <c r="Q259" s="7"/>
      <c r="R259" s="7"/>
    </row>
    <row r="260" spans="1:18" x14ac:dyDescent="0.2">
      <c r="A260" s="5"/>
      <c r="B260" s="5"/>
      <c r="C260" s="5"/>
      <c r="D260" s="5"/>
      <c r="E260" s="5"/>
      <c r="F260" s="5"/>
      <c r="G260" s="6"/>
      <c r="H260" s="7"/>
      <c r="I260" s="7"/>
      <c r="J260" s="7"/>
      <c r="K260" s="7"/>
      <c r="L260" s="7"/>
      <c r="M260" s="7"/>
      <c r="N260" s="5"/>
      <c r="O260" s="5"/>
      <c r="P260" s="7"/>
      <c r="Q260" s="7"/>
      <c r="R260" s="7"/>
    </row>
    <row r="261" spans="1:18" x14ac:dyDescent="0.2">
      <c r="A261" s="5"/>
      <c r="B261" s="5"/>
      <c r="C261" s="5"/>
      <c r="D261" s="5"/>
      <c r="E261" s="5"/>
      <c r="F261" s="5"/>
      <c r="G261" s="6"/>
      <c r="H261" s="7"/>
      <c r="I261" s="7"/>
      <c r="J261" s="7"/>
      <c r="K261" s="7"/>
      <c r="L261" s="7"/>
      <c r="M261" s="7"/>
      <c r="N261" s="5"/>
      <c r="O261" s="5"/>
      <c r="P261" s="7"/>
      <c r="Q261" s="7"/>
      <c r="R261" s="7"/>
    </row>
    <row r="262" spans="1:18" x14ac:dyDescent="0.2">
      <c r="A262" s="5"/>
      <c r="B262" s="5"/>
      <c r="C262" s="5"/>
      <c r="D262" s="5"/>
      <c r="E262" s="5"/>
      <c r="F262" s="5"/>
      <c r="G262" s="6"/>
      <c r="H262" s="7"/>
      <c r="I262" s="7"/>
      <c r="J262" s="7"/>
      <c r="K262" s="7"/>
      <c r="L262" s="7"/>
      <c r="M262" s="7"/>
      <c r="N262" s="5"/>
      <c r="O262" s="5"/>
      <c r="P262" s="7"/>
      <c r="Q262" s="7"/>
      <c r="R262" s="7"/>
    </row>
    <row r="263" spans="1:18" x14ac:dyDescent="0.2">
      <c r="A263" s="5"/>
      <c r="B263" s="5"/>
      <c r="C263" s="5"/>
      <c r="D263" s="5"/>
      <c r="E263" s="5"/>
      <c r="F263" s="5"/>
      <c r="G263" s="6"/>
      <c r="H263" s="7"/>
      <c r="I263" s="7"/>
      <c r="J263" s="7"/>
      <c r="K263" s="7"/>
      <c r="L263" s="7"/>
      <c r="M263" s="7"/>
      <c r="N263" s="5"/>
      <c r="O263" s="5"/>
      <c r="P263" s="7"/>
      <c r="Q263" s="7"/>
      <c r="R263" s="7"/>
    </row>
    <row r="264" spans="1:18" x14ac:dyDescent="0.2">
      <c r="A264" s="5"/>
      <c r="B264" s="5"/>
      <c r="C264" s="5"/>
      <c r="D264" s="5"/>
      <c r="E264" s="5"/>
      <c r="F264" s="5"/>
      <c r="G264" s="6"/>
      <c r="H264" s="7"/>
      <c r="I264" s="7"/>
      <c r="J264" s="7"/>
      <c r="K264" s="7"/>
      <c r="L264" s="7"/>
      <c r="M264" s="7"/>
      <c r="N264" s="5"/>
      <c r="O264" s="5"/>
      <c r="P264" s="7"/>
      <c r="Q264" s="7"/>
      <c r="R264" s="7"/>
    </row>
    <row r="265" spans="1:18" x14ac:dyDescent="0.2">
      <c r="A265" s="5"/>
      <c r="B265" s="5"/>
      <c r="C265" s="5"/>
      <c r="D265" s="5"/>
      <c r="E265" s="5"/>
      <c r="F265" s="5"/>
      <c r="G265" s="6"/>
      <c r="H265" s="7"/>
      <c r="I265" s="7"/>
      <c r="J265" s="7"/>
      <c r="K265" s="7"/>
      <c r="L265" s="7"/>
      <c r="M265" s="7"/>
      <c r="N265" s="5"/>
      <c r="O265" s="5"/>
      <c r="P265" s="7"/>
      <c r="Q265" s="7"/>
      <c r="R265" s="7"/>
    </row>
    <row r="266" spans="1:18" x14ac:dyDescent="0.2">
      <c r="A266" s="5"/>
      <c r="B266" s="5"/>
      <c r="C266" s="5"/>
      <c r="D266" s="5"/>
      <c r="E266" s="5"/>
      <c r="F266" s="5"/>
      <c r="G266" s="6"/>
      <c r="H266" s="7"/>
      <c r="I266" s="7"/>
      <c r="J266" s="7"/>
      <c r="K266" s="7"/>
      <c r="L266" s="7"/>
      <c r="M266" s="7"/>
      <c r="N266" s="5"/>
      <c r="O266" s="5"/>
      <c r="P266" s="7"/>
      <c r="Q266" s="7"/>
      <c r="R266" s="7"/>
    </row>
    <row r="267" spans="1:18" x14ac:dyDescent="0.2">
      <c r="A267" s="5"/>
      <c r="B267" s="5"/>
      <c r="C267" s="5"/>
      <c r="D267" s="5"/>
      <c r="E267" s="5"/>
      <c r="F267" s="5"/>
      <c r="G267" s="6"/>
      <c r="H267" s="7"/>
      <c r="I267" s="7"/>
      <c r="J267" s="7"/>
      <c r="K267" s="7"/>
      <c r="L267" s="7"/>
      <c r="M267" s="7"/>
      <c r="N267" s="5"/>
      <c r="O267" s="5"/>
      <c r="P267" s="7"/>
      <c r="Q267" s="7"/>
      <c r="R267" s="7"/>
    </row>
    <row r="268" spans="1:18" x14ac:dyDescent="0.2">
      <c r="A268" s="5"/>
      <c r="B268" s="5"/>
      <c r="C268" s="5"/>
      <c r="D268" s="5"/>
      <c r="E268" s="5"/>
      <c r="F268" s="5"/>
      <c r="G268" s="6"/>
      <c r="H268" s="7"/>
      <c r="I268" s="7"/>
      <c r="J268" s="7"/>
      <c r="K268" s="7"/>
      <c r="L268" s="7"/>
      <c r="M268" s="7"/>
      <c r="N268" s="5"/>
      <c r="O268" s="5"/>
      <c r="P268" s="7"/>
      <c r="Q268" s="7"/>
      <c r="R268" s="7"/>
    </row>
    <row r="269" spans="1:18" x14ac:dyDescent="0.2">
      <c r="A269" s="5"/>
      <c r="B269" s="5"/>
      <c r="C269" s="5"/>
      <c r="D269" s="5"/>
      <c r="E269" s="5"/>
      <c r="F269" s="5"/>
      <c r="G269" s="6"/>
      <c r="H269" s="7"/>
      <c r="I269" s="7"/>
      <c r="J269" s="7"/>
      <c r="K269" s="7"/>
      <c r="L269" s="7"/>
      <c r="M269" s="7"/>
      <c r="N269" s="5"/>
      <c r="O269" s="5"/>
      <c r="P269" s="7"/>
      <c r="Q269" s="7"/>
      <c r="R269" s="7"/>
    </row>
    <row r="270" spans="1:18" x14ac:dyDescent="0.2">
      <c r="A270" s="5"/>
      <c r="B270" s="5"/>
      <c r="C270" s="5"/>
      <c r="D270" s="5"/>
      <c r="E270" s="5"/>
      <c r="F270" s="5"/>
      <c r="G270" s="6"/>
      <c r="H270" s="7"/>
      <c r="I270" s="7"/>
      <c r="J270" s="7"/>
      <c r="K270" s="7"/>
      <c r="L270" s="7"/>
      <c r="M270" s="7"/>
      <c r="N270" s="5"/>
      <c r="O270" s="5"/>
      <c r="P270" s="7"/>
      <c r="Q270" s="7"/>
      <c r="R270" s="7"/>
    </row>
    <row r="271" spans="1:18" x14ac:dyDescent="0.2">
      <c r="A271" s="5"/>
      <c r="B271" s="5"/>
      <c r="C271" s="5"/>
      <c r="D271" s="5"/>
      <c r="E271" s="5"/>
      <c r="F271" s="5"/>
      <c r="G271" s="6"/>
      <c r="H271" s="7"/>
      <c r="I271" s="7"/>
      <c r="J271" s="7"/>
      <c r="K271" s="7"/>
      <c r="L271" s="7"/>
      <c r="M271" s="7"/>
      <c r="N271" s="5"/>
      <c r="O271" s="5"/>
      <c r="P271" s="7"/>
      <c r="Q271" s="7"/>
      <c r="R271" s="7"/>
    </row>
    <row r="272" spans="1:18" x14ac:dyDescent="0.2">
      <c r="A272" s="5"/>
      <c r="B272" s="5"/>
      <c r="C272" s="5"/>
      <c r="D272" s="5"/>
      <c r="E272" s="5"/>
      <c r="F272" s="5"/>
      <c r="G272" s="6"/>
      <c r="H272" s="7"/>
      <c r="I272" s="7"/>
      <c r="J272" s="7"/>
      <c r="K272" s="7"/>
      <c r="L272" s="7"/>
      <c r="M272" s="7"/>
      <c r="N272" s="5"/>
      <c r="O272" s="5"/>
      <c r="P272" s="7"/>
      <c r="Q272" s="7"/>
      <c r="R272" s="7"/>
    </row>
    <row r="273" spans="1:18" x14ac:dyDescent="0.2">
      <c r="A273" s="5"/>
      <c r="B273" s="5"/>
      <c r="C273" s="5"/>
      <c r="D273" s="5"/>
      <c r="E273" s="5"/>
      <c r="F273" s="5"/>
      <c r="G273" s="6"/>
      <c r="H273" s="7"/>
      <c r="I273" s="7"/>
      <c r="J273" s="7"/>
      <c r="K273" s="7"/>
      <c r="L273" s="7"/>
      <c r="M273" s="7"/>
      <c r="N273" s="5"/>
      <c r="O273" s="5"/>
      <c r="P273" s="7"/>
      <c r="Q273" s="7"/>
      <c r="R273" s="7"/>
    </row>
    <row r="274" spans="1:18" x14ac:dyDescent="0.2">
      <c r="A274" s="5"/>
      <c r="B274" s="5"/>
      <c r="C274" s="5"/>
      <c r="D274" s="5"/>
      <c r="E274" s="5"/>
      <c r="F274" s="5"/>
      <c r="G274" s="6"/>
      <c r="H274" s="7"/>
      <c r="I274" s="7"/>
      <c r="J274" s="7"/>
      <c r="K274" s="7"/>
      <c r="L274" s="7"/>
      <c r="M274" s="7"/>
      <c r="N274" s="5"/>
      <c r="O274" s="5"/>
      <c r="P274" s="7"/>
      <c r="Q274" s="7"/>
      <c r="R274" s="7"/>
    </row>
    <row r="275" spans="1:18" x14ac:dyDescent="0.2">
      <c r="A275" s="5"/>
      <c r="B275" s="5"/>
      <c r="C275" s="5"/>
      <c r="D275" s="5"/>
      <c r="E275" s="5"/>
      <c r="F275" s="5"/>
      <c r="G275" s="6"/>
      <c r="H275" s="7"/>
      <c r="I275" s="7"/>
      <c r="J275" s="7"/>
      <c r="K275" s="7"/>
      <c r="L275" s="7"/>
      <c r="M275" s="7"/>
      <c r="N275" s="5"/>
      <c r="O275" s="5"/>
      <c r="P275" s="7"/>
      <c r="Q275" s="7"/>
      <c r="R275" s="7"/>
    </row>
    <row r="276" spans="1:18" x14ac:dyDescent="0.2">
      <c r="A276" s="5"/>
      <c r="B276" s="5"/>
      <c r="C276" s="5"/>
      <c r="D276" s="5"/>
      <c r="E276" s="5"/>
      <c r="F276" s="5"/>
      <c r="G276" s="6"/>
      <c r="H276" s="7"/>
      <c r="I276" s="7"/>
      <c r="J276" s="7"/>
      <c r="K276" s="7"/>
      <c r="L276" s="7"/>
      <c r="M276" s="7"/>
      <c r="N276" s="5"/>
      <c r="O276" s="5"/>
      <c r="P276" s="7"/>
      <c r="Q276" s="7"/>
      <c r="R276" s="7"/>
    </row>
    <row r="277" spans="1:18" x14ac:dyDescent="0.2">
      <c r="A277" s="5"/>
      <c r="B277" s="5"/>
      <c r="C277" s="5"/>
      <c r="D277" s="5"/>
      <c r="E277" s="5"/>
      <c r="F277" s="5"/>
      <c r="G277" s="6"/>
      <c r="H277" s="7"/>
      <c r="I277" s="7"/>
      <c r="J277" s="7"/>
      <c r="K277" s="7"/>
      <c r="L277" s="7"/>
      <c r="M277" s="7"/>
      <c r="N277" s="5"/>
      <c r="O277" s="5"/>
      <c r="P277" s="7"/>
      <c r="Q277" s="7"/>
      <c r="R277" s="7"/>
    </row>
    <row r="278" spans="1:18" x14ac:dyDescent="0.2">
      <c r="A278" s="5"/>
      <c r="B278" s="5"/>
      <c r="C278" s="5"/>
      <c r="D278" s="5"/>
      <c r="E278" s="5"/>
      <c r="F278" s="5"/>
      <c r="G278" s="6"/>
      <c r="H278" s="7"/>
      <c r="I278" s="7"/>
      <c r="J278" s="7"/>
      <c r="K278" s="7"/>
      <c r="L278" s="7"/>
      <c r="M278" s="7"/>
      <c r="N278" s="5"/>
      <c r="O278" s="5"/>
      <c r="P278" s="7"/>
      <c r="Q278" s="7"/>
      <c r="R278" s="7"/>
    </row>
    <row r="279" spans="1:18" x14ac:dyDescent="0.2">
      <c r="A279" s="5"/>
      <c r="B279" s="5"/>
      <c r="C279" s="5"/>
      <c r="D279" s="5"/>
      <c r="E279" s="5"/>
      <c r="F279" s="5"/>
      <c r="G279" s="6"/>
      <c r="H279" s="7"/>
      <c r="I279" s="7"/>
      <c r="J279" s="7"/>
      <c r="K279" s="7"/>
      <c r="L279" s="7"/>
      <c r="M279" s="7"/>
      <c r="N279" s="5"/>
      <c r="O279" s="5"/>
      <c r="P279" s="7"/>
      <c r="Q279" s="7"/>
      <c r="R279" s="7"/>
    </row>
    <row r="280" spans="1:18" x14ac:dyDescent="0.2">
      <c r="A280" s="5"/>
      <c r="B280" s="5"/>
      <c r="C280" s="5"/>
      <c r="D280" s="5"/>
      <c r="E280" s="5"/>
      <c r="F280" s="5"/>
      <c r="G280" s="6"/>
      <c r="H280" s="7"/>
      <c r="I280" s="7"/>
      <c r="J280" s="7"/>
      <c r="K280" s="7"/>
      <c r="L280" s="7"/>
      <c r="M280" s="7"/>
      <c r="N280" s="5"/>
      <c r="O280" s="5"/>
      <c r="P280" s="7"/>
      <c r="Q280" s="7"/>
      <c r="R280" s="7"/>
    </row>
    <row r="281" spans="1:18" x14ac:dyDescent="0.2">
      <c r="A281" s="5"/>
      <c r="B281" s="5"/>
      <c r="C281" s="5"/>
      <c r="D281" s="5"/>
      <c r="E281" s="5"/>
      <c r="F281" s="5"/>
      <c r="G281" s="6"/>
      <c r="H281" s="7"/>
      <c r="I281" s="7"/>
      <c r="J281" s="7"/>
      <c r="K281" s="7"/>
      <c r="L281" s="7"/>
      <c r="M281" s="7"/>
      <c r="N281" s="5"/>
      <c r="O281" s="5"/>
      <c r="P281" s="7"/>
      <c r="Q281" s="7"/>
      <c r="R281" s="7"/>
    </row>
    <row r="282" spans="1:18" x14ac:dyDescent="0.2">
      <c r="A282" s="5"/>
      <c r="B282" s="5"/>
      <c r="C282" s="5"/>
      <c r="D282" s="5"/>
      <c r="E282" s="5"/>
      <c r="F282" s="5"/>
      <c r="G282" s="6"/>
      <c r="H282" s="7"/>
      <c r="I282" s="7"/>
      <c r="J282" s="7"/>
      <c r="K282" s="7"/>
      <c r="L282" s="7"/>
      <c r="M282" s="7"/>
      <c r="N282" s="5"/>
      <c r="O282" s="5"/>
      <c r="P282" s="7"/>
      <c r="Q282" s="7"/>
      <c r="R282" s="7"/>
    </row>
    <row r="283" spans="1:18" x14ac:dyDescent="0.2">
      <c r="A283" s="5"/>
      <c r="B283" s="5"/>
      <c r="C283" s="5"/>
      <c r="D283" s="5"/>
      <c r="E283" s="5"/>
      <c r="F283" s="5"/>
      <c r="G283" s="6"/>
      <c r="H283" s="7"/>
      <c r="I283" s="7"/>
      <c r="J283" s="7"/>
      <c r="K283" s="7"/>
      <c r="L283" s="7"/>
      <c r="M283" s="7"/>
      <c r="N283" s="5"/>
      <c r="O283" s="5"/>
      <c r="P283" s="7"/>
      <c r="Q283" s="7"/>
      <c r="R283" s="7"/>
    </row>
    <row r="284" spans="1:18" x14ac:dyDescent="0.2">
      <c r="A284" s="5"/>
      <c r="B284" s="5"/>
      <c r="C284" s="5"/>
      <c r="D284" s="5"/>
      <c r="E284" s="5"/>
      <c r="F284" s="5"/>
      <c r="G284" s="6"/>
      <c r="H284" s="7"/>
      <c r="I284" s="7"/>
      <c r="J284" s="7"/>
      <c r="K284" s="7"/>
      <c r="L284" s="7"/>
      <c r="M284" s="7"/>
      <c r="N284" s="5"/>
      <c r="O284" s="5"/>
      <c r="P284" s="7"/>
      <c r="Q284" s="7"/>
      <c r="R284" s="7"/>
    </row>
    <row r="285" spans="1:18" x14ac:dyDescent="0.2">
      <c r="A285" s="5"/>
      <c r="B285" s="5"/>
      <c r="C285" s="5"/>
      <c r="D285" s="5"/>
      <c r="E285" s="5"/>
      <c r="F285" s="5"/>
      <c r="G285" s="6"/>
      <c r="H285" s="7"/>
      <c r="I285" s="7"/>
      <c r="J285" s="7"/>
      <c r="K285" s="7"/>
      <c r="L285" s="7"/>
      <c r="M285" s="7"/>
      <c r="N285" s="5"/>
      <c r="O285" s="5"/>
      <c r="P285" s="7"/>
      <c r="Q285" s="7"/>
      <c r="R285" s="7"/>
    </row>
    <row r="286" spans="1:18" x14ac:dyDescent="0.2">
      <c r="A286" s="5"/>
      <c r="B286" s="5"/>
      <c r="C286" s="5"/>
      <c r="D286" s="5"/>
      <c r="E286" s="5"/>
      <c r="F286" s="5"/>
      <c r="G286" s="6"/>
      <c r="H286" s="7"/>
      <c r="I286" s="7"/>
      <c r="J286" s="7"/>
      <c r="K286" s="7"/>
      <c r="L286" s="7"/>
      <c r="M286" s="7"/>
      <c r="N286" s="5"/>
      <c r="O286" s="5"/>
      <c r="P286" s="7"/>
      <c r="Q286" s="7"/>
      <c r="R286" s="7"/>
    </row>
    <row r="287" spans="1:18" x14ac:dyDescent="0.2">
      <c r="A287" s="5"/>
      <c r="B287" s="5"/>
      <c r="C287" s="5"/>
      <c r="D287" s="5"/>
      <c r="E287" s="5"/>
      <c r="F287" s="5"/>
      <c r="G287" s="6"/>
      <c r="H287" s="7"/>
      <c r="I287" s="7"/>
      <c r="J287" s="7"/>
      <c r="K287" s="7"/>
      <c r="L287" s="7"/>
      <c r="M287" s="7"/>
      <c r="N287" s="5"/>
      <c r="O287" s="5"/>
      <c r="P287" s="7"/>
      <c r="Q287" s="7"/>
      <c r="R287" s="7"/>
    </row>
    <row r="288" spans="1:18" x14ac:dyDescent="0.2">
      <c r="A288" s="5"/>
      <c r="B288" s="5"/>
      <c r="C288" s="5"/>
      <c r="D288" s="5"/>
      <c r="E288" s="5"/>
      <c r="F288" s="5"/>
      <c r="G288" s="6"/>
      <c r="H288" s="7"/>
      <c r="I288" s="7"/>
      <c r="J288" s="7"/>
      <c r="K288" s="7"/>
      <c r="L288" s="7"/>
      <c r="M288" s="7"/>
      <c r="N288" s="5"/>
      <c r="O288" s="5"/>
      <c r="P288" s="7"/>
      <c r="Q288" s="7"/>
      <c r="R288" s="7"/>
    </row>
    <row r="289" spans="1:18" x14ac:dyDescent="0.2">
      <c r="A289" s="5"/>
      <c r="B289" s="5"/>
      <c r="C289" s="5"/>
      <c r="D289" s="5"/>
      <c r="E289" s="5"/>
      <c r="F289" s="5"/>
      <c r="G289" s="6"/>
      <c r="H289" s="7"/>
      <c r="I289" s="7"/>
      <c r="J289" s="7"/>
      <c r="K289" s="7"/>
      <c r="L289" s="7"/>
      <c r="M289" s="7"/>
      <c r="N289" s="5"/>
      <c r="O289" s="5"/>
      <c r="P289" s="7"/>
      <c r="Q289" s="7"/>
      <c r="R289" s="7"/>
    </row>
    <row r="290" spans="1:18" x14ac:dyDescent="0.2">
      <c r="A290" s="5"/>
      <c r="B290" s="5"/>
      <c r="C290" s="5"/>
      <c r="D290" s="5"/>
      <c r="E290" s="5"/>
      <c r="F290" s="5"/>
      <c r="G290" s="6"/>
      <c r="H290" s="7"/>
      <c r="I290" s="7"/>
      <c r="J290" s="7"/>
      <c r="K290" s="7"/>
      <c r="L290" s="7"/>
      <c r="M290" s="7"/>
      <c r="N290" s="5"/>
      <c r="O290" s="5"/>
      <c r="P290" s="7"/>
      <c r="Q290" s="7"/>
      <c r="R290" s="7"/>
    </row>
    <row r="291" spans="1:18" x14ac:dyDescent="0.2">
      <c r="A291" s="5"/>
      <c r="B291" s="5"/>
      <c r="C291" s="5"/>
      <c r="D291" s="5"/>
      <c r="E291" s="5"/>
      <c r="F291" s="5"/>
      <c r="G291" s="6"/>
      <c r="H291" s="7"/>
      <c r="I291" s="7"/>
      <c r="J291" s="7"/>
      <c r="K291" s="7"/>
      <c r="L291" s="7"/>
      <c r="M291" s="7"/>
      <c r="N291" s="5"/>
      <c r="O291" s="5"/>
      <c r="P291" s="7"/>
      <c r="Q291" s="7"/>
      <c r="R291" s="7"/>
    </row>
    <row r="292" spans="1:18" x14ac:dyDescent="0.2">
      <c r="A292" s="5"/>
      <c r="B292" s="5"/>
      <c r="C292" s="5"/>
      <c r="D292" s="5"/>
      <c r="E292" s="5"/>
      <c r="F292" s="5"/>
      <c r="G292" s="6"/>
      <c r="H292" s="7"/>
      <c r="I292" s="7"/>
      <c r="J292" s="7"/>
      <c r="K292" s="7"/>
      <c r="L292" s="7"/>
      <c r="M292" s="7"/>
      <c r="N292" s="5"/>
      <c r="O292" s="5"/>
      <c r="P292" s="7"/>
      <c r="Q292" s="7"/>
      <c r="R292" s="7"/>
    </row>
    <row r="293" spans="1:18" x14ac:dyDescent="0.2">
      <c r="A293" s="5"/>
      <c r="B293" s="5"/>
      <c r="C293" s="5"/>
      <c r="D293" s="5"/>
      <c r="E293" s="5"/>
      <c r="F293" s="5"/>
      <c r="G293" s="6"/>
      <c r="H293" s="7"/>
      <c r="I293" s="7"/>
      <c r="J293" s="7"/>
      <c r="K293" s="7"/>
      <c r="L293" s="7"/>
      <c r="M293" s="7"/>
      <c r="N293" s="5"/>
      <c r="O293" s="5"/>
      <c r="P293" s="7"/>
      <c r="Q293" s="7"/>
      <c r="R293" s="7"/>
    </row>
    <row r="294" spans="1:18" x14ac:dyDescent="0.2">
      <c r="A294" s="5"/>
      <c r="B294" s="5"/>
      <c r="C294" s="5"/>
      <c r="D294" s="5"/>
      <c r="E294" s="5"/>
      <c r="F294" s="5"/>
      <c r="G294" s="6"/>
      <c r="H294" s="7"/>
      <c r="I294" s="7"/>
      <c r="J294" s="7"/>
      <c r="K294" s="7"/>
      <c r="L294" s="7"/>
      <c r="M294" s="7"/>
      <c r="N294" s="5"/>
      <c r="O294" s="5"/>
      <c r="P294" s="7"/>
      <c r="Q294" s="7"/>
      <c r="R294" s="7"/>
    </row>
    <row r="295" spans="1:18" x14ac:dyDescent="0.2">
      <c r="A295" s="5"/>
      <c r="B295" s="5"/>
      <c r="C295" s="5"/>
      <c r="D295" s="5"/>
      <c r="E295" s="5"/>
      <c r="F295" s="5"/>
      <c r="G295" s="6"/>
      <c r="H295" s="7"/>
      <c r="I295" s="7"/>
      <c r="J295" s="7"/>
      <c r="K295" s="7"/>
      <c r="L295" s="7"/>
      <c r="M295" s="7"/>
      <c r="N295" s="5"/>
      <c r="O295" s="5"/>
      <c r="P295" s="7"/>
      <c r="Q295" s="7"/>
      <c r="R295" s="7"/>
    </row>
    <row r="296" spans="1:18" x14ac:dyDescent="0.2">
      <c r="A296" s="5"/>
      <c r="B296" s="5"/>
      <c r="C296" s="5"/>
      <c r="D296" s="5"/>
      <c r="E296" s="5"/>
      <c r="F296" s="5"/>
      <c r="G296" s="6"/>
      <c r="H296" s="7"/>
      <c r="I296" s="7"/>
      <c r="J296" s="7"/>
      <c r="K296" s="7"/>
      <c r="L296" s="7"/>
      <c r="M296" s="7"/>
      <c r="N296" s="5"/>
      <c r="O296" s="5"/>
      <c r="P296" s="7"/>
      <c r="Q296" s="7"/>
      <c r="R296" s="7"/>
    </row>
    <row r="297" spans="1:18" x14ac:dyDescent="0.2">
      <c r="A297" s="5"/>
      <c r="B297" s="5"/>
      <c r="C297" s="5"/>
      <c r="D297" s="5"/>
      <c r="E297" s="5"/>
      <c r="F297" s="5"/>
      <c r="G297" s="6"/>
      <c r="H297" s="7"/>
      <c r="I297" s="7"/>
      <c r="J297" s="7"/>
      <c r="K297" s="7"/>
      <c r="L297" s="7"/>
      <c r="M297" s="7"/>
      <c r="N297" s="5"/>
      <c r="O297" s="5"/>
      <c r="P297" s="7"/>
      <c r="Q297" s="7"/>
      <c r="R297" s="7"/>
    </row>
    <row r="298" spans="1:18" x14ac:dyDescent="0.2">
      <c r="A298" s="5"/>
      <c r="B298" s="5"/>
      <c r="C298" s="5"/>
      <c r="D298" s="5"/>
      <c r="E298" s="5"/>
      <c r="F298" s="5"/>
      <c r="G298" s="6"/>
      <c r="H298" s="7"/>
      <c r="I298" s="7"/>
      <c r="J298" s="7"/>
      <c r="K298" s="7"/>
      <c r="L298" s="7"/>
      <c r="M298" s="7"/>
      <c r="N298" s="5"/>
      <c r="O298" s="5"/>
      <c r="P298" s="7"/>
      <c r="Q298" s="7"/>
      <c r="R298" s="7"/>
    </row>
    <row r="299" spans="1:18" x14ac:dyDescent="0.2">
      <c r="A299" s="5"/>
      <c r="B299" s="5"/>
      <c r="C299" s="5"/>
      <c r="D299" s="5"/>
      <c r="E299" s="5"/>
      <c r="F299" s="5"/>
      <c r="G299" s="6"/>
      <c r="H299" s="7"/>
      <c r="I299" s="7"/>
      <c r="J299" s="7"/>
      <c r="K299" s="7"/>
      <c r="L299" s="7"/>
      <c r="M299" s="7"/>
      <c r="N299" s="5"/>
      <c r="O299" s="5"/>
      <c r="P299" s="7"/>
      <c r="Q299" s="7"/>
      <c r="R299" s="7"/>
    </row>
    <row r="300" spans="1:18" x14ac:dyDescent="0.2">
      <c r="A300" s="5"/>
      <c r="B300" s="5"/>
      <c r="C300" s="5"/>
      <c r="D300" s="5"/>
      <c r="E300" s="5"/>
      <c r="F300" s="5"/>
      <c r="G300" s="6"/>
      <c r="H300" s="7"/>
      <c r="I300" s="7"/>
      <c r="J300" s="7"/>
      <c r="K300" s="7"/>
      <c r="L300" s="7"/>
      <c r="M300" s="7"/>
      <c r="N300" s="5"/>
      <c r="O300" s="5"/>
      <c r="P300" s="7"/>
      <c r="Q300" s="7"/>
      <c r="R300" s="7"/>
    </row>
    <row r="301" spans="1:18" x14ac:dyDescent="0.2">
      <c r="A301" s="5"/>
      <c r="B301" s="5"/>
      <c r="C301" s="5"/>
      <c r="D301" s="5"/>
      <c r="E301" s="5"/>
      <c r="F301" s="5"/>
      <c r="G301" s="6"/>
      <c r="H301" s="7"/>
      <c r="I301" s="7"/>
      <c r="J301" s="7"/>
      <c r="K301" s="7"/>
      <c r="L301" s="7"/>
      <c r="M301" s="7"/>
      <c r="N301" s="5"/>
      <c r="O301" s="5"/>
      <c r="P301" s="7"/>
      <c r="Q301" s="7"/>
      <c r="R301" s="7"/>
    </row>
    <row r="302" spans="1:18" x14ac:dyDescent="0.2">
      <c r="A302" s="5"/>
      <c r="B302" s="5"/>
      <c r="C302" s="5"/>
      <c r="D302" s="5"/>
      <c r="E302" s="5"/>
      <c r="F302" s="5"/>
      <c r="G302" s="6"/>
      <c r="H302" s="7"/>
      <c r="I302" s="7"/>
      <c r="J302" s="7"/>
      <c r="K302" s="7"/>
      <c r="L302" s="7"/>
      <c r="M302" s="7"/>
      <c r="N302" s="5"/>
      <c r="O302" s="5"/>
      <c r="P302" s="7"/>
      <c r="Q302" s="7"/>
      <c r="R302" s="7"/>
    </row>
    <row r="303" spans="1:18" x14ac:dyDescent="0.2">
      <c r="A303" s="5"/>
      <c r="B303" s="5"/>
      <c r="C303" s="5"/>
      <c r="D303" s="5"/>
      <c r="E303" s="5"/>
      <c r="F303" s="5"/>
      <c r="G303" s="6"/>
      <c r="H303" s="7"/>
      <c r="I303" s="7"/>
      <c r="J303" s="7"/>
      <c r="K303" s="7"/>
      <c r="L303" s="7"/>
      <c r="M303" s="7"/>
      <c r="N303" s="5"/>
      <c r="O303" s="5"/>
      <c r="P303" s="7"/>
      <c r="Q303" s="7"/>
      <c r="R303" s="7"/>
    </row>
    <row r="304" spans="1:18" x14ac:dyDescent="0.2">
      <c r="A304" s="5"/>
      <c r="B304" s="5"/>
      <c r="C304" s="5"/>
      <c r="D304" s="5"/>
      <c r="E304" s="5"/>
      <c r="F304" s="5"/>
      <c r="G304" s="6"/>
      <c r="H304" s="7"/>
      <c r="I304" s="7"/>
      <c r="J304" s="7"/>
      <c r="K304" s="7"/>
      <c r="L304" s="7"/>
      <c r="M304" s="7"/>
      <c r="N304" s="5"/>
      <c r="O304" s="5"/>
      <c r="P304" s="7"/>
      <c r="Q304" s="7"/>
      <c r="R304" s="7"/>
    </row>
    <row r="305" spans="1:18" x14ac:dyDescent="0.2">
      <c r="A305" s="5"/>
      <c r="B305" s="5"/>
      <c r="C305" s="5"/>
      <c r="D305" s="5"/>
      <c r="E305" s="5"/>
      <c r="F305" s="5"/>
      <c r="G305" s="6"/>
      <c r="H305" s="7"/>
      <c r="I305" s="7"/>
      <c r="J305" s="7"/>
      <c r="K305" s="7"/>
      <c r="L305" s="7"/>
      <c r="M305" s="7"/>
      <c r="N305" s="5"/>
      <c r="O305" s="5"/>
      <c r="P305" s="7"/>
      <c r="Q305" s="7"/>
      <c r="R305" s="7"/>
    </row>
    <row r="306" spans="1:18" x14ac:dyDescent="0.2">
      <c r="A306" s="5"/>
      <c r="B306" s="5"/>
      <c r="C306" s="5"/>
      <c r="D306" s="5"/>
      <c r="E306" s="5"/>
      <c r="F306" s="5"/>
      <c r="G306" s="6"/>
      <c r="H306" s="7"/>
      <c r="I306" s="7"/>
      <c r="J306" s="7"/>
      <c r="K306" s="7"/>
      <c r="L306" s="7"/>
      <c r="M306" s="7"/>
      <c r="N306" s="5"/>
      <c r="O306" s="5"/>
      <c r="P306" s="7"/>
      <c r="Q306" s="7"/>
      <c r="R306" s="7"/>
    </row>
    <row r="307" spans="1:18" x14ac:dyDescent="0.2">
      <c r="A307" s="5"/>
      <c r="B307" s="5"/>
      <c r="C307" s="5"/>
      <c r="D307" s="5"/>
      <c r="E307" s="5"/>
      <c r="F307" s="5"/>
      <c r="G307" s="6"/>
      <c r="H307" s="7"/>
      <c r="I307" s="7"/>
      <c r="J307" s="7"/>
      <c r="K307" s="7"/>
      <c r="L307" s="7"/>
      <c r="M307" s="7"/>
      <c r="N307" s="5"/>
      <c r="O307" s="5"/>
      <c r="P307" s="7"/>
      <c r="Q307" s="7"/>
      <c r="R307" s="7"/>
    </row>
    <row r="308" spans="1:18" x14ac:dyDescent="0.2">
      <c r="A308" s="5"/>
      <c r="B308" s="5"/>
      <c r="C308" s="5"/>
      <c r="D308" s="5"/>
      <c r="E308" s="5"/>
      <c r="F308" s="5"/>
      <c r="G308" s="6"/>
      <c r="H308" s="7"/>
      <c r="I308" s="7"/>
      <c r="J308" s="7"/>
      <c r="K308" s="7"/>
      <c r="L308" s="7"/>
      <c r="M308" s="7"/>
      <c r="N308" s="5"/>
      <c r="O308" s="5"/>
      <c r="P308" s="7"/>
      <c r="Q308" s="7"/>
      <c r="R308" s="7"/>
    </row>
    <row r="309" spans="1:18" x14ac:dyDescent="0.2">
      <c r="A309" s="5"/>
      <c r="B309" s="5"/>
      <c r="C309" s="5"/>
      <c r="D309" s="5"/>
      <c r="E309" s="5"/>
      <c r="F309" s="5"/>
      <c r="G309" s="6"/>
      <c r="H309" s="7"/>
      <c r="I309" s="7"/>
      <c r="J309" s="7"/>
      <c r="K309" s="7"/>
      <c r="L309" s="7"/>
      <c r="M309" s="7"/>
      <c r="N309" s="5"/>
      <c r="O309" s="5"/>
      <c r="P309" s="7"/>
      <c r="Q309" s="7"/>
      <c r="R309" s="7"/>
    </row>
    <row r="310" spans="1:18" x14ac:dyDescent="0.2">
      <c r="A310" s="5"/>
      <c r="B310" s="5"/>
      <c r="C310" s="5"/>
      <c r="D310" s="5"/>
      <c r="E310" s="5"/>
      <c r="F310" s="5"/>
      <c r="G310" s="6"/>
      <c r="H310" s="7"/>
      <c r="I310" s="7"/>
      <c r="J310" s="7"/>
      <c r="K310" s="7"/>
      <c r="L310" s="7"/>
      <c r="M310" s="7"/>
      <c r="N310" s="5"/>
      <c r="O310" s="5"/>
      <c r="P310" s="7"/>
      <c r="Q310" s="7"/>
      <c r="R310" s="7"/>
    </row>
    <row r="311" spans="1:18" x14ac:dyDescent="0.2">
      <c r="A311" s="5"/>
      <c r="B311" s="5"/>
      <c r="C311" s="5"/>
      <c r="D311" s="5"/>
      <c r="E311" s="5"/>
      <c r="F311" s="5"/>
      <c r="G311" s="6"/>
      <c r="H311" s="7"/>
      <c r="I311" s="7"/>
      <c r="J311" s="7"/>
      <c r="K311" s="7"/>
      <c r="L311" s="7"/>
      <c r="M311" s="7"/>
      <c r="N311" s="5"/>
      <c r="O311" s="5"/>
      <c r="P311" s="7"/>
      <c r="Q311" s="7"/>
      <c r="R311" s="7"/>
    </row>
    <row r="312" spans="1:18" x14ac:dyDescent="0.2">
      <c r="A312" s="5"/>
      <c r="B312" s="5"/>
      <c r="C312" s="5"/>
      <c r="D312" s="5"/>
      <c r="E312" s="5"/>
      <c r="F312" s="5"/>
      <c r="G312" s="6"/>
      <c r="H312" s="7"/>
      <c r="I312" s="7"/>
      <c r="J312" s="7"/>
      <c r="K312" s="7"/>
      <c r="L312" s="7"/>
      <c r="M312" s="7"/>
      <c r="N312" s="5"/>
      <c r="O312" s="5"/>
      <c r="P312" s="7"/>
      <c r="Q312" s="7"/>
      <c r="R312" s="7"/>
    </row>
    <row r="313" spans="1:18" x14ac:dyDescent="0.2">
      <c r="A313" s="5"/>
      <c r="B313" s="5"/>
      <c r="C313" s="5"/>
      <c r="D313" s="5"/>
      <c r="E313" s="5"/>
      <c r="F313" s="5"/>
      <c r="G313" s="6"/>
      <c r="H313" s="7"/>
      <c r="I313" s="7"/>
      <c r="J313" s="7"/>
      <c r="K313" s="7"/>
      <c r="L313" s="7"/>
      <c r="M313" s="7"/>
      <c r="N313" s="5"/>
      <c r="O313" s="5"/>
      <c r="P313" s="7"/>
      <c r="Q313" s="7"/>
      <c r="R313" s="7"/>
    </row>
    <row r="314" spans="1:18" x14ac:dyDescent="0.2">
      <c r="A314" s="5"/>
      <c r="B314" s="5"/>
      <c r="C314" s="5"/>
      <c r="D314" s="5"/>
      <c r="E314" s="5"/>
      <c r="F314" s="5"/>
      <c r="G314" s="6"/>
      <c r="H314" s="7"/>
      <c r="I314" s="7"/>
      <c r="J314" s="7"/>
      <c r="K314" s="7"/>
      <c r="L314" s="7"/>
      <c r="M314" s="7"/>
      <c r="N314" s="5"/>
      <c r="O314" s="5"/>
      <c r="P314" s="7"/>
      <c r="Q314" s="7"/>
      <c r="R314" s="7"/>
    </row>
    <row r="315" spans="1:18" x14ac:dyDescent="0.2">
      <c r="A315" s="5"/>
      <c r="B315" s="5"/>
      <c r="C315" s="5"/>
      <c r="D315" s="5"/>
      <c r="E315" s="5"/>
      <c r="F315" s="5"/>
      <c r="G315" s="6"/>
      <c r="H315" s="7"/>
      <c r="I315" s="7"/>
      <c r="J315" s="7"/>
      <c r="K315" s="7"/>
      <c r="L315" s="7"/>
      <c r="M315" s="7"/>
      <c r="N315" s="5"/>
      <c r="O315" s="5"/>
      <c r="P315" s="7"/>
      <c r="Q315" s="7"/>
      <c r="R315" s="7"/>
    </row>
    <row r="316" spans="1:18" x14ac:dyDescent="0.2">
      <c r="A316" s="5"/>
      <c r="B316" s="5"/>
      <c r="C316" s="5"/>
      <c r="D316" s="5"/>
      <c r="E316" s="5"/>
      <c r="F316" s="5"/>
      <c r="G316" s="6"/>
      <c r="H316" s="7"/>
      <c r="I316" s="7"/>
      <c r="J316" s="7"/>
      <c r="K316" s="7"/>
      <c r="L316" s="7"/>
      <c r="M316" s="7"/>
      <c r="N316" s="5"/>
      <c r="O316" s="5"/>
      <c r="P316" s="7"/>
      <c r="Q316" s="7"/>
      <c r="R316" s="7"/>
    </row>
    <row r="317" spans="1:18" x14ac:dyDescent="0.2">
      <c r="A317" s="5"/>
      <c r="B317" s="5"/>
      <c r="C317" s="5"/>
      <c r="D317" s="5"/>
      <c r="E317" s="5"/>
      <c r="F317" s="5"/>
      <c r="G317" s="6"/>
      <c r="H317" s="7"/>
      <c r="I317" s="7"/>
      <c r="J317" s="7"/>
      <c r="K317" s="7"/>
      <c r="L317" s="7"/>
      <c r="M317" s="7"/>
      <c r="N317" s="5"/>
      <c r="O317" s="5"/>
      <c r="P317" s="7"/>
      <c r="Q317" s="7"/>
      <c r="R317" s="7"/>
    </row>
    <row r="318" spans="1:18" x14ac:dyDescent="0.2">
      <c r="A318" s="5"/>
      <c r="B318" s="5"/>
      <c r="C318" s="5"/>
      <c r="D318" s="5"/>
      <c r="E318" s="5"/>
      <c r="F318" s="5"/>
      <c r="G318" s="6"/>
      <c r="H318" s="7"/>
      <c r="I318" s="7"/>
      <c r="J318" s="7"/>
      <c r="K318" s="7"/>
      <c r="L318" s="7"/>
      <c r="M318" s="7"/>
      <c r="N318" s="5"/>
      <c r="O318" s="5"/>
      <c r="P318" s="7"/>
      <c r="Q318" s="7"/>
      <c r="R318" s="7"/>
    </row>
    <row r="319" spans="1:18" x14ac:dyDescent="0.2">
      <c r="A319" s="5"/>
      <c r="B319" s="5"/>
      <c r="C319" s="5"/>
      <c r="D319" s="5"/>
      <c r="E319" s="5"/>
      <c r="F319" s="5"/>
      <c r="G319" s="6"/>
      <c r="H319" s="7"/>
      <c r="I319" s="7"/>
      <c r="J319" s="7"/>
      <c r="K319" s="7"/>
      <c r="L319" s="7"/>
      <c r="M319" s="7"/>
      <c r="N319" s="5"/>
      <c r="O319" s="5"/>
      <c r="P319" s="7"/>
      <c r="Q319" s="7"/>
      <c r="R319" s="7"/>
    </row>
    <row r="320" spans="1:18" x14ac:dyDescent="0.2">
      <c r="A320" s="5"/>
      <c r="B320" s="5"/>
      <c r="C320" s="5"/>
      <c r="D320" s="5"/>
      <c r="E320" s="5"/>
      <c r="F320" s="5"/>
      <c r="G320" s="6"/>
      <c r="H320" s="7"/>
      <c r="I320" s="7"/>
      <c r="J320" s="7"/>
      <c r="K320" s="7"/>
      <c r="L320" s="7"/>
      <c r="M320" s="7"/>
      <c r="N320" s="5"/>
      <c r="O320" s="5"/>
      <c r="P320" s="7"/>
      <c r="Q320" s="7"/>
      <c r="R320" s="7"/>
    </row>
    <row r="321" spans="1:18" x14ac:dyDescent="0.2">
      <c r="A321" s="5"/>
      <c r="B321" s="5"/>
      <c r="C321" s="5"/>
      <c r="D321" s="5"/>
      <c r="E321" s="5"/>
      <c r="F321" s="5"/>
      <c r="G321" s="6"/>
      <c r="H321" s="7"/>
      <c r="I321" s="7"/>
      <c r="J321" s="7"/>
      <c r="K321" s="7"/>
      <c r="L321" s="7"/>
      <c r="M321" s="7"/>
      <c r="N321" s="5"/>
      <c r="O321" s="5"/>
      <c r="P321" s="7"/>
      <c r="Q321" s="7"/>
      <c r="R321" s="7"/>
    </row>
    <row r="322" spans="1:18" x14ac:dyDescent="0.2">
      <c r="A322" s="5"/>
      <c r="B322" s="5"/>
      <c r="C322" s="5"/>
      <c r="D322" s="5"/>
      <c r="E322" s="5"/>
      <c r="F322" s="5"/>
      <c r="G322" s="6"/>
      <c r="H322" s="7"/>
      <c r="I322" s="7"/>
      <c r="J322" s="7"/>
      <c r="K322" s="7"/>
      <c r="L322" s="7"/>
      <c r="M322" s="7"/>
      <c r="N322" s="5"/>
      <c r="O322" s="5"/>
      <c r="P322" s="7"/>
      <c r="Q322" s="7"/>
      <c r="R322" s="7"/>
    </row>
    <row r="323" spans="1:18" x14ac:dyDescent="0.2">
      <c r="A323" s="5"/>
      <c r="B323" s="5"/>
      <c r="C323" s="5"/>
      <c r="D323" s="5"/>
      <c r="E323" s="5"/>
      <c r="F323" s="5"/>
      <c r="G323" s="6"/>
      <c r="H323" s="7"/>
      <c r="I323" s="7"/>
      <c r="J323" s="7"/>
      <c r="K323" s="7"/>
      <c r="L323" s="7"/>
      <c r="M323" s="7"/>
      <c r="N323" s="5"/>
      <c r="O323" s="5"/>
      <c r="P323" s="7"/>
      <c r="Q323" s="7"/>
      <c r="R323" s="7"/>
    </row>
    <row r="324" spans="1:18" x14ac:dyDescent="0.2">
      <c r="A324" s="5"/>
      <c r="B324" s="5"/>
      <c r="C324" s="5"/>
      <c r="D324" s="5"/>
      <c r="E324" s="5"/>
      <c r="F324" s="5"/>
      <c r="G324" s="6"/>
      <c r="H324" s="7"/>
      <c r="I324" s="7"/>
      <c r="J324" s="7"/>
      <c r="K324" s="7"/>
      <c r="L324" s="7"/>
      <c r="M324" s="7"/>
      <c r="N324" s="5"/>
      <c r="O324" s="5"/>
      <c r="P324" s="7"/>
      <c r="Q324" s="7"/>
      <c r="R324" s="7"/>
    </row>
    <row r="325" spans="1:18" x14ac:dyDescent="0.2">
      <c r="A325" s="5"/>
      <c r="B325" s="5"/>
      <c r="C325" s="5"/>
      <c r="D325" s="5"/>
      <c r="E325" s="5"/>
      <c r="F325" s="5"/>
      <c r="G325" s="6"/>
      <c r="H325" s="7"/>
      <c r="I325" s="7"/>
      <c r="J325" s="7"/>
      <c r="K325" s="7"/>
      <c r="L325" s="7"/>
      <c r="M325" s="7"/>
      <c r="N325" s="5"/>
      <c r="O325" s="5"/>
      <c r="P325" s="7"/>
      <c r="Q325" s="7"/>
      <c r="R325" s="7"/>
    </row>
    <row r="326" spans="1:18" x14ac:dyDescent="0.2">
      <c r="A326" s="5"/>
      <c r="B326" s="5"/>
      <c r="C326" s="5"/>
      <c r="D326" s="5"/>
      <c r="E326" s="5"/>
      <c r="F326" s="5"/>
      <c r="G326" s="6"/>
      <c r="H326" s="7"/>
      <c r="I326" s="7"/>
      <c r="J326" s="7"/>
      <c r="K326" s="7"/>
      <c r="L326" s="7"/>
      <c r="M326" s="7"/>
      <c r="N326" s="5"/>
      <c r="O326" s="5"/>
      <c r="P326" s="7"/>
      <c r="Q326" s="7"/>
      <c r="R326" s="7"/>
    </row>
    <row r="327" spans="1:18" x14ac:dyDescent="0.2">
      <c r="A327" s="5"/>
      <c r="B327" s="5"/>
      <c r="C327" s="5"/>
      <c r="D327" s="5"/>
      <c r="E327" s="5"/>
      <c r="F327" s="5"/>
      <c r="G327" s="6"/>
      <c r="H327" s="7"/>
      <c r="I327" s="7"/>
      <c r="J327" s="7"/>
      <c r="K327" s="7"/>
      <c r="L327" s="7"/>
      <c r="M327" s="7"/>
      <c r="N327" s="5"/>
      <c r="O327" s="5"/>
      <c r="P327" s="7"/>
      <c r="Q327" s="7"/>
      <c r="R327" s="7"/>
    </row>
    <row r="328" spans="1:18" x14ac:dyDescent="0.2">
      <c r="A328" s="5"/>
      <c r="B328" s="5"/>
      <c r="C328" s="5"/>
      <c r="D328" s="5"/>
      <c r="E328" s="5"/>
      <c r="F328" s="5"/>
      <c r="G328" s="6"/>
      <c r="H328" s="7"/>
      <c r="I328" s="7"/>
      <c r="J328" s="7"/>
      <c r="K328" s="7"/>
      <c r="L328" s="7"/>
      <c r="M328" s="7"/>
      <c r="N328" s="5"/>
      <c r="O328" s="5"/>
      <c r="P328" s="7"/>
      <c r="Q328" s="7"/>
      <c r="R328" s="7"/>
    </row>
    <row r="329" spans="1:18" x14ac:dyDescent="0.2">
      <c r="A329" s="5"/>
      <c r="B329" s="5"/>
      <c r="C329" s="5"/>
      <c r="D329" s="5"/>
      <c r="E329" s="5"/>
      <c r="F329" s="5"/>
      <c r="G329" s="6"/>
      <c r="H329" s="7"/>
      <c r="I329" s="7"/>
      <c r="J329" s="7"/>
      <c r="K329" s="7"/>
      <c r="L329" s="7"/>
      <c r="M329" s="7"/>
      <c r="N329" s="5"/>
      <c r="O329" s="5"/>
      <c r="P329" s="7"/>
      <c r="Q329" s="7"/>
      <c r="R329" s="7"/>
    </row>
    <row r="330" spans="1:18" x14ac:dyDescent="0.2">
      <c r="A330" s="5"/>
      <c r="B330" s="5"/>
      <c r="C330" s="5"/>
      <c r="D330" s="5"/>
      <c r="E330" s="5"/>
      <c r="F330" s="5"/>
      <c r="G330" s="6"/>
      <c r="H330" s="7"/>
      <c r="I330" s="7"/>
      <c r="J330" s="7"/>
      <c r="K330" s="7"/>
      <c r="L330" s="7"/>
      <c r="M330" s="7"/>
      <c r="N330" s="5"/>
      <c r="O330" s="5"/>
      <c r="P330" s="7"/>
      <c r="Q330" s="7"/>
      <c r="R330" s="7"/>
    </row>
    <row r="331" spans="1:18" x14ac:dyDescent="0.2">
      <c r="A331" s="5"/>
      <c r="B331" s="5"/>
      <c r="C331" s="5"/>
      <c r="D331" s="5"/>
      <c r="E331" s="5"/>
      <c r="F331" s="5"/>
      <c r="G331" s="6"/>
      <c r="H331" s="7"/>
      <c r="I331" s="7"/>
      <c r="J331" s="7"/>
      <c r="K331" s="7"/>
      <c r="L331" s="7"/>
      <c r="M331" s="7"/>
      <c r="N331" s="5"/>
      <c r="O331" s="5"/>
      <c r="P331" s="7"/>
      <c r="Q331" s="7"/>
      <c r="R331" s="7"/>
    </row>
    <row r="332" spans="1:18" x14ac:dyDescent="0.2">
      <c r="A332" s="5"/>
      <c r="B332" s="5"/>
      <c r="C332" s="5"/>
      <c r="D332" s="5"/>
      <c r="E332" s="5"/>
      <c r="F332" s="5"/>
      <c r="G332" s="6"/>
      <c r="H332" s="7"/>
      <c r="I332" s="7"/>
      <c r="J332" s="7"/>
      <c r="K332" s="7"/>
      <c r="L332" s="7"/>
      <c r="M332" s="7"/>
      <c r="N332" s="5"/>
      <c r="O332" s="5"/>
      <c r="P332" s="7"/>
      <c r="Q332" s="7"/>
      <c r="R332" s="7"/>
    </row>
    <row r="333" spans="1:18" x14ac:dyDescent="0.2">
      <c r="A333" s="5"/>
      <c r="B333" s="5"/>
      <c r="C333" s="5"/>
      <c r="D333" s="5"/>
      <c r="E333" s="5"/>
      <c r="F333" s="5"/>
      <c r="G333" s="6"/>
      <c r="H333" s="7"/>
      <c r="I333" s="7"/>
      <c r="J333" s="7"/>
      <c r="K333" s="7"/>
      <c r="L333" s="7"/>
      <c r="M333" s="7"/>
      <c r="N333" s="5"/>
      <c r="O333" s="5"/>
      <c r="P333" s="7"/>
      <c r="Q333" s="7"/>
      <c r="R333" s="7"/>
    </row>
    <row r="334" spans="1:18" x14ac:dyDescent="0.2">
      <c r="A334" s="5"/>
      <c r="B334" s="5"/>
      <c r="C334" s="5"/>
      <c r="D334" s="5"/>
      <c r="E334" s="5"/>
      <c r="F334" s="5"/>
      <c r="G334" s="6"/>
      <c r="H334" s="7"/>
      <c r="I334" s="7"/>
      <c r="J334" s="7"/>
      <c r="K334" s="7"/>
      <c r="L334" s="7"/>
      <c r="M334" s="7"/>
      <c r="N334" s="5"/>
      <c r="O334" s="5"/>
      <c r="P334" s="7"/>
      <c r="Q334" s="7"/>
      <c r="R334" s="7"/>
    </row>
    <row r="335" spans="1:18" x14ac:dyDescent="0.2">
      <c r="A335" s="5"/>
      <c r="B335" s="5"/>
      <c r="C335" s="5"/>
      <c r="D335" s="5"/>
      <c r="E335" s="5"/>
      <c r="F335" s="5"/>
      <c r="G335" s="6"/>
      <c r="H335" s="7"/>
      <c r="I335" s="7"/>
      <c r="J335" s="7"/>
      <c r="K335" s="7"/>
      <c r="L335" s="7"/>
      <c r="M335" s="7"/>
      <c r="N335" s="5"/>
      <c r="O335" s="5"/>
      <c r="P335" s="7"/>
      <c r="Q335" s="7"/>
      <c r="R335" s="7"/>
    </row>
    <row r="336" spans="1:18" x14ac:dyDescent="0.2">
      <c r="A336" s="5"/>
      <c r="B336" s="5"/>
      <c r="C336" s="5"/>
      <c r="D336" s="5"/>
      <c r="E336" s="5"/>
      <c r="F336" s="5"/>
      <c r="G336" s="6"/>
      <c r="H336" s="7"/>
      <c r="I336" s="7"/>
      <c r="J336" s="7"/>
      <c r="K336" s="7"/>
      <c r="L336" s="7"/>
      <c r="M336" s="7"/>
      <c r="N336" s="5"/>
      <c r="O336" s="5"/>
      <c r="P336" s="7"/>
      <c r="Q336" s="7"/>
      <c r="R336" s="7"/>
    </row>
    <row r="337" spans="1:18" x14ac:dyDescent="0.2">
      <c r="A337" s="5"/>
      <c r="B337" s="5"/>
      <c r="C337" s="5"/>
      <c r="D337" s="5"/>
      <c r="E337" s="5"/>
      <c r="F337" s="5"/>
      <c r="G337" s="6"/>
      <c r="H337" s="7"/>
      <c r="I337" s="7"/>
      <c r="J337" s="7"/>
      <c r="K337" s="7"/>
      <c r="L337" s="7"/>
      <c r="M337" s="7"/>
      <c r="N337" s="5"/>
      <c r="O337" s="5"/>
      <c r="P337" s="7"/>
      <c r="Q337" s="7"/>
      <c r="R337" s="7"/>
    </row>
    <row r="338" spans="1:18" x14ac:dyDescent="0.2">
      <c r="A338" s="5"/>
      <c r="B338" s="5"/>
      <c r="C338" s="5"/>
      <c r="D338" s="5"/>
      <c r="E338" s="5"/>
      <c r="F338" s="5"/>
      <c r="G338" s="6"/>
      <c r="H338" s="7"/>
      <c r="I338" s="7"/>
      <c r="J338" s="7"/>
      <c r="K338" s="7"/>
      <c r="L338" s="7"/>
      <c r="M338" s="7"/>
      <c r="N338" s="5"/>
      <c r="O338" s="5"/>
      <c r="P338" s="7"/>
      <c r="Q338" s="7"/>
      <c r="R338" s="7"/>
    </row>
    <row r="339" spans="1:18" x14ac:dyDescent="0.2">
      <c r="A339" s="5"/>
      <c r="B339" s="5"/>
      <c r="C339" s="5"/>
      <c r="D339" s="5"/>
      <c r="E339" s="5"/>
      <c r="F339" s="5"/>
      <c r="G339" s="6"/>
      <c r="H339" s="7"/>
      <c r="I339" s="7"/>
      <c r="J339" s="7"/>
      <c r="K339" s="7"/>
      <c r="L339" s="7"/>
      <c r="M339" s="7"/>
      <c r="N339" s="5"/>
      <c r="O339" s="5"/>
      <c r="P339" s="7"/>
      <c r="Q339" s="7"/>
      <c r="R339" s="7"/>
    </row>
    <row r="340" spans="1:18" x14ac:dyDescent="0.2">
      <c r="A340" s="5"/>
      <c r="B340" s="5"/>
      <c r="C340" s="5"/>
      <c r="D340" s="5"/>
      <c r="E340" s="5"/>
      <c r="F340" s="5"/>
      <c r="G340" s="6"/>
      <c r="H340" s="7"/>
      <c r="I340" s="7"/>
      <c r="J340" s="7"/>
      <c r="K340" s="7"/>
      <c r="L340" s="7"/>
      <c r="M340" s="7"/>
      <c r="N340" s="5"/>
      <c r="O340" s="5"/>
      <c r="P340" s="7"/>
      <c r="Q340" s="7"/>
      <c r="R340" s="7"/>
    </row>
    <row r="341" spans="1:18" x14ac:dyDescent="0.2">
      <c r="A341" s="5"/>
      <c r="B341" s="5"/>
      <c r="C341" s="5"/>
      <c r="D341" s="5"/>
      <c r="E341" s="5"/>
      <c r="F341" s="5"/>
      <c r="G341" s="6"/>
      <c r="H341" s="7"/>
      <c r="I341" s="7"/>
      <c r="J341" s="7"/>
      <c r="K341" s="7"/>
      <c r="L341" s="7"/>
      <c r="M341" s="7"/>
      <c r="N341" s="5"/>
      <c r="O341" s="5"/>
      <c r="P341" s="7"/>
      <c r="Q341" s="7"/>
      <c r="R341" s="7"/>
    </row>
    <row r="342" spans="1:18" x14ac:dyDescent="0.2">
      <c r="A342" s="5"/>
      <c r="B342" s="5"/>
      <c r="C342" s="5"/>
      <c r="D342" s="5"/>
      <c r="E342" s="5"/>
      <c r="F342" s="5"/>
      <c r="G342" s="6"/>
      <c r="H342" s="7"/>
      <c r="I342" s="7"/>
      <c r="J342" s="7"/>
      <c r="K342" s="7"/>
      <c r="L342" s="7"/>
      <c r="M342" s="7"/>
      <c r="N342" s="5"/>
      <c r="O342" s="5"/>
      <c r="P342" s="7"/>
      <c r="Q342" s="7"/>
      <c r="R342" s="7"/>
    </row>
    <row r="343" spans="1:18" x14ac:dyDescent="0.2">
      <c r="A343" s="5"/>
      <c r="B343" s="5"/>
      <c r="C343" s="5"/>
      <c r="D343" s="5"/>
      <c r="E343" s="5"/>
      <c r="F343" s="5"/>
      <c r="G343" s="6"/>
      <c r="H343" s="7"/>
      <c r="I343" s="7"/>
      <c r="J343" s="7"/>
      <c r="K343" s="7"/>
      <c r="L343" s="7"/>
      <c r="M343" s="7"/>
      <c r="N343" s="5"/>
      <c r="O343" s="5"/>
      <c r="P343" s="7"/>
      <c r="Q343" s="7"/>
      <c r="R343" s="7"/>
    </row>
    <row r="344" spans="1:18" x14ac:dyDescent="0.2">
      <c r="A344" s="5"/>
      <c r="B344" s="5"/>
      <c r="C344" s="5"/>
      <c r="D344" s="5"/>
      <c r="E344" s="5"/>
      <c r="F344" s="5"/>
      <c r="G344" s="6"/>
      <c r="H344" s="7"/>
      <c r="I344" s="7"/>
      <c r="J344" s="7"/>
      <c r="K344" s="7"/>
      <c r="L344" s="7"/>
      <c r="M344" s="7"/>
      <c r="N344" s="5"/>
      <c r="O344" s="5"/>
      <c r="P344" s="7"/>
      <c r="Q344" s="7"/>
      <c r="R344" s="7"/>
    </row>
    <row r="345" spans="1:18" x14ac:dyDescent="0.2">
      <c r="A345" s="5"/>
      <c r="B345" s="5"/>
      <c r="C345" s="5"/>
      <c r="D345" s="5"/>
      <c r="E345" s="5"/>
      <c r="F345" s="5"/>
      <c r="G345" s="6"/>
      <c r="H345" s="7"/>
      <c r="I345" s="7"/>
      <c r="J345" s="7"/>
      <c r="K345" s="7"/>
      <c r="L345" s="7"/>
      <c r="M345" s="7"/>
      <c r="N345" s="5"/>
      <c r="O345" s="5"/>
      <c r="P345" s="7"/>
      <c r="Q345" s="7"/>
      <c r="R345" s="7"/>
    </row>
    <row r="346" spans="1:18" x14ac:dyDescent="0.2">
      <c r="A346" s="5"/>
      <c r="B346" s="5"/>
      <c r="C346" s="5"/>
      <c r="D346" s="5"/>
      <c r="E346" s="5"/>
      <c r="F346" s="5"/>
      <c r="G346" s="6"/>
      <c r="H346" s="7"/>
      <c r="I346" s="7"/>
      <c r="J346" s="7"/>
      <c r="K346" s="7"/>
      <c r="L346" s="7"/>
      <c r="M346" s="7"/>
      <c r="N346" s="5"/>
      <c r="O346" s="5"/>
      <c r="P346" s="7"/>
      <c r="Q346" s="7"/>
      <c r="R346" s="7"/>
    </row>
    <row r="347" spans="1:18" x14ac:dyDescent="0.2">
      <c r="A347" s="5"/>
      <c r="B347" s="5"/>
      <c r="C347" s="5"/>
      <c r="D347" s="5"/>
      <c r="E347" s="5"/>
      <c r="F347" s="5"/>
      <c r="G347" s="6"/>
      <c r="H347" s="7"/>
      <c r="I347" s="7"/>
      <c r="J347" s="7"/>
      <c r="K347" s="7"/>
      <c r="L347" s="7"/>
      <c r="M347" s="7"/>
      <c r="N347" s="5"/>
      <c r="O347" s="5"/>
      <c r="P347" s="7"/>
      <c r="Q347" s="7"/>
      <c r="R347" s="7"/>
    </row>
    <row r="348" spans="1:18" x14ac:dyDescent="0.2">
      <c r="A348" s="5"/>
      <c r="B348" s="5"/>
      <c r="C348" s="5"/>
      <c r="D348" s="5"/>
      <c r="E348" s="5"/>
      <c r="F348" s="5"/>
      <c r="G348" s="6"/>
      <c r="H348" s="7"/>
      <c r="I348" s="7"/>
      <c r="J348" s="7"/>
      <c r="K348" s="7"/>
      <c r="L348" s="7"/>
      <c r="M348" s="7"/>
      <c r="N348" s="5"/>
      <c r="O348" s="5"/>
      <c r="P348" s="7"/>
      <c r="Q348" s="7"/>
      <c r="R348" s="7"/>
    </row>
    <row r="349" spans="1:18" x14ac:dyDescent="0.2">
      <c r="A349" s="5"/>
      <c r="B349" s="5"/>
      <c r="C349" s="5"/>
      <c r="D349" s="5"/>
      <c r="E349" s="5"/>
      <c r="F349" s="5"/>
      <c r="G349" s="6"/>
      <c r="H349" s="7"/>
      <c r="I349" s="7"/>
      <c r="J349" s="7"/>
      <c r="K349" s="7"/>
      <c r="L349" s="7"/>
      <c r="M349" s="7"/>
      <c r="N349" s="5"/>
      <c r="O349" s="5"/>
      <c r="P349" s="7"/>
      <c r="Q349" s="7"/>
      <c r="R349" s="7"/>
    </row>
    <row r="350" spans="1:18" x14ac:dyDescent="0.2">
      <c r="A350" s="5"/>
      <c r="B350" s="5"/>
      <c r="C350" s="5"/>
      <c r="D350" s="5"/>
      <c r="E350" s="5"/>
      <c r="F350" s="5"/>
      <c r="G350" s="6"/>
      <c r="H350" s="7"/>
      <c r="I350" s="7"/>
      <c r="J350" s="7"/>
      <c r="K350" s="7"/>
      <c r="L350" s="7"/>
      <c r="M350" s="7"/>
      <c r="N350" s="5"/>
      <c r="O350" s="5"/>
      <c r="P350" s="7"/>
      <c r="Q350" s="7"/>
      <c r="R350" s="7"/>
    </row>
    <row r="351" spans="1:18" x14ac:dyDescent="0.2">
      <c r="A351" s="5"/>
      <c r="B351" s="5"/>
      <c r="C351" s="5"/>
      <c r="D351" s="5"/>
      <c r="E351" s="5"/>
      <c r="F351" s="5"/>
      <c r="G351" s="6"/>
      <c r="H351" s="7"/>
      <c r="I351" s="7"/>
      <c r="J351" s="7"/>
      <c r="K351" s="7"/>
      <c r="L351" s="7"/>
      <c r="M351" s="7"/>
      <c r="N351" s="5"/>
      <c r="O351" s="5"/>
      <c r="P351" s="7"/>
      <c r="Q351" s="7"/>
      <c r="R351" s="7"/>
    </row>
    <row r="352" spans="1:18" x14ac:dyDescent="0.2">
      <c r="A352" s="5"/>
      <c r="B352" s="5"/>
      <c r="C352" s="5"/>
      <c r="D352" s="5"/>
      <c r="E352" s="5"/>
      <c r="F352" s="5"/>
      <c r="G352" s="6"/>
      <c r="H352" s="7"/>
      <c r="I352" s="7"/>
      <c r="J352" s="7"/>
      <c r="K352" s="7"/>
      <c r="L352" s="7"/>
      <c r="M352" s="7"/>
      <c r="N352" s="5"/>
      <c r="O352" s="5"/>
      <c r="P352" s="7"/>
      <c r="Q352" s="7"/>
      <c r="R352" s="7"/>
    </row>
    <row r="353" spans="1:18" x14ac:dyDescent="0.2">
      <c r="A353" s="5"/>
      <c r="B353" s="5"/>
      <c r="C353" s="5"/>
      <c r="D353" s="5"/>
      <c r="E353" s="5"/>
      <c r="F353" s="5"/>
      <c r="G353" s="6"/>
      <c r="H353" s="7"/>
      <c r="I353" s="7"/>
      <c r="J353" s="7"/>
      <c r="K353" s="7"/>
      <c r="L353" s="7"/>
      <c r="M353" s="7"/>
      <c r="N353" s="5"/>
      <c r="O353" s="5"/>
      <c r="P353" s="7"/>
      <c r="Q353" s="7"/>
      <c r="R353" s="7"/>
    </row>
    <row r="354" spans="1:18" x14ac:dyDescent="0.2">
      <c r="A354" s="5"/>
      <c r="B354" s="5"/>
      <c r="C354" s="5"/>
      <c r="D354" s="5"/>
      <c r="E354" s="5"/>
      <c r="F354" s="5"/>
      <c r="G354" s="6"/>
      <c r="H354" s="7"/>
      <c r="I354" s="7"/>
      <c r="J354" s="7"/>
      <c r="K354" s="7"/>
      <c r="L354" s="7"/>
      <c r="M354" s="7"/>
      <c r="N354" s="5"/>
      <c r="O354" s="5"/>
      <c r="P354" s="7"/>
      <c r="Q354" s="7"/>
      <c r="R354" s="7"/>
    </row>
    <row r="355" spans="1:18" x14ac:dyDescent="0.2">
      <c r="A355" s="5"/>
      <c r="B355" s="5"/>
      <c r="C355" s="5"/>
      <c r="D355" s="5"/>
      <c r="E355" s="5"/>
      <c r="F355" s="5"/>
      <c r="G355" s="6"/>
      <c r="H355" s="7"/>
      <c r="I355" s="7"/>
      <c r="J355" s="7"/>
      <c r="K355" s="7"/>
      <c r="L355" s="7"/>
      <c r="M355" s="7"/>
      <c r="N355" s="5"/>
      <c r="O355" s="5"/>
      <c r="P355" s="7"/>
      <c r="Q355" s="7"/>
      <c r="R355" s="7"/>
    </row>
    <row r="356" spans="1:18" x14ac:dyDescent="0.2">
      <c r="A356" s="5"/>
      <c r="B356" s="5"/>
      <c r="C356" s="5"/>
      <c r="D356" s="5"/>
      <c r="E356" s="5"/>
      <c r="F356" s="5"/>
      <c r="G356" s="6"/>
      <c r="H356" s="7"/>
      <c r="I356" s="7"/>
      <c r="J356" s="7"/>
      <c r="K356" s="7"/>
      <c r="L356" s="7"/>
      <c r="M356" s="7"/>
      <c r="N356" s="5"/>
      <c r="O356" s="5"/>
      <c r="P356" s="7"/>
      <c r="Q356" s="7"/>
      <c r="R356" s="7"/>
    </row>
    <row r="357" spans="1:18" x14ac:dyDescent="0.2">
      <c r="A357" s="5"/>
      <c r="B357" s="5"/>
      <c r="C357" s="5"/>
      <c r="D357" s="5"/>
      <c r="E357" s="5"/>
      <c r="F357" s="5"/>
      <c r="G357" s="6"/>
      <c r="H357" s="7"/>
      <c r="I357" s="7"/>
      <c r="J357" s="7"/>
      <c r="K357" s="7"/>
      <c r="L357" s="7"/>
      <c r="M357" s="7"/>
      <c r="N357" s="5"/>
      <c r="O357" s="5"/>
      <c r="P357" s="7"/>
      <c r="Q357" s="7"/>
      <c r="R357" s="7"/>
    </row>
    <row r="358" spans="1:18" x14ac:dyDescent="0.2">
      <c r="A358" s="5"/>
      <c r="B358" s="5"/>
      <c r="C358" s="5"/>
      <c r="D358" s="5"/>
      <c r="E358" s="5"/>
      <c r="F358" s="5"/>
      <c r="G358" s="6"/>
      <c r="H358" s="7"/>
      <c r="I358" s="7"/>
      <c r="J358" s="7"/>
      <c r="K358" s="7"/>
      <c r="L358" s="7"/>
      <c r="M358" s="7"/>
      <c r="N358" s="5"/>
      <c r="O358" s="5"/>
      <c r="P358" s="7"/>
      <c r="Q358" s="7"/>
      <c r="R358" s="7"/>
    </row>
    <row r="359" spans="1:18" x14ac:dyDescent="0.2">
      <c r="A359" s="5"/>
      <c r="B359" s="5"/>
      <c r="C359" s="5"/>
      <c r="D359" s="5"/>
      <c r="E359" s="5"/>
      <c r="F359" s="5"/>
      <c r="G359" s="6"/>
      <c r="H359" s="7"/>
      <c r="I359" s="7"/>
      <c r="J359" s="7"/>
      <c r="K359" s="7"/>
      <c r="L359" s="7"/>
      <c r="M359" s="7"/>
      <c r="N359" s="5"/>
      <c r="O359" s="5"/>
      <c r="P359" s="7"/>
      <c r="Q359" s="7"/>
      <c r="R359" s="7"/>
    </row>
    <row r="360" spans="1:18" x14ac:dyDescent="0.2">
      <c r="A360" s="5"/>
      <c r="B360" s="5"/>
      <c r="C360" s="5"/>
      <c r="D360" s="5"/>
      <c r="E360" s="5"/>
      <c r="F360" s="5"/>
      <c r="G360" s="6"/>
      <c r="H360" s="7"/>
      <c r="I360" s="7"/>
      <c r="J360" s="7"/>
      <c r="K360" s="7"/>
      <c r="L360" s="7"/>
      <c r="M360" s="7"/>
      <c r="N360" s="5"/>
      <c r="O360" s="5"/>
      <c r="P360" s="7"/>
      <c r="Q360" s="7"/>
      <c r="R360" s="7"/>
    </row>
    <row r="361" spans="1:18" x14ac:dyDescent="0.2">
      <c r="A361" s="5"/>
      <c r="B361" s="5"/>
      <c r="C361" s="5"/>
      <c r="D361" s="5"/>
      <c r="E361" s="5"/>
      <c r="F361" s="5"/>
      <c r="G361" s="6"/>
      <c r="H361" s="7"/>
      <c r="I361" s="7"/>
      <c r="J361" s="7"/>
      <c r="K361" s="7"/>
      <c r="L361" s="7"/>
      <c r="M361" s="7"/>
      <c r="N361" s="5"/>
      <c r="O361" s="5"/>
      <c r="P361" s="7"/>
      <c r="Q361" s="7"/>
      <c r="R361" s="7"/>
    </row>
    <row r="362" spans="1:18" x14ac:dyDescent="0.2">
      <c r="A362" s="5"/>
      <c r="B362" s="5"/>
      <c r="C362" s="5"/>
      <c r="D362" s="5"/>
      <c r="E362" s="5"/>
      <c r="F362" s="5"/>
      <c r="G362" s="6"/>
      <c r="H362" s="7"/>
      <c r="I362" s="7"/>
      <c r="J362" s="7"/>
      <c r="K362" s="7"/>
      <c r="L362" s="7"/>
      <c r="M362" s="7"/>
      <c r="N362" s="5"/>
      <c r="O362" s="5"/>
      <c r="P362" s="7"/>
      <c r="Q362" s="7"/>
      <c r="R362" s="7"/>
    </row>
    <row r="363" spans="1:18" x14ac:dyDescent="0.2">
      <c r="A363" s="5"/>
      <c r="B363" s="5"/>
      <c r="C363" s="5"/>
      <c r="D363" s="5"/>
      <c r="E363" s="5"/>
      <c r="F363" s="5"/>
      <c r="G363" s="6"/>
      <c r="H363" s="7"/>
      <c r="I363" s="7"/>
      <c r="J363" s="7"/>
      <c r="K363" s="7"/>
      <c r="L363" s="7"/>
      <c r="M363" s="7"/>
      <c r="N363" s="5"/>
      <c r="O363" s="5"/>
      <c r="P363" s="7"/>
      <c r="Q363" s="7"/>
      <c r="R363" s="7"/>
    </row>
    <row r="364" spans="1:18" x14ac:dyDescent="0.2">
      <c r="A364" s="5"/>
      <c r="B364" s="5"/>
      <c r="C364" s="5"/>
      <c r="D364" s="5"/>
      <c r="E364" s="5"/>
      <c r="F364" s="5"/>
      <c r="G364" s="6"/>
      <c r="H364" s="7"/>
      <c r="I364" s="7"/>
      <c r="J364" s="7"/>
      <c r="K364" s="7"/>
      <c r="L364" s="7"/>
      <c r="M364" s="7"/>
      <c r="N364" s="5"/>
      <c r="O364" s="5"/>
      <c r="P364" s="7"/>
      <c r="Q364" s="7"/>
      <c r="R364" s="7"/>
    </row>
    <row r="365" spans="1:18" x14ac:dyDescent="0.2">
      <c r="A365" s="5"/>
      <c r="B365" s="5"/>
      <c r="C365" s="5"/>
      <c r="D365" s="5"/>
      <c r="E365" s="5"/>
      <c r="F365" s="5"/>
      <c r="G365" s="6"/>
      <c r="H365" s="7"/>
      <c r="I365" s="7"/>
      <c r="J365" s="7"/>
      <c r="K365" s="7"/>
      <c r="L365" s="7"/>
      <c r="M365" s="7"/>
      <c r="N365" s="5"/>
      <c r="O365" s="5"/>
      <c r="P365" s="7"/>
      <c r="Q365" s="7"/>
      <c r="R365" s="7"/>
    </row>
    <row r="366" spans="1:18" x14ac:dyDescent="0.2">
      <c r="A366" s="5"/>
      <c r="B366" s="5"/>
      <c r="C366" s="5"/>
      <c r="D366" s="5"/>
      <c r="E366" s="5"/>
      <c r="F366" s="5"/>
      <c r="G366" s="6"/>
      <c r="H366" s="7"/>
      <c r="I366" s="7"/>
      <c r="J366" s="7"/>
      <c r="K366" s="7"/>
      <c r="L366" s="7"/>
      <c r="M366" s="7"/>
      <c r="N366" s="5"/>
      <c r="O366" s="5"/>
      <c r="P366" s="7"/>
      <c r="Q366" s="7"/>
      <c r="R366" s="7"/>
    </row>
    <row r="367" spans="1:18" x14ac:dyDescent="0.2">
      <c r="A367" s="5"/>
      <c r="B367" s="5"/>
      <c r="C367" s="5"/>
      <c r="D367" s="5"/>
      <c r="E367" s="5"/>
      <c r="F367" s="5"/>
      <c r="G367" s="6"/>
      <c r="H367" s="7"/>
      <c r="I367" s="7"/>
      <c r="J367" s="7"/>
      <c r="K367" s="7"/>
      <c r="L367" s="7"/>
      <c r="M367" s="7"/>
      <c r="N367" s="5"/>
      <c r="O367" s="5"/>
      <c r="P367" s="7"/>
      <c r="Q367" s="7"/>
      <c r="R367" s="7"/>
    </row>
    <row r="368" spans="1:18" x14ac:dyDescent="0.2">
      <c r="A368" s="5"/>
      <c r="B368" s="5"/>
      <c r="C368" s="5"/>
      <c r="D368" s="5"/>
      <c r="E368" s="5"/>
      <c r="F368" s="5"/>
      <c r="G368" s="6"/>
      <c r="H368" s="7"/>
      <c r="I368" s="7"/>
      <c r="J368" s="7"/>
      <c r="K368" s="7"/>
      <c r="L368" s="7"/>
      <c r="M368" s="7"/>
      <c r="N368" s="5"/>
      <c r="O368" s="5"/>
      <c r="P368" s="7"/>
      <c r="Q368" s="7"/>
      <c r="R368" s="7"/>
    </row>
    <row r="369" spans="1:18" x14ac:dyDescent="0.2">
      <c r="A369" s="5"/>
      <c r="B369" s="5"/>
      <c r="C369" s="5"/>
      <c r="D369" s="5"/>
      <c r="E369" s="5"/>
      <c r="F369" s="5"/>
      <c r="G369" s="6"/>
      <c r="H369" s="7"/>
      <c r="I369" s="7"/>
      <c r="J369" s="7"/>
      <c r="K369" s="7"/>
      <c r="L369" s="7"/>
      <c r="M369" s="7"/>
      <c r="N369" s="5"/>
      <c r="O369" s="5"/>
      <c r="P369" s="7"/>
      <c r="Q369" s="7"/>
      <c r="R369" s="7"/>
    </row>
    <row r="370" spans="1:18" x14ac:dyDescent="0.2">
      <c r="A370" s="5"/>
      <c r="B370" s="5"/>
      <c r="C370" s="5"/>
      <c r="D370" s="5"/>
      <c r="E370" s="5"/>
      <c r="F370" s="5"/>
      <c r="G370" s="6"/>
      <c r="H370" s="7"/>
      <c r="I370" s="7"/>
      <c r="J370" s="7"/>
      <c r="K370" s="7"/>
      <c r="L370" s="7"/>
      <c r="M370" s="7"/>
      <c r="N370" s="5"/>
      <c r="O370" s="5"/>
      <c r="P370" s="7"/>
      <c r="Q370" s="7"/>
      <c r="R370" s="7"/>
    </row>
    <row r="371" spans="1:18" x14ac:dyDescent="0.2">
      <c r="A371" s="5"/>
      <c r="B371" s="5"/>
      <c r="C371" s="5"/>
      <c r="D371" s="5"/>
      <c r="E371" s="5"/>
      <c r="F371" s="5"/>
      <c r="G371" s="6"/>
      <c r="H371" s="7"/>
      <c r="I371" s="7"/>
      <c r="J371" s="7"/>
      <c r="K371" s="7"/>
      <c r="L371" s="7"/>
      <c r="M371" s="7"/>
      <c r="N371" s="5"/>
      <c r="O371" s="5"/>
      <c r="P371" s="7"/>
      <c r="Q371" s="7"/>
      <c r="R371" s="7"/>
    </row>
    <row r="372" spans="1:18" x14ac:dyDescent="0.2">
      <c r="A372" s="5"/>
      <c r="B372" s="5"/>
      <c r="C372" s="5"/>
      <c r="D372" s="5"/>
      <c r="E372" s="5"/>
      <c r="F372" s="5"/>
      <c r="G372" s="6"/>
      <c r="H372" s="7"/>
      <c r="I372" s="7"/>
      <c r="J372" s="7"/>
      <c r="K372" s="7"/>
      <c r="L372" s="7"/>
      <c r="M372" s="7"/>
      <c r="N372" s="5"/>
      <c r="O372" s="5"/>
      <c r="P372" s="7"/>
      <c r="Q372" s="7"/>
      <c r="R372" s="7"/>
    </row>
    <row r="373" spans="1:18" x14ac:dyDescent="0.2">
      <c r="A373" s="5"/>
      <c r="B373" s="5"/>
      <c r="C373" s="5"/>
      <c r="D373" s="5"/>
      <c r="E373" s="5"/>
      <c r="F373" s="5"/>
      <c r="G373" s="6"/>
      <c r="H373" s="7"/>
      <c r="I373" s="7"/>
      <c r="J373" s="7"/>
      <c r="K373" s="7"/>
      <c r="L373" s="7"/>
      <c r="M373" s="7"/>
      <c r="N373" s="5"/>
      <c r="O373" s="5"/>
      <c r="P373" s="7"/>
      <c r="Q373" s="7"/>
      <c r="R373" s="7"/>
    </row>
    <row r="374" spans="1:18" x14ac:dyDescent="0.2">
      <c r="A374" s="5"/>
      <c r="B374" s="5"/>
      <c r="C374" s="5"/>
      <c r="D374" s="5"/>
      <c r="E374" s="5"/>
      <c r="F374" s="5"/>
      <c r="G374" s="6"/>
      <c r="H374" s="7"/>
      <c r="I374" s="7"/>
      <c r="J374" s="7"/>
      <c r="K374" s="7"/>
      <c r="L374" s="7"/>
      <c r="M374" s="7"/>
      <c r="N374" s="5"/>
      <c r="O374" s="5"/>
      <c r="P374" s="7"/>
      <c r="Q374" s="7"/>
      <c r="R374" s="7"/>
    </row>
    <row r="375" spans="1:18" x14ac:dyDescent="0.2">
      <c r="A375" s="5"/>
      <c r="B375" s="5"/>
      <c r="C375" s="5"/>
      <c r="D375" s="5"/>
      <c r="E375" s="5"/>
      <c r="F375" s="5"/>
      <c r="G375" s="6"/>
      <c r="H375" s="7"/>
      <c r="I375" s="7"/>
      <c r="J375" s="7"/>
      <c r="K375" s="7"/>
      <c r="L375" s="7"/>
      <c r="M375" s="7"/>
      <c r="N375" s="5"/>
      <c r="O375" s="5"/>
      <c r="P375" s="7"/>
      <c r="Q375" s="7"/>
      <c r="R375" s="7"/>
    </row>
    <row r="376" spans="1:18" x14ac:dyDescent="0.2">
      <c r="A376" s="5"/>
      <c r="B376" s="5"/>
      <c r="C376" s="5"/>
      <c r="D376" s="5"/>
      <c r="E376" s="5"/>
      <c r="F376" s="5"/>
      <c r="G376" s="6"/>
      <c r="H376" s="7"/>
      <c r="I376" s="7"/>
      <c r="J376" s="7"/>
      <c r="K376" s="7"/>
      <c r="L376" s="7"/>
      <c r="M376" s="7"/>
      <c r="N376" s="5"/>
      <c r="O376" s="5"/>
      <c r="P376" s="7"/>
      <c r="Q376" s="7"/>
      <c r="R376" s="7"/>
    </row>
    <row r="377" spans="1:18" x14ac:dyDescent="0.2">
      <c r="A377" s="5"/>
      <c r="B377" s="5"/>
      <c r="C377" s="5"/>
      <c r="D377" s="5"/>
      <c r="E377" s="5"/>
      <c r="F377" s="5"/>
      <c r="G377" s="6"/>
      <c r="H377" s="7"/>
      <c r="I377" s="7"/>
      <c r="J377" s="7"/>
      <c r="K377" s="7"/>
      <c r="L377" s="7"/>
      <c r="M377" s="7"/>
      <c r="N377" s="5"/>
      <c r="O377" s="5"/>
      <c r="P377" s="7"/>
      <c r="Q377" s="7"/>
      <c r="R377" s="7"/>
    </row>
    <row r="378" spans="1:18" x14ac:dyDescent="0.2">
      <c r="A378" s="5"/>
      <c r="B378" s="5"/>
      <c r="C378" s="5"/>
      <c r="D378" s="5"/>
      <c r="E378" s="5"/>
      <c r="F378" s="5"/>
      <c r="G378" s="6"/>
      <c r="H378" s="7"/>
      <c r="I378" s="7"/>
      <c r="J378" s="7"/>
      <c r="K378" s="7"/>
      <c r="L378" s="7"/>
      <c r="M378" s="7"/>
      <c r="N378" s="5"/>
      <c r="O378" s="5"/>
      <c r="P378" s="7"/>
      <c r="Q378" s="7"/>
      <c r="R378" s="7"/>
    </row>
    <row r="379" spans="1:18" x14ac:dyDescent="0.2">
      <c r="A379" s="5"/>
      <c r="B379" s="5"/>
      <c r="C379" s="5"/>
      <c r="D379" s="5"/>
      <c r="E379" s="5"/>
      <c r="F379" s="5"/>
      <c r="G379" s="6"/>
      <c r="H379" s="7"/>
      <c r="I379" s="7"/>
      <c r="J379" s="7"/>
      <c r="K379" s="7"/>
      <c r="L379" s="7"/>
      <c r="M379" s="7"/>
      <c r="N379" s="5"/>
      <c r="O379" s="5"/>
      <c r="P379" s="7"/>
      <c r="Q379" s="7"/>
      <c r="R379" s="7"/>
    </row>
    <row r="380" spans="1:18" x14ac:dyDescent="0.2">
      <c r="A380" s="5"/>
      <c r="B380" s="5"/>
      <c r="C380" s="5"/>
      <c r="D380" s="5"/>
      <c r="E380" s="5"/>
      <c r="F380" s="5"/>
      <c r="G380" s="6"/>
      <c r="H380" s="7"/>
      <c r="I380" s="7"/>
      <c r="J380" s="7"/>
      <c r="K380" s="7"/>
      <c r="L380" s="7"/>
      <c r="M380" s="7"/>
      <c r="N380" s="5"/>
      <c r="O380" s="5"/>
      <c r="P380" s="7"/>
      <c r="Q380" s="7"/>
      <c r="R380" s="7"/>
    </row>
    <row r="381" spans="1:18" x14ac:dyDescent="0.2">
      <c r="A381" s="5"/>
      <c r="B381" s="5"/>
      <c r="C381" s="5"/>
      <c r="D381" s="5"/>
      <c r="E381" s="5"/>
      <c r="F381" s="5"/>
      <c r="G381" s="6"/>
      <c r="H381" s="7"/>
      <c r="I381" s="7"/>
      <c r="J381" s="7"/>
      <c r="K381" s="7"/>
      <c r="L381" s="7"/>
      <c r="M381" s="7"/>
      <c r="N381" s="5"/>
      <c r="O381" s="5"/>
      <c r="P381" s="7"/>
      <c r="Q381" s="7"/>
      <c r="R381" s="7"/>
    </row>
    <row r="382" spans="1:18" x14ac:dyDescent="0.2">
      <c r="A382" s="5"/>
      <c r="B382" s="5"/>
      <c r="C382" s="5"/>
      <c r="D382" s="5"/>
      <c r="E382" s="5"/>
      <c r="F382" s="5"/>
      <c r="G382" s="6"/>
      <c r="H382" s="7"/>
      <c r="I382" s="7"/>
      <c r="J382" s="7"/>
      <c r="K382" s="7"/>
      <c r="L382" s="7"/>
      <c r="M382" s="7"/>
      <c r="N382" s="5"/>
      <c r="O382" s="5"/>
      <c r="P382" s="7"/>
      <c r="Q382" s="7"/>
      <c r="R382" s="7"/>
    </row>
    <row r="383" spans="1:18" x14ac:dyDescent="0.2">
      <c r="A383" s="5"/>
      <c r="B383" s="5"/>
      <c r="C383" s="5"/>
      <c r="D383" s="5"/>
      <c r="E383" s="5"/>
      <c r="F383" s="5"/>
      <c r="G383" s="6"/>
      <c r="H383" s="7"/>
      <c r="I383" s="7"/>
      <c r="J383" s="7"/>
      <c r="K383" s="7"/>
      <c r="L383" s="7"/>
      <c r="M383" s="7"/>
      <c r="N383" s="5"/>
      <c r="O383" s="5"/>
      <c r="P383" s="7"/>
      <c r="Q383" s="7"/>
      <c r="R383" s="7"/>
    </row>
    <row r="384" spans="1:18" x14ac:dyDescent="0.2">
      <c r="A384" s="5"/>
      <c r="B384" s="5"/>
      <c r="C384" s="5"/>
      <c r="D384" s="5"/>
      <c r="E384" s="5"/>
      <c r="F384" s="5"/>
      <c r="G384" s="6"/>
      <c r="H384" s="7"/>
      <c r="I384" s="7"/>
      <c r="J384" s="7"/>
      <c r="K384" s="7"/>
      <c r="L384" s="7"/>
      <c r="M384" s="7"/>
      <c r="N384" s="5"/>
      <c r="O384" s="5"/>
      <c r="P384" s="7"/>
      <c r="Q384" s="7"/>
      <c r="R384" s="7"/>
    </row>
    <row r="385" spans="1:18" x14ac:dyDescent="0.2">
      <c r="A385" s="5"/>
      <c r="B385" s="5"/>
      <c r="C385" s="5"/>
      <c r="D385" s="5"/>
      <c r="E385" s="5"/>
      <c r="F385" s="5"/>
      <c r="G385" s="6"/>
      <c r="H385" s="7"/>
      <c r="I385" s="7"/>
      <c r="J385" s="7"/>
      <c r="K385" s="7"/>
      <c r="L385" s="7"/>
      <c r="M385" s="7"/>
      <c r="N385" s="5"/>
      <c r="O385" s="5"/>
      <c r="P385" s="7"/>
      <c r="Q385" s="7"/>
      <c r="R385" s="7"/>
    </row>
    <row r="386" spans="1:18" x14ac:dyDescent="0.2">
      <c r="A386" s="5"/>
      <c r="B386" s="5"/>
      <c r="C386" s="5"/>
      <c r="D386" s="5"/>
      <c r="E386" s="5"/>
      <c r="F386" s="5"/>
      <c r="G386" s="6"/>
      <c r="H386" s="7"/>
      <c r="I386" s="7"/>
      <c r="J386" s="7"/>
      <c r="K386" s="7"/>
      <c r="L386" s="7"/>
      <c r="M386" s="7"/>
      <c r="N386" s="5"/>
      <c r="O386" s="5"/>
      <c r="P386" s="7"/>
      <c r="Q386" s="7"/>
      <c r="R386" s="7"/>
    </row>
    <row r="387" spans="1:18" x14ac:dyDescent="0.2">
      <c r="A387" s="5"/>
      <c r="B387" s="5"/>
      <c r="C387" s="5"/>
      <c r="D387" s="5"/>
      <c r="E387" s="5"/>
      <c r="F387" s="5"/>
      <c r="G387" s="6"/>
      <c r="H387" s="7"/>
      <c r="I387" s="7"/>
      <c r="J387" s="7"/>
      <c r="K387" s="7"/>
      <c r="L387" s="7"/>
      <c r="M387" s="7"/>
      <c r="N387" s="5"/>
      <c r="O387" s="5"/>
      <c r="P387" s="7"/>
      <c r="Q387" s="7"/>
      <c r="R387" s="7"/>
    </row>
    <row r="388" spans="1:18" x14ac:dyDescent="0.2">
      <c r="A388" s="5"/>
      <c r="B388" s="5"/>
      <c r="C388" s="5"/>
      <c r="D388" s="5"/>
      <c r="E388" s="5"/>
      <c r="F388" s="5"/>
      <c r="G388" s="6"/>
      <c r="H388" s="7"/>
      <c r="I388" s="7"/>
      <c r="J388" s="7"/>
      <c r="K388" s="7"/>
      <c r="L388" s="7"/>
      <c r="M388" s="7"/>
      <c r="N388" s="5"/>
      <c r="O388" s="5"/>
      <c r="P388" s="7"/>
      <c r="Q388" s="7"/>
      <c r="R388" s="7"/>
    </row>
    <row r="389" spans="1:18" x14ac:dyDescent="0.2">
      <c r="A389" s="5"/>
      <c r="B389" s="5"/>
      <c r="C389" s="5"/>
      <c r="D389" s="5"/>
      <c r="E389" s="5"/>
      <c r="F389" s="5"/>
      <c r="G389" s="6"/>
      <c r="H389" s="7"/>
      <c r="I389" s="7"/>
      <c r="J389" s="7"/>
      <c r="K389" s="7"/>
      <c r="L389" s="7"/>
      <c r="M389" s="7"/>
      <c r="N389" s="5"/>
      <c r="O389" s="5"/>
      <c r="P389" s="7"/>
      <c r="Q389" s="7"/>
      <c r="R389" s="7"/>
    </row>
    <row r="390" spans="1:18" x14ac:dyDescent="0.2">
      <c r="A390" s="5"/>
      <c r="B390" s="5"/>
      <c r="C390" s="5"/>
      <c r="D390" s="5"/>
      <c r="E390" s="5"/>
      <c r="F390" s="5"/>
      <c r="G390" s="6"/>
      <c r="H390" s="7"/>
      <c r="I390" s="7"/>
      <c r="J390" s="7"/>
      <c r="K390" s="7"/>
      <c r="L390" s="7"/>
      <c r="M390" s="7"/>
      <c r="N390" s="5"/>
      <c r="O390" s="5"/>
      <c r="P390" s="7"/>
      <c r="Q390" s="7"/>
      <c r="R390" s="7"/>
    </row>
    <row r="391" spans="1:18" x14ac:dyDescent="0.2">
      <c r="A391" s="5"/>
      <c r="B391" s="5"/>
      <c r="C391" s="5"/>
      <c r="D391" s="5"/>
      <c r="E391" s="5"/>
      <c r="F391" s="5"/>
      <c r="G391" s="6"/>
      <c r="H391" s="7"/>
      <c r="I391" s="7"/>
      <c r="J391" s="7"/>
      <c r="K391" s="7"/>
      <c r="L391" s="7"/>
      <c r="M391" s="7"/>
      <c r="N391" s="5"/>
      <c r="O391" s="5"/>
      <c r="P391" s="7"/>
      <c r="Q391" s="7"/>
      <c r="R391" s="7"/>
    </row>
    <row r="392" spans="1:18" x14ac:dyDescent="0.2">
      <c r="A392" s="5"/>
      <c r="B392" s="5"/>
      <c r="C392" s="5"/>
      <c r="D392" s="5"/>
      <c r="E392" s="5"/>
      <c r="F392" s="5"/>
      <c r="G392" s="6"/>
      <c r="H392" s="7"/>
      <c r="I392" s="7"/>
      <c r="J392" s="7"/>
      <c r="K392" s="7"/>
      <c r="L392" s="7"/>
      <c r="M392" s="7"/>
      <c r="N392" s="5"/>
      <c r="O392" s="5"/>
      <c r="P392" s="7"/>
      <c r="Q392" s="7"/>
      <c r="R392" s="7"/>
    </row>
    <row r="393" spans="1:18" x14ac:dyDescent="0.2">
      <c r="A393" s="5"/>
      <c r="B393" s="5"/>
      <c r="C393" s="5"/>
      <c r="D393" s="5"/>
      <c r="E393" s="5"/>
      <c r="F393" s="5"/>
      <c r="G393" s="6"/>
      <c r="H393" s="7"/>
      <c r="I393" s="7"/>
      <c r="J393" s="7"/>
      <c r="K393" s="7"/>
      <c r="L393" s="7"/>
      <c r="M393" s="7"/>
      <c r="N393" s="5"/>
      <c r="O393" s="5"/>
      <c r="P393" s="7"/>
      <c r="Q393" s="7"/>
      <c r="R393" s="7"/>
    </row>
    <row r="394" spans="1:18" x14ac:dyDescent="0.2">
      <c r="A394" s="5"/>
      <c r="B394" s="5"/>
      <c r="C394" s="5"/>
      <c r="D394" s="5"/>
      <c r="E394" s="5"/>
      <c r="F394" s="5"/>
      <c r="G394" s="6"/>
      <c r="H394" s="7"/>
      <c r="I394" s="7"/>
      <c r="J394" s="7"/>
      <c r="K394" s="7"/>
      <c r="L394" s="7"/>
      <c r="M394" s="7"/>
      <c r="N394" s="5"/>
      <c r="O394" s="5"/>
      <c r="P394" s="7"/>
      <c r="Q394" s="7"/>
      <c r="R394" s="7"/>
    </row>
    <row r="395" spans="1:18" x14ac:dyDescent="0.2">
      <c r="A395" s="5"/>
      <c r="B395" s="5"/>
      <c r="C395" s="5"/>
      <c r="D395" s="5"/>
      <c r="E395" s="5"/>
      <c r="F395" s="5"/>
      <c r="G395" s="6"/>
      <c r="H395" s="7"/>
      <c r="I395" s="7"/>
      <c r="J395" s="7"/>
      <c r="K395" s="7"/>
      <c r="L395" s="7"/>
      <c r="M395" s="7"/>
      <c r="N395" s="5"/>
      <c r="O395" s="5"/>
      <c r="P395" s="7"/>
      <c r="Q395" s="7"/>
      <c r="R395" s="7"/>
    </row>
    <row r="396" spans="1:18" x14ac:dyDescent="0.2">
      <c r="A396" s="5"/>
      <c r="B396" s="5"/>
      <c r="C396" s="5"/>
      <c r="D396" s="5"/>
      <c r="E396" s="5"/>
      <c r="F396" s="5"/>
      <c r="G396" s="6"/>
      <c r="H396" s="7"/>
      <c r="I396" s="7"/>
      <c r="J396" s="7"/>
      <c r="K396" s="7"/>
      <c r="L396" s="7"/>
      <c r="M396" s="7"/>
      <c r="N396" s="5"/>
      <c r="O396" s="5"/>
      <c r="P396" s="7"/>
      <c r="Q396" s="7"/>
      <c r="R396" s="7"/>
    </row>
    <row r="397" spans="1:18" x14ac:dyDescent="0.2">
      <c r="A397" s="5"/>
      <c r="B397" s="5"/>
      <c r="C397" s="5"/>
      <c r="D397" s="5"/>
      <c r="E397" s="5"/>
      <c r="F397" s="5"/>
      <c r="G397" s="6"/>
      <c r="H397" s="7"/>
      <c r="I397" s="7"/>
      <c r="J397" s="7"/>
      <c r="K397" s="7"/>
      <c r="L397" s="7"/>
      <c r="M397" s="7"/>
      <c r="N397" s="5"/>
      <c r="O397" s="5"/>
      <c r="P397" s="7"/>
      <c r="Q397" s="7"/>
      <c r="R397" s="7"/>
    </row>
    <row r="398" spans="1:18" x14ac:dyDescent="0.2">
      <c r="A398" s="5"/>
      <c r="B398" s="5"/>
      <c r="C398" s="5"/>
      <c r="D398" s="5"/>
      <c r="E398" s="5"/>
      <c r="F398" s="5"/>
      <c r="G398" s="6"/>
      <c r="H398" s="7"/>
      <c r="I398" s="7"/>
      <c r="J398" s="7"/>
      <c r="K398" s="7"/>
      <c r="L398" s="7"/>
      <c r="M398" s="7"/>
      <c r="N398" s="5"/>
      <c r="O398" s="5"/>
      <c r="P398" s="7"/>
      <c r="Q398" s="7"/>
      <c r="R398" s="7"/>
    </row>
    <row r="399" spans="1:18" x14ac:dyDescent="0.2">
      <c r="A399" s="5"/>
      <c r="B399" s="5"/>
      <c r="C399" s="5"/>
      <c r="D399" s="5"/>
      <c r="E399" s="5"/>
      <c r="F399" s="5"/>
      <c r="G399" s="6"/>
      <c r="H399" s="7"/>
      <c r="I399" s="7"/>
      <c r="J399" s="7"/>
      <c r="K399" s="7"/>
      <c r="L399" s="7"/>
      <c r="M399" s="7"/>
      <c r="N399" s="5"/>
      <c r="O399" s="5"/>
      <c r="P399" s="7"/>
      <c r="Q399" s="7"/>
      <c r="R399" s="7"/>
    </row>
    <row r="400" spans="1:18" x14ac:dyDescent="0.2">
      <c r="A400" s="5"/>
      <c r="B400" s="5"/>
      <c r="C400" s="5"/>
      <c r="D400" s="5"/>
      <c r="E400" s="5"/>
      <c r="F400" s="5"/>
      <c r="G400" s="6"/>
      <c r="H400" s="7"/>
      <c r="I400" s="7"/>
      <c r="J400" s="7"/>
      <c r="K400" s="7"/>
      <c r="L400" s="7"/>
      <c r="M400" s="7"/>
      <c r="N400" s="5"/>
      <c r="O400" s="5"/>
      <c r="P400" s="7"/>
      <c r="Q400" s="7"/>
      <c r="R400" s="7"/>
    </row>
    <row r="401" spans="1:18" x14ac:dyDescent="0.2">
      <c r="A401" s="5"/>
      <c r="B401" s="5"/>
      <c r="C401" s="5"/>
      <c r="D401" s="5"/>
      <c r="E401" s="5"/>
      <c r="F401" s="5"/>
      <c r="G401" s="6"/>
      <c r="H401" s="7"/>
      <c r="I401" s="7"/>
      <c r="J401" s="7"/>
      <c r="K401" s="7"/>
      <c r="L401" s="7"/>
      <c r="M401" s="7"/>
      <c r="N401" s="5"/>
      <c r="O401" s="5"/>
      <c r="P401" s="7"/>
      <c r="Q401" s="7"/>
      <c r="R401" s="7"/>
    </row>
    <row r="402" spans="1:18" x14ac:dyDescent="0.2">
      <c r="A402" s="5"/>
      <c r="B402" s="5"/>
      <c r="C402" s="5"/>
      <c r="D402" s="5"/>
      <c r="E402" s="5"/>
      <c r="F402" s="5"/>
      <c r="G402" s="6"/>
      <c r="H402" s="7"/>
      <c r="I402" s="7"/>
      <c r="J402" s="7"/>
      <c r="K402" s="7"/>
      <c r="L402" s="7"/>
      <c r="M402" s="7"/>
      <c r="N402" s="5"/>
      <c r="O402" s="5"/>
      <c r="P402" s="7"/>
      <c r="Q402" s="7"/>
      <c r="R402" s="7"/>
    </row>
    <row r="403" spans="1:18" x14ac:dyDescent="0.2">
      <c r="A403" s="5"/>
      <c r="B403" s="5"/>
      <c r="C403" s="5"/>
      <c r="D403" s="5"/>
      <c r="E403" s="5"/>
      <c r="F403" s="5"/>
      <c r="G403" s="6"/>
      <c r="H403" s="7"/>
      <c r="I403" s="7"/>
      <c r="J403" s="7"/>
      <c r="K403" s="7"/>
      <c r="L403" s="7"/>
      <c r="M403" s="7"/>
      <c r="N403" s="5"/>
      <c r="O403" s="5"/>
      <c r="P403" s="7"/>
      <c r="Q403" s="7"/>
      <c r="R403" s="7"/>
    </row>
    <row r="404" spans="1:18" x14ac:dyDescent="0.2">
      <c r="A404" s="5"/>
      <c r="B404" s="5"/>
      <c r="C404" s="5"/>
      <c r="D404" s="5"/>
      <c r="E404" s="5"/>
      <c r="F404" s="5"/>
      <c r="G404" s="6"/>
      <c r="H404" s="7"/>
      <c r="I404" s="7"/>
      <c r="J404" s="7"/>
      <c r="K404" s="7"/>
      <c r="L404" s="7"/>
      <c r="M404" s="7"/>
      <c r="N404" s="5"/>
      <c r="O404" s="5"/>
      <c r="P404" s="7"/>
      <c r="Q404" s="7"/>
      <c r="R404" s="7"/>
    </row>
    <row r="405" spans="1:18" x14ac:dyDescent="0.2">
      <c r="A405" s="5"/>
      <c r="B405" s="5"/>
      <c r="C405" s="5"/>
      <c r="D405" s="5"/>
      <c r="E405" s="5"/>
      <c r="F405" s="5"/>
      <c r="G405" s="6"/>
      <c r="H405" s="7"/>
      <c r="I405" s="7"/>
      <c r="J405" s="7"/>
      <c r="K405" s="7"/>
      <c r="L405" s="7"/>
      <c r="M405" s="7"/>
      <c r="N405" s="5"/>
      <c r="O405" s="5"/>
      <c r="P405" s="7"/>
      <c r="Q405" s="7"/>
      <c r="R405" s="7"/>
    </row>
    <row r="406" spans="1:18" x14ac:dyDescent="0.2">
      <c r="A406" s="5"/>
      <c r="B406" s="5"/>
      <c r="C406" s="5"/>
      <c r="D406" s="5"/>
      <c r="E406" s="5"/>
      <c r="F406" s="5"/>
      <c r="G406" s="6"/>
      <c r="H406" s="7"/>
      <c r="I406" s="7"/>
      <c r="J406" s="7"/>
      <c r="K406" s="7"/>
      <c r="L406" s="7"/>
      <c r="M406" s="7"/>
      <c r="N406" s="5"/>
      <c r="O406" s="5"/>
      <c r="P406" s="7"/>
      <c r="Q406" s="7"/>
      <c r="R406" s="7"/>
    </row>
    <row r="407" spans="1:18" x14ac:dyDescent="0.2">
      <c r="A407" s="5"/>
      <c r="B407" s="5"/>
      <c r="C407" s="5"/>
      <c r="D407" s="5"/>
      <c r="E407" s="5"/>
      <c r="F407" s="5"/>
      <c r="G407" s="6"/>
      <c r="H407" s="7"/>
      <c r="I407" s="7"/>
      <c r="J407" s="7"/>
      <c r="K407" s="7"/>
      <c r="L407" s="7"/>
      <c r="M407" s="7"/>
      <c r="N407" s="5"/>
      <c r="O407" s="5"/>
      <c r="P407" s="7"/>
      <c r="Q407" s="7"/>
      <c r="R407" s="7"/>
    </row>
    <row r="408" spans="1:18" x14ac:dyDescent="0.2">
      <c r="A408" s="5"/>
      <c r="B408" s="5"/>
      <c r="C408" s="5"/>
      <c r="D408" s="5"/>
      <c r="E408" s="5"/>
      <c r="F408" s="5"/>
      <c r="G408" s="6"/>
      <c r="H408" s="7"/>
      <c r="I408" s="7"/>
      <c r="J408" s="7"/>
      <c r="K408" s="7"/>
      <c r="L408" s="7"/>
      <c r="M408" s="7"/>
      <c r="N408" s="5"/>
      <c r="O408" s="5"/>
      <c r="P408" s="7"/>
      <c r="Q408" s="7"/>
      <c r="R408" s="7"/>
    </row>
    <row r="409" spans="1:18" x14ac:dyDescent="0.2">
      <c r="A409" s="5"/>
      <c r="B409" s="5"/>
      <c r="C409" s="5"/>
      <c r="D409" s="5"/>
      <c r="E409" s="5"/>
      <c r="F409" s="5"/>
      <c r="G409" s="6"/>
      <c r="H409" s="7"/>
      <c r="I409" s="7"/>
      <c r="J409" s="7"/>
      <c r="K409" s="7"/>
      <c r="L409" s="7"/>
      <c r="M409" s="7"/>
      <c r="N409" s="5"/>
      <c r="O409" s="5"/>
      <c r="P409" s="7"/>
      <c r="Q409" s="7"/>
      <c r="R409" s="7"/>
    </row>
    <row r="410" spans="1:18" x14ac:dyDescent="0.2">
      <c r="A410" s="5"/>
      <c r="B410" s="5"/>
      <c r="C410" s="5"/>
      <c r="D410" s="5"/>
      <c r="E410" s="5"/>
      <c r="F410" s="5"/>
      <c r="G410" s="6"/>
      <c r="H410" s="7"/>
      <c r="I410" s="7"/>
      <c r="J410" s="7"/>
      <c r="K410" s="7"/>
      <c r="L410" s="7"/>
      <c r="M410" s="7"/>
      <c r="N410" s="5"/>
      <c r="O410" s="5"/>
      <c r="P410" s="7"/>
      <c r="Q410" s="7"/>
      <c r="R410" s="7"/>
    </row>
    <row r="411" spans="1:18" x14ac:dyDescent="0.2">
      <c r="A411" s="5"/>
      <c r="B411" s="5"/>
      <c r="C411" s="5"/>
      <c r="D411" s="5"/>
      <c r="E411" s="5"/>
      <c r="F411" s="5"/>
      <c r="G411" s="6"/>
      <c r="H411" s="7"/>
      <c r="I411" s="7"/>
      <c r="J411" s="7"/>
      <c r="K411" s="7"/>
      <c r="L411" s="7"/>
      <c r="M411" s="7"/>
      <c r="N411" s="5"/>
      <c r="O411" s="5"/>
      <c r="P411" s="7"/>
      <c r="Q411" s="7"/>
      <c r="R411" s="7"/>
    </row>
    <row r="412" spans="1:18" x14ac:dyDescent="0.2">
      <c r="A412" s="5"/>
      <c r="B412" s="5"/>
      <c r="C412" s="5"/>
      <c r="D412" s="5"/>
      <c r="E412" s="5"/>
      <c r="F412" s="5"/>
      <c r="G412" s="6"/>
      <c r="H412" s="7"/>
      <c r="I412" s="7"/>
      <c r="J412" s="7"/>
      <c r="K412" s="7"/>
      <c r="L412" s="7"/>
      <c r="M412" s="7"/>
      <c r="N412" s="5"/>
      <c r="O412" s="5"/>
      <c r="P412" s="7"/>
      <c r="Q412" s="7"/>
      <c r="R412" s="7"/>
    </row>
    <row r="413" spans="1:18" x14ac:dyDescent="0.2">
      <c r="A413" s="5"/>
      <c r="B413" s="5"/>
      <c r="C413" s="5"/>
      <c r="D413" s="5"/>
      <c r="E413" s="5"/>
      <c r="F413" s="5"/>
      <c r="G413" s="6"/>
      <c r="H413" s="7"/>
      <c r="I413" s="7"/>
      <c r="J413" s="7"/>
      <c r="K413" s="7"/>
      <c r="L413" s="7"/>
      <c r="M413" s="7"/>
      <c r="N413" s="5"/>
      <c r="O413" s="5"/>
      <c r="P413" s="7"/>
      <c r="Q413" s="7"/>
      <c r="R413" s="7"/>
    </row>
    <row r="414" spans="1:18" x14ac:dyDescent="0.2">
      <c r="A414" s="5"/>
      <c r="B414" s="5"/>
      <c r="C414" s="5"/>
      <c r="D414" s="5"/>
      <c r="E414" s="5"/>
      <c r="F414" s="5"/>
      <c r="G414" s="6"/>
      <c r="H414" s="7"/>
      <c r="I414" s="7"/>
      <c r="J414" s="7"/>
      <c r="K414" s="7"/>
      <c r="L414" s="7"/>
      <c r="M414" s="7"/>
      <c r="N414" s="5"/>
      <c r="O414" s="5"/>
      <c r="P414" s="7"/>
      <c r="Q414" s="7"/>
      <c r="R414" s="7"/>
    </row>
    <row r="415" spans="1:18" x14ac:dyDescent="0.2">
      <c r="A415" s="5"/>
      <c r="B415" s="5"/>
      <c r="C415" s="5"/>
      <c r="D415" s="5"/>
      <c r="E415" s="5"/>
      <c r="F415" s="5"/>
      <c r="G415" s="6"/>
      <c r="H415" s="7"/>
      <c r="I415" s="7"/>
      <c r="J415" s="7"/>
      <c r="K415" s="7"/>
      <c r="L415" s="7"/>
      <c r="M415" s="7"/>
      <c r="N415" s="5"/>
      <c r="O415" s="5"/>
      <c r="P415" s="7"/>
      <c r="Q415" s="7"/>
      <c r="R415" s="7"/>
    </row>
    <row r="416" spans="1:18" x14ac:dyDescent="0.2">
      <c r="A416" s="5"/>
      <c r="B416" s="5"/>
      <c r="C416" s="5"/>
      <c r="D416" s="5"/>
      <c r="E416" s="5"/>
      <c r="F416" s="5"/>
      <c r="G416" s="6"/>
      <c r="H416" s="7"/>
      <c r="I416" s="7"/>
      <c r="J416" s="7"/>
      <c r="K416" s="7"/>
      <c r="L416" s="7"/>
      <c r="M416" s="7"/>
      <c r="N416" s="5"/>
      <c r="O416" s="5"/>
      <c r="P416" s="7"/>
      <c r="Q416" s="7"/>
      <c r="R416" s="7"/>
    </row>
    <row r="417" spans="1:18" x14ac:dyDescent="0.2">
      <c r="A417" s="5"/>
      <c r="B417" s="5"/>
      <c r="C417" s="5"/>
      <c r="D417" s="5"/>
      <c r="E417" s="5"/>
      <c r="F417" s="5"/>
      <c r="G417" s="6"/>
      <c r="H417" s="7"/>
      <c r="I417" s="7"/>
      <c r="J417" s="7"/>
      <c r="K417" s="7"/>
      <c r="L417" s="7"/>
      <c r="M417" s="7"/>
      <c r="N417" s="5"/>
      <c r="O417" s="5"/>
      <c r="P417" s="7"/>
      <c r="Q417" s="7"/>
      <c r="R417" s="7"/>
    </row>
    <row r="418" spans="1:18" x14ac:dyDescent="0.2">
      <c r="A418" s="5"/>
      <c r="B418" s="5"/>
      <c r="C418" s="5"/>
      <c r="D418" s="5"/>
      <c r="E418" s="5"/>
      <c r="F418" s="5"/>
      <c r="G418" s="6"/>
      <c r="H418" s="7"/>
      <c r="I418" s="7"/>
      <c r="J418" s="7"/>
      <c r="K418" s="7"/>
      <c r="L418" s="7"/>
      <c r="M418" s="7"/>
      <c r="N418" s="5"/>
      <c r="O418" s="5"/>
      <c r="P418" s="7"/>
      <c r="Q418" s="7"/>
      <c r="R418" s="7"/>
    </row>
    <row r="419" spans="1:18" x14ac:dyDescent="0.2">
      <c r="A419" s="5"/>
      <c r="B419" s="5"/>
      <c r="C419" s="5"/>
      <c r="D419" s="5"/>
      <c r="E419" s="5"/>
      <c r="F419" s="5"/>
      <c r="G419" s="6"/>
      <c r="H419" s="7"/>
      <c r="I419" s="7"/>
      <c r="J419" s="7"/>
      <c r="K419" s="7"/>
      <c r="L419" s="7"/>
      <c r="M419" s="7"/>
      <c r="N419" s="5"/>
      <c r="O419" s="5"/>
      <c r="P419" s="7"/>
      <c r="Q419" s="7"/>
      <c r="R419" s="7"/>
    </row>
    <row r="420" spans="1:18" x14ac:dyDescent="0.2">
      <c r="A420" s="5"/>
      <c r="B420" s="5"/>
      <c r="C420" s="5"/>
      <c r="D420" s="5"/>
      <c r="E420" s="5"/>
      <c r="F420" s="5"/>
      <c r="G420" s="6"/>
      <c r="H420" s="7"/>
      <c r="I420" s="7"/>
      <c r="J420" s="7"/>
      <c r="K420" s="7"/>
      <c r="L420" s="7"/>
      <c r="M420" s="7"/>
      <c r="N420" s="5"/>
      <c r="O420" s="5"/>
      <c r="P420" s="7"/>
      <c r="Q420" s="7"/>
      <c r="R420" s="7"/>
    </row>
    <row r="421" spans="1:18" x14ac:dyDescent="0.2">
      <c r="A421" s="5"/>
      <c r="B421" s="5"/>
      <c r="C421" s="5"/>
      <c r="D421" s="5"/>
      <c r="E421" s="5"/>
      <c r="F421" s="5"/>
      <c r="G421" s="6"/>
      <c r="H421" s="7"/>
      <c r="I421" s="7"/>
      <c r="J421" s="7"/>
      <c r="K421" s="7"/>
      <c r="L421" s="7"/>
      <c r="M421" s="7"/>
      <c r="N421" s="5"/>
      <c r="O421" s="5"/>
      <c r="P421" s="7"/>
      <c r="Q421" s="7"/>
      <c r="R421" s="7"/>
    </row>
    <row r="422" spans="1:18" x14ac:dyDescent="0.2">
      <c r="A422" s="5"/>
      <c r="B422" s="5"/>
      <c r="C422" s="5"/>
      <c r="D422" s="5"/>
      <c r="E422" s="5"/>
      <c r="F422" s="5"/>
      <c r="G422" s="6"/>
      <c r="H422" s="7"/>
      <c r="I422" s="7"/>
      <c r="J422" s="7"/>
      <c r="K422" s="7"/>
      <c r="L422" s="7"/>
      <c r="M422" s="7"/>
      <c r="N422" s="5"/>
      <c r="O422" s="5"/>
      <c r="P422" s="7"/>
      <c r="Q422" s="7"/>
      <c r="R422" s="7"/>
    </row>
    <row r="423" spans="1:18" x14ac:dyDescent="0.2">
      <c r="A423" s="5"/>
      <c r="B423" s="5"/>
      <c r="C423" s="5"/>
      <c r="D423" s="5"/>
      <c r="E423" s="5"/>
      <c r="F423" s="5"/>
      <c r="G423" s="6"/>
      <c r="H423" s="7"/>
      <c r="I423" s="7"/>
      <c r="J423" s="7"/>
      <c r="K423" s="7"/>
      <c r="L423" s="7"/>
      <c r="M423" s="7"/>
      <c r="N423" s="5"/>
      <c r="O423" s="5"/>
      <c r="P423" s="7"/>
      <c r="Q423" s="7"/>
      <c r="R423" s="7"/>
    </row>
    <row r="424" spans="1:18" x14ac:dyDescent="0.2">
      <c r="A424" s="5"/>
      <c r="B424" s="5"/>
      <c r="C424" s="5"/>
      <c r="D424" s="5"/>
      <c r="E424" s="5"/>
      <c r="F424" s="5"/>
      <c r="G424" s="6"/>
      <c r="H424" s="7"/>
      <c r="I424" s="7"/>
      <c r="J424" s="7"/>
      <c r="K424" s="7"/>
      <c r="L424" s="7"/>
      <c r="M424" s="7"/>
      <c r="N424" s="5"/>
      <c r="O424" s="5"/>
      <c r="P424" s="7"/>
      <c r="Q424" s="7"/>
      <c r="R424" s="7"/>
    </row>
    <row r="425" spans="1:18" x14ac:dyDescent="0.2">
      <c r="A425" s="5"/>
      <c r="B425" s="5"/>
      <c r="C425" s="5"/>
      <c r="D425" s="5"/>
      <c r="E425" s="5"/>
      <c r="F425" s="5"/>
      <c r="G425" s="6"/>
      <c r="H425" s="7"/>
      <c r="I425" s="7"/>
      <c r="J425" s="7"/>
      <c r="K425" s="7"/>
      <c r="L425" s="7"/>
      <c r="M425" s="7"/>
      <c r="N425" s="5"/>
      <c r="O425" s="5"/>
      <c r="P425" s="7"/>
      <c r="Q425" s="7"/>
      <c r="R425" s="7"/>
    </row>
    <row r="426" spans="1:18" x14ac:dyDescent="0.2">
      <c r="A426" s="5"/>
      <c r="B426" s="5"/>
      <c r="C426" s="5"/>
      <c r="D426" s="5"/>
      <c r="E426" s="5"/>
      <c r="F426" s="5"/>
      <c r="G426" s="6"/>
      <c r="H426" s="7"/>
      <c r="I426" s="7"/>
      <c r="J426" s="7"/>
      <c r="K426" s="7"/>
      <c r="L426" s="7"/>
      <c r="M426" s="7"/>
      <c r="N426" s="5"/>
      <c r="O426" s="5"/>
      <c r="P426" s="7"/>
      <c r="Q426" s="7"/>
      <c r="R426" s="7"/>
    </row>
    <row r="427" spans="1:18" x14ac:dyDescent="0.2">
      <c r="A427" s="5"/>
      <c r="B427" s="5"/>
      <c r="C427" s="5"/>
      <c r="D427" s="5"/>
      <c r="E427" s="5"/>
      <c r="F427" s="5"/>
      <c r="G427" s="6"/>
      <c r="H427" s="7"/>
      <c r="I427" s="7"/>
      <c r="J427" s="7"/>
      <c r="K427" s="7"/>
      <c r="L427" s="7"/>
      <c r="M427" s="7"/>
      <c r="N427" s="5"/>
      <c r="O427" s="5"/>
      <c r="P427" s="7"/>
      <c r="Q427" s="7"/>
      <c r="R427" s="7"/>
    </row>
    <row r="428" spans="1:18" x14ac:dyDescent="0.2">
      <c r="A428" s="5"/>
      <c r="B428" s="5"/>
      <c r="C428" s="5"/>
      <c r="D428" s="5"/>
      <c r="E428" s="5"/>
      <c r="F428" s="5"/>
      <c r="G428" s="6"/>
      <c r="H428" s="7"/>
      <c r="I428" s="7"/>
      <c r="J428" s="7"/>
      <c r="K428" s="7"/>
      <c r="L428" s="7"/>
      <c r="M428" s="7"/>
      <c r="N428" s="5"/>
      <c r="O428" s="5"/>
      <c r="P428" s="7"/>
      <c r="Q428" s="7"/>
      <c r="R428" s="7"/>
    </row>
    <row r="429" spans="1:18" x14ac:dyDescent="0.2">
      <c r="A429" s="5"/>
      <c r="B429" s="5"/>
      <c r="C429" s="5"/>
      <c r="D429" s="5"/>
      <c r="E429" s="5"/>
      <c r="F429" s="5"/>
      <c r="G429" s="6"/>
      <c r="H429" s="7"/>
      <c r="I429" s="7"/>
      <c r="J429" s="7"/>
      <c r="K429" s="7"/>
      <c r="L429" s="7"/>
      <c r="M429" s="7"/>
      <c r="N429" s="5"/>
      <c r="O429" s="5"/>
      <c r="P429" s="7"/>
      <c r="Q429" s="7"/>
      <c r="R429" s="7"/>
    </row>
    <row r="430" spans="1:18" x14ac:dyDescent="0.2">
      <c r="A430" s="5"/>
      <c r="B430" s="5"/>
      <c r="C430" s="5"/>
      <c r="D430" s="5"/>
      <c r="E430" s="5"/>
      <c r="F430" s="5"/>
      <c r="G430" s="6"/>
      <c r="H430" s="7"/>
      <c r="I430" s="7"/>
      <c r="J430" s="7"/>
      <c r="K430" s="7"/>
      <c r="L430" s="7"/>
      <c r="M430" s="7"/>
      <c r="N430" s="5"/>
      <c r="O430" s="5"/>
      <c r="P430" s="7"/>
      <c r="Q430" s="7"/>
      <c r="R430" s="7"/>
    </row>
    <row r="431" spans="1:18" x14ac:dyDescent="0.2">
      <c r="A431" s="5"/>
      <c r="B431" s="5"/>
      <c r="C431" s="5"/>
      <c r="D431" s="5"/>
      <c r="E431" s="5"/>
      <c r="F431" s="5"/>
      <c r="G431" s="6"/>
      <c r="H431" s="7"/>
      <c r="I431" s="7"/>
      <c r="J431" s="7"/>
      <c r="K431" s="7"/>
      <c r="L431" s="7"/>
      <c r="M431" s="7"/>
      <c r="N431" s="5"/>
      <c r="O431" s="5"/>
      <c r="P431" s="7"/>
      <c r="Q431" s="7"/>
      <c r="R431" s="7"/>
    </row>
    <row r="432" spans="1:18" x14ac:dyDescent="0.2">
      <c r="A432" s="5"/>
      <c r="B432" s="5"/>
      <c r="C432" s="5"/>
      <c r="D432" s="5"/>
      <c r="E432" s="5"/>
      <c r="F432" s="5"/>
      <c r="G432" s="6"/>
      <c r="H432" s="7"/>
      <c r="I432" s="7"/>
      <c r="J432" s="7"/>
      <c r="K432" s="7"/>
      <c r="L432" s="7"/>
      <c r="M432" s="7"/>
      <c r="N432" s="5"/>
      <c r="O432" s="5"/>
      <c r="P432" s="7"/>
      <c r="Q432" s="7"/>
      <c r="R432" s="7"/>
    </row>
    <row r="433" spans="1:18" x14ac:dyDescent="0.2">
      <c r="A433" s="5"/>
      <c r="B433" s="5"/>
      <c r="C433" s="5"/>
      <c r="D433" s="5"/>
      <c r="E433" s="5"/>
      <c r="F433" s="5"/>
      <c r="G433" s="6"/>
      <c r="H433" s="7"/>
      <c r="I433" s="7"/>
      <c r="J433" s="7"/>
      <c r="K433" s="7"/>
      <c r="L433" s="7"/>
      <c r="M433" s="7"/>
      <c r="N433" s="5"/>
      <c r="O433" s="5"/>
      <c r="P433" s="7"/>
      <c r="Q433" s="7"/>
      <c r="R433" s="7"/>
    </row>
    <row r="434" spans="1:18" x14ac:dyDescent="0.2">
      <c r="A434" s="5"/>
      <c r="B434" s="5"/>
      <c r="C434" s="5"/>
      <c r="D434" s="5"/>
      <c r="E434" s="5"/>
      <c r="F434" s="5"/>
      <c r="G434" s="6"/>
      <c r="H434" s="7"/>
      <c r="I434" s="7"/>
      <c r="J434" s="7"/>
      <c r="K434" s="7"/>
      <c r="L434" s="7"/>
      <c r="M434" s="7"/>
      <c r="N434" s="5"/>
      <c r="O434" s="5"/>
      <c r="P434" s="7"/>
      <c r="Q434" s="7"/>
      <c r="R434" s="7"/>
    </row>
    <row r="435" spans="1:18" x14ac:dyDescent="0.2">
      <c r="A435" s="5"/>
      <c r="B435" s="5"/>
      <c r="C435" s="5"/>
      <c r="D435" s="5"/>
      <c r="E435" s="5"/>
      <c r="F435" s="5"/>
      <c r="G435" s="6"/>
      <c r="H435" s="7"/>
      <c r="I435" s="7"/>
      <c r="J435" s="7"/>
      <c r="K435" s="7"/>
      <c r="L435" s="7"/>
      <c r="M435" s="7"/>
      <c r="N435" s="5"/>
      <c r="O435" s="5"/>
      <c r="P435" s="7"/>
      <c r="Q435" s="7"/>
      <c r="R435" s="7"/>
    </row>
    <row r="436" spans="1:18" x14ac:dyDescent="0.2">
      <c r="A436" s="5"/>
      <c r="B436" s="5"/>
      <c r="C436" s="5"/>
      <c r="D436" s="5"/>
      <c r="E436" s="5"/>
      <c r="F436" s="5"/>
      <c r="G436" s="6"/>
      <c r="H436" s="7"/>
      <c r="I436" s="7"/>
      <c r="J436" s="7"/>
      <c r="K436" s="7"/>
      <c r="L436" s="7"/>
      <c r="M436" s="7"/>
      <c r="N436" s="5"/>
      <c r="O436" s="5"/>
      <c r="P436" s="7"/>
      <c r="Q436" s="7"/>
      <c r="R436" s="7"/>
    </row>
    <row r="437" spans="1:18" x14ac:dyDescent="0.2">
      <c r="A437" s="5"/>
      <c r="B437" s="5"/>
      <c r="C437" s="5"/>
      <c r="D437" s="5"/>
      <c r="E437" s="5"/>
      <c r="F437" s="5"/>
      <c r="G437" s="6"/>
      <c r="H437" s="7"/>
      <c r="I437" s="7"/>
      <c r="J437" s="7"/>
      <c r="K437" s="7"/>
      <c r="L437" s="7"/>
      <c r="M437" s="7"/>
      <c r="N437" s="5"/>
      <c r="O437" s="5"/>
      <c r="P437" s="7"/>
      <c r="Q437" s="7"/>
      <c r="R437" s="7"/>
    </row>
    <row r="438" spans="1:18" x14ac:dyDescent="0.2">
      <c r="A438" s="5"/>
      <c r="B438" s="5"/>
      <c r="C438" s="5"/>
      <c r="D438" s="5"/>
      <c r="E438" s="5"/>
      <c r="F438" s="5"/>
      <c r="G438" s="6"/>
      <c r="H438" s="7"/>
      <c r="I438" s="7"/>
      <c r="J438" s="7"/>
      <c r="K438" s="7"/>
      <c r="L438" s="7"/>
      <c r="M438" s="7"/>
      <c r="N438" s="5"/>
      <c r="O438" s="5"/>
      <c r="P438" s="7"/>
      <c r="Q438" s="7"/>
      <c r="R438" s="7"/>
    </row>
    <row r="439" spans="1:18" x14ac:dyDescent="0.2">
      <c r="A439" s="5"/>
      <c r="B439" s="5"/>
      <c r="C439" s="5"/>
      <c r="D439" s="5"/>
      <c r="E439" s="5"/>
      <c r="F439" s="5"/>
      <c r="G439" s="6"/>
      <c r="H439" s="7"/>
      <c r="I439" s="7"/>
      <c r="J439" s="7"/>
      <c r="K439" s="7"/>
      <c r="L439" s="7"/>
      <c r="M439" s="7"/>
      <c r="N439" s="5"/>
      <c r="O439" s="5"/>
      <c r="P439" s="7"/>
      <c r="Q439" s="7"/>
      <c r="R439" s="7"/>
    </row>
    <row r="440" spans="1:18" x14ac:dyDescent="0.2">
      <c r="A440" s="5"/>
      <c r="B440" s="5"/>
      <c r="C440" s="5"/>
      <c r="D440" s="5"/>
      <c r="E440" s="5"/>
      <c r="F440" s="5"/>
      <c r="G440" s="6"/>
      <c r="H440" s="7"/>
      <c r="I440" s="7"/>
      <c r="J440" s="7"/>
      <c r="K440" s="7"/>
      <c r="L440" s="7"/>
      <c r="M440" s="7"/>
      <c r="N440" s="5"/>
      <c r="O440" s="5"/>
      <c r="P440" s="7"/>
      <c r="Q440" s="7"/>
      <c r="R440" s="7"/>
    </row>
    <row r="441" spans="1:18" x14ac:dyDescent="0.2">
      <c r="A441" s="5"/>
      <c r="B441" s="5"/>
      <c r="C441" s="5"/>
      <c r="D441" s="5"/>
      <c r="E441" s="5"/>
      <c r="F441" s="5"/>
      <c r="G441" s="6"/>
      <c r="H441" s="7"/>
      <c r="I441" s="7"/>
      <c r="J441" s="7"/>
      <c r="K441" s="7"/>
      <c r="L441" s="7"/>
      <c r="M441" s="7"/>
      <c r="N441" s="5"/>
      <c r="O441" s="5"/>
      <c r="P441" s="7"/>
      <c r="Q441" s="7"/>
      <c r="R441" s="7"/>
    </row>
    <row r="442" spans="1:18" x14ac:dyDescent="0.2">
      <c r="A442" s="5"/>
      <c r="B442" s="5"/>
      <c r="C442" s="5"/>
      <c r="D442" s="5"/>
      <c r="E442" s="5"/>
      <c r="F442" s="5"/>
      <c r="G442" s="6"/>
      <c r="H442" s="7"/>
      <c r="I442" s="7"/>
      <c r="J442" s="7"/>
      <c r="K442" s="7"/>
      <c r="L442" s="7"/>
      <c r="M442" s="7"/>
      <c r="N442" s="5"/>
      <c r="O442" s="5"/>
      <c r="P442" s="7"/>
      <c r="Q442" s="7"/>
      <c r="R442" s="7"/>
    </row>
    <row r="443" spans="1:18" x14ac:dyDescent="0.2">
      <c r="A443" s="5"/>
      <c r="B443" s="5"/>
      <c r="C443" s="5"/>
      <c r="D443" s="5"/>
      <c r="E443" s="5"/>
      <c r="F443" s="5"/>
      <c r="G443" s="6"/>
      <c r="H443" s="7"/>
      <c r="I443" s="7"/>
      <c r="J443" s="7"/>
      <c r="K443" s="7"/>
      <c r="L443" s="7"/>
      <c r="M443" s="7"/>
      <c r="N443" s="5"/>
      <c r="O443" s="5"/>
      <c r="P443" s="7"/>
      <c r="Q443" s="7"/>
      <c r="R443" s="7"/>
    </row>
    <row r="444" spans="1:18" x14ac:dyDescent="0.2">
      <c r="A444" s="5"/>
      <c r="B444" s="5"/>
      <c r="C444" s="5"/>
      <c r="D444" s="5"/>
      <c r="E444" s="5"/>
      <c r="F444" s="5"/>
      <c r="G444" s="6"/>
      <c r="H444" s="7"/>
      <c r="I444" s="7"/>
      <c r="J444" s="7"/>
      <c r="K444" s="7"/>
      <c r="L444" s="7"/>
      <c r="M444" s="7"/>
      <c r="N444" s="5"/>
      <c r="O444" s="5"/>
      <c r="P444" s="7"/>
      <c r="Q444" s="7"/>
      <c r="R444" s="7"/>
    </row>
    <row r="445" spans="1:18" x14ac:dyDescent="0.2">
      <c r="A445" s="5"/>
      <c r="B445" s="5"/>
      <c r="C445" s="5"/>
      <c r="D445" s="5"/>
      <c r="E445" s="5"/>
      <c r="F445" s="5"/>
      <c r="G445" s="6"/>
      <c r="H445" s="7"/>
      <c r="I445" s="7"/>
      <c r="J445" s="7"/>
      <c r="K445" s="7"/>
      <c r="L445" s="7"/>
      <c r="M445" s="7"/>
      <c r="N445" s="5"/>
      <c r="O445" s="5"/>
      <c r="P445" s="7"/>
      <c r="Q445" s="7"/>
      <c r="R445" s="7"/>
    </row>
    <row r="446" spans="1:18" x14ac:dyDescent="0.2">
      <c r="A446" s="5"/>
      <c r="B446" s="5"/>
      <c r="C446" s="5"/>
      <c r="D446" s="5"/>
      <c r="E446" s="5"/>
      <c r="F446" s="5"/>
      <c r="G446" s="6"/>
      <c r="H446" s="7"/>
      <c r="I446" s="7"/>
      <c r="J446" s="7"/>
      <c r="K446" s="7"/>
      <c r="L446" s="7"/>
      <c r="M446" s="7"/>
      <c r="N446" s="5"/>
      <c r="O446" s="5"/>
      <c r="P446" s="7"/>
      <c r="Q446" s="7"/>
      <c r="R446" s="7"/>
    </row>
    <row r="447" spans="1:18" x14ac:dyDescent="0.2">
      <c r="A447" s="5"/>
      <c r="B447" s="5"/>
      <c r="C447" s="5"/>
      <c r="D447" s="5"/>
      <c r="E447" s="5"/>
      <c r="F447" s="5"/>
      <c r="G447" s="6"/>
      <c r="H447" s="7"/>
      <c r="I447" s="7"/>
      <c r="J447" s="7"/>
      <c r="K447" s="7"/>
      <c r="L447" s="7"/>
      <c r="M447" s="7"/>
      <c r="N447" s="5"/>
      <c r="O447" s="5"/>
      <c r="P447" s="7"/>
      <c r="Q447" s="7"/>
      <c r="R447" s="7"/>
    </row>
    <row r="448" spans="1:18" x14ac:dyDescent="0.2">
      <c r="A448" s="5"/>
      <c r="B448" s="5"/>
      <c r="C448" s="5"/>
      <c r="D448" s="5"/>
      <c r="E448" s="5"/>
      <c r="F448" s="5"/>
      <c r="G448" s="6"/>
      <c r="H448" s="7"/>
      <c r="I448" s="7"/>
      <c r="J448" s="7"/>
      <c r="K448" s="7"/>
      <c r="L448" s="7"/>
      <c r="M448" s="7"/>
      <c r="N448" s="5"/>
      <c r="O448" s="5"/>
      <c r="P448" s="7"/>
      <c r="Q448" s="7"/>
      <c r="R448" s="7"/>
    </row>
    <row r="449" spans="1:18" x14ac:dyDescent="0.2">
      <c r="A449" s="5"/>
      <c r="B449" s="5"/>
      <c r="C449" s="5"/>
      <c r="D449" s="5"/>
      <c r="E449" s="5"/>
      <c r="F449" s="5"/>
      <c r="G449" s="6"/>
      <c r="H449" s="7"/>
      <c r="I449" s="7"/>
      <c r="J449" s="7"/>
      <c r="K449" s="7"/>
      <c r="L449" s="7"/>
      <c r="M449" s="7"/>
      <c r="N449" s="5"/>
      <c r="O449" s="5"/>
      <c r="P449" s="7"/>
      <c r="Q449" s="7"/>
      <c r="R449" s="7"/>
    </row>
    <row r="450" spans="1:18" x14ac:dyDescent="0.2">
      <c r="A450" s="5"/>
      <c r="B450" s="5"/>
      <c r="C450" s="5"/>
      <c r="D450" s="5"/>
      <c r="E450" s="5"/>
      <c r="F450" s="5"/>
      <c r="G450" s="6"/>
      <c r="H450" s="7"/>
      <c r="I450" s="7"/>
      <c r="J450" s="7"/>
      <c r="K450" s="7"/>
      <c r="L450" s="7"/>
      <c r="M450" s="7"/>
      <c r="N450" s="5"/>
      <c r="O450" s="5"/>
      <c r="P450" s="7"/>
      <c r="Q450" s="7"/>
      <c r="R450" s="7"/>
    </row>
    <row r="451" spans="1:18" x14ac:dyDescent="0.2">
      <c r="A451" s="5"/>
      <c r="B451" s="5"/>
      <c r="C451" s="5"/>
      <c r="D451" s="5"/>
      <c r="E451" s="5"/>
      <c r="F451" s="5"/>
      <c r="G451" s="6"/>
      <c r="H451" s="7"/>
      <c r="I451" s="7"/>
      <c r="J451" s="7"/>
      <c r="K451" s="7"/>
      <c r="L451" s="7"/>
      <c r="M451" s="7"/>
      <c r="N451" s="5"/>
      <c r="O451" s="5"/>
      <c r="P451" s="7"/>
      <c r="Q451" s="7"/>
      <c r="R451" s="7"/>
    </row>
    <row r="452" spans="1:18" x14ac:dyDescent="0.2">
      <c r="A452" s="5"/>
      <c r="B452" s="5"/>
      <c r="C452" s="5"/>
      <c r="D452" s="5"/>
      <c r="E452" s="5"/>
      <c r="F452" s="5"/>
      <c r="G452" s="6"/>
      <c r="H452" s="7"/>
      <c r="I452" s="7"/>
      <c r="J452" s="7"/>
      <c r="K452" s="7"/>
      <c r="L452" s="7"/>
      <c r="M452" s="7"/>
      <c r="N452" s="5"/>
      <c r="O452" s="5"/>
      <c r="P452" s="7"/>
      <c r="Q452" s="7"/>
      <c r="R452" s="7"/>
    </row>
    <row r="453" spans="1:18" x14ac:dyDescent="0.2">
      <c r="A453" s="5"/>
      <c r="B453" s="5"/>
      <c r="C453" s="5"/>
      <c r="D453" s="5"/>
      <c r="E453" s="5"/>
      <c r="F453" s="5"/>
      <c r="G453" s="6"/>
      <c r="H453" s="7"/>
      <c r="I453" s="7"/>
      <c r="J453" s="7"/>
      <c r="K453" s="7"/>
      <c r="L453" s="7"/>
      <c r="M453" s="7"/>
      <c r="N453" s="5"/>
      <c r="O453" s="5"/>
      <c r="P453" s="7"/>
      <c r="Q453" s="7"/>
      <c r="R453" s="7"/>
    </row>
    <row r="454" spans="1:18" x14ac:dyDescent="0.2">
      <c r="A454" s="5"/>
      <c r="B454" s="5"/>
      <c r="C454" s="5"/>
      <c r="D454" s="5"/>
      <c r="E454" s="5"/>
      <c r="F454" s="5"/>
      <c r="G454" s="6"/>
      <c r="H454" s="7"/>
      <c r="I454" s="7"/>
      <c r="J454" s="7"/>
      <c r="K454" s="7"/>
      <c r="L454" s="7"/>
      <c r="M454" s="7"/>
      <c r="N454" s="5"/>
      <c r="O454" s="5"/>
      <c r="P454" s="7"/>
      <c r="Q454" s="7"/>
      <c r="R454" s="7"/>
    </row>
    <row r="455" spans="1:18" x14ac:dyDescent="0.2">
      <c r="A455" s="5"/>
      <c r="B455" s="5"/>
      <c r="C455" s="5"/>
      <c r="D455" s="5"/>
      <c r="E455" s="5"/>
      <c r="F455" s="5"/>
      <c r="G455" s="6"/>
      <c r="H455" s="7"/>
      <c r="I455" s="7"/>
      <c r="J455" s="7"/>
      <c r="K455" s="7"/>
      <c r="L455" s="7"/>
      <c r="M455" s="7"/>
      <c r="N455" s="5"/>
      <c r="O455" s="5"/>
      <c r="P455" s="7"/>
      <c r="Q455" s="7"/>
      <c r="R455" s="7"/>
    </row>
    <row r="456" spans="1:18" x14ac:dyDescent="0.2">
      <c r="A456" s="5"/>
      <c r="B456" s="5"/>
      <c r="C456" s="5"/>
      <c r="D456" s="5"/>
      <c r="E456" s="5"/>
      <c r="F456" s="5"/>
      <c r="G456" s="6"/>
      <c r="H456" s="7"/>
      <c r="I456" s="7"/>
      <c r="J456" s="7"/>
      <c r="K456" s="7"/>
      <c r="L456" s="7"/>
      <c r="M456" s="7"/>
      <c r="N456" s="5"/>
      <c r="O456" s="5"/>
      <c r="P456" s="7"/>
      <c r="Q456" s="7"/>
      <c r="R456" s="7"/>
    </row>
    <row r="457" spans="1:18" x14ac:dyDescent="0.2">
      <c r="A457" s="5"/>
      <c r="B457" s="5"/>
      <c r="C457" s="5"/>
      <c r="D457" s="5"/>
      <c r="E457" s="5"/>
      <c r="F457" s="5"/>
      <c r="G457" s="6"/>
      <c r="H457" s="7"/>
      <c r="I457" s="7"/>
      <c r="J457" s="7"/>
      <c r="K457" s="7"/>
      <c r="L457" s="7"/>
      <c r="M457" s="7"/>
      <c r="N457" s="5"/>
      <c r="O457" s="5"/>
      <c r="P457" s="7"/>
      <c r="Q457" s="7"/>
      <c r="R457" s="7"/>
    </row>
    <row r="458" spans="1:18" x14ac:dyDescent="0.2">
      <c r="A458" s="5"/>
      <c r="B458" s="5"/>
      <c r="C458" s="5"/>
      <c r="D458" s="5"/>
      <c r="E458" s="5"/>
      <c r="F458" s="5"/>
      <c r="G458" s="6"/>
      <c r="H458" s="7"/>
      <c r="I458" s="7"/>
      <c r="J458" s="7"/>
      <c r="K458" s="7"/>
      <c r="L458" s="7"/>
      <c r="M458" s="7"/>
      <c r="N458" s="5"/>
      <c r="O458" s="5"/>
      <c r="P458" s="7"/>
      <c r="Q458" s="7"/>
      <c r="R458" s="7"/>
    </row>
    <row r="459" spans="1:18" x14ac:dyDescent="0.2">
      <c r="A459" s="5"/>
      <c r="B459" s="5"/>
      <c r="C459" s="5"/>
      <c r="D459" s="5"/>
      <c r="E459" s="5"/>
      <c r="F459" s="5"/>
      <c r="G459" s="6"/>
      <c r="H459" s="7"/>
      <c r="I459" s="7"/>
      <c r="J459" s="7"/>
      <c r="K459" s="7"/>
      <c r="L459" s="7"/>
      <c r="M459" s="7"/>
      <c r="N459" s="5"/>
      <c r="O459" s="5"/>
      <c r="P459" s="7"/>
      <c r="Q459" s="7"/>
      <c r="R459" s="7"/>
    </row>
    <row r="460" spans="1:18" x14ac:dyDescent="0.2">
      <c r="A460" s="5"/>
      <c r="B460" s="5"/>
      <c r="C460" s="5"/>
      <c r="D460" s="5"/>
      <c r="E460" s="5"/>
      <c r="F460" s="5"/>
      <c r="G460" s="6"/>
      <c r="H460" s="7"/>
      <c r="I460" s="7"/>
      <c r="J460" s="7"/>
      <c r="K460" s="7"/>
      <c r="L460" s="7"/>
      <c r="M460" s="7"/>
      <c r="N460" s="5"/>
      <c r="O460" s="5"/>
      <c r="P460" s="7"/>
      <c r="Q460" s="7"/>
      <c r="R460" s="7"/>
    </row>
    <row r="461" spans="1:18" x14ac:dyDescent="0.2">
      <c r="A461" s="5"/>
      <c r="B461" s="5"/>
      <c r="C461" s="5"/>
      <c r="D461" s="5"/>
      <c r="E461" s="5"/>
      <c r="F461" s="5"/>
      <c r="G461" s="6"/>
      <c r="H461" s="7"/>
      <c r="I461" s="7"/>
      <c r="J461" s="7"/>
      <c r="K461" s="7"/>
      <c r="L461" s="7"/>
      <c r="M461" s="7"/>
      <c r="N461" s="5"/>
      <c r="O461" s="5"/>
      <c r="P461" s="7"/>
      <c r="Q461" s="7"/>
      <c r="R461" s="7"/>
    </row>
    <row r="462" spans="1:18" x14ac:dyDescent="0.2">
      <c r="A462" s="5"/>
      <c r="B462" s="5"/>
      <c r="C462" s="5"/>
      <c r="D462" s="5"/>
      <c r="E462" s="5"/>
      <c r="F462" s="5"/>
      <c r="G462" s="6"/>
      <c r="H462" s="7"/>
      <c r="I462" s="7"/>
      <c r="J462" s="7"/>
      <c r="K462" s="7"/>
      <c r="L462" s="7"/>
      <c r="M462" s="7"/>
      <c r="N462" s="5"/>
      <c r="O462" s="5"/>
      <c r="P462" s="7"/>
      <c r="Q462" s="7"/>
      <c r="R462" s="7"/>
    </row>
    <row r="463" spans="1:18" x14ac:dyDescent="0.2">
      <c r="A463" s="5"/>
      <c r="B463" s="5"/>
      <c r="C463" s="5"/>
      <c r="D463" s="5"/>
      <c r="E463" s="5"/>
      <c r="F463" s="5"/>
      <c r="G463" s="6"/>
      <c r="H463" s="7"/>
      <c r="I463" s="7"/>
      <c r="J463" s="7"/>
      <c r="K463" s="7"/>
      <c r="L463" s="7"/>
      <c r="M463" s="7"/>
      <c r="N463" s="5"/>
      <c r="O463" s="5"/>
      <c r="P463" s="7"/>
      <c r="Q463" s="7"/>
      <c r="R463" s="7"/>
    </row>
    <row r="464" spans="1:18" x14ac:dyDescent="0.2">
      <c r="A464" s="5"/>
      <c r="B464" s="5"/>
      <c r="C464" s="5"/>
      <c r="D464" s="5"/>
      <c r="E464" s="5"/>
      <c r="F464" s="5"/>
      <c r="G464" s="6"/>
      <c r="H464" s="7"/>
      <c r="I464" s="7"/>
      <c r="J464" s="7"/>
      <c r="K464" s="7"/>
      <c r="L464" s="7"/>
      <c r="M464" s="7"/>
      <c r="N464" s="5"/>
      <c r="O464" s="5"/>
      <c r="P464" s="7"/>
      <c r="Q464" s="7"/>
      <c r="R464" s="7"/>
    </row>
    <row r="465" spans="1:18" x14ac:dyDescent="0.2">
      <c r="A465" s="5"/>
      <c r="B465" s="5"/>
      <c r="C465" s="5"/>
      <c r="D465" s="5"/>
      <c r="E465" s="5"/>
      <c r="F465" s="5"/>
      <c r="G465" s="6"/>
      <c r="H465" s="7"/>
      <c r="I465" s="7"/>
      <c r="J465" s="7"/>
      <c r="K465" s="7"/>
      <c r="L465" s="7"/>
      <c r="M465" s="7"/>
      <c r="N465" s="5"/>
      <c r="O465" s="5"/>
      <c r="P465" s="7"/>
      <c r="Q465" s="7"/>
      <c r="R465" s="7"/>
    </row>
    <row r="466" spans="1:18" x14ac:dyDescent="0.2">
      <c r="A466" s="5"/>
      <c r="B466" s="5"/>
      <c r="C466" s="5"/>
      <c r="D466" s="5"/>
      <c r="E466" s="5"/>
      <c r="F466" s="5"/>
      <c r="G466" s="6"/>
      <c r="H466" s="7"/>
      <c r="I466" s="7"/>
      <c r="J466" s="7"/>
      <c r="K466" s="7"/>
      <c r="L466" s="7"/>
      <c r="M466" s="7"/>
      <c r="N466" s="5"/>
      <c r="O466" s="5"/>
      <c r="P466" s="7"/>
      <c r="Q466" s="7"/>
      <c r="R466" s="7"/>
    </row>
    <row r="467" spans="1:18" x14ac:dyDescent="0.2">
      <c r="A467" s="5"/>
      <c r="B467" s="5"/>
      <c r="C467" s="5"/>
      <c r="D467" s="5"/>
      <c r="E467" s="5"/>
      <c r="F467" s="5"/>
      <c r="G467" s="6"/>
      <c r="H467" s="7"/>
      <c r="I467" s="7"/>
      <c r="J467" s="7"/>
      <c r="K467" s="7"/>
      <c r="L467" s="7"/>
      <c r="M467" s="7"/>
      <c r="N467" s="5"/>
      <c r="O467" s="5"/>
      <c r="P467" s="7"/>
      <c r="Q467" s="7"/>
      <c r="R467" s="7"/>
    </row>
    <row r="468" spans="1:18" x14ac:dyDescent="0.2">
      <c r="A468" s="5"/>
      <c r="B468" s="5"/>
      <c r="C468" s="5"/>
      <c r="D468" s="5"/>
      <c r="E468" s="5"/>
      <c r="F468" s="5"/>
      <c r="G468" s="6"/>
      <c r="H468" s="7"/>
      <c r="I468" s="7"/>
      <c r="J468" s="7"/>
      <c r="K468" s="7"/>
      <c r="L468" s="7"/>
      <c r="M468" s="7"/>
      <c r="N468" s="5"/>
      <c r="O468" s="5"/>
      <c r="P468" s="7"/>
      <c r="Q468" s="7"/>
      <c r="R468" s="7"/>
    </row>
    <row r="469" spans="1:18" x14ac:dyDescent="0.2">
      <c r="A469" s="5"/>
      <c r="B469" s="5"/>
      <c r="C469" s="5"/>
      <c r="D469" s="5"/>
      <c r="E469" s="5"/>
      <c r="F469" s="5"/>
      <c r="G469" s="6"/>
      <c r="H469" s="7"/>
      <c r="I469" s="7"/>
      <c r="J469" s="7"/>
      <c r="K469" s="7"/>
      <c r="L469" s="7"/>
      <c r="M469" s="7"/>
      <c r="N469" s="5"/>
      <c r="O469" s="5"/>
      <c r="P469" s="7"/>
      <c r="Q469" s="7"/>
      <c r="R469" s="7"/>
    </row>
    <row r="470" spans="1:18" x14ac:dyDescent="0.2">
      <c r="A470" s="5"/>
      <c r="B470" s="5"/>
      <c r="C470" s="5"/>
      <c r="D470" s="5"/>
      <c r="E470" s="5"/>
      <c r="F470" s="5"/>
      <c r="G470" s="6"/>
      <c r="H470" s="7"/>
      <c r="I470" s="7"/>
      <c r="J470" s="7"/>
      <c r="K470" s="7"/>
      <c r="L470" s="7"/>
      <c r="M470" s="7"/>
      <c r="N470" s="5"/>
      <c r="O470" s="5"/>
      <c r="P470" s="7"/>
      <c r="Q470" s="7"/>
      <c r="R470" s="7"/>
    </row>
    <row r="471" spans="1:18" x14ac:dyDescent="0.2">
      <c r="A471" s="5"/>
      <c r="B471" s="5"/>
      <c r="C471" s="5"/>
      <c r="D471" s="5"/>
      <c r="E471" s="5"/>
      <c r="F471" s="5"/>
      <c r="G471" s="6"/>
      <c r="H471" s="7"/>
      <c r="I471" s="7"/>
      <c r="J471" s="7"/>
      <c r="K471" s="7"/>
      <c r="L471" s="7"/>
      <c r="M471" s="7"/>
      <c r="N471" s="5"/>
      <c r="O471" s="5"/>
      <c r="P471" s="7"/>
      <c r="Q471" s="7"/>
      <c r="R471" s="7"/>
    </row>
    <row r="472" spans="1:18" x14ac:dyDescent="0.2">
      <c r="A472" s="5"/>
      <c r="B472" s="5"/>
      <c r="C472" s="5"/>
      <c r="D472" s="5"/>
      <c r="E472" s="5"/>
      <c r="F472" s="5"/>
      <c r="G472" s="6"/>
      <c r="H472" s="7"/>
      <c r="I472" s="7"/>
      <c r="J472" s="7"/>
      <c r="K472" s="7"/>
      <c r="L472" s="7"/>
      <c r="M472" s="7"/>
      <c r="N472" s="5"/>
      <c r="O472" s="5"/>
      <c r="P472" s="7"/>
      <c r="Q472" s="7"/>
      <c r="R472" s="7"/>
    </row>
    <row r="473" spans="1:18" x14ac:dyDescent="0.2">
      <c r="A473" s="5"/>
      <c r="B473" s="5"/>
      <c r="C473" s="5"/>
      <c r="D473" s="5"/>
      <c r="E473" s="5"/>
      <c r="F473" s="5"/>
      <c r="G473" s="6"/>
      <c r="H473" s="7"/>
      <c r="I473" s="7"/>
      <c r="J473" s="7"/>
      <c r="K473" s="7"/>
      <c r="L473" s="7"/>
      <c r="M473" s="7"/>
      <c r="N473" s="5"/>
      <c r="O473" s="5"/>
      <c r="P473" s="7"/>
      <c r="Q473" s="7"/>
      <c r="R473" s="7"/>
    </row>
    <row r="474" spans="1:18" x14ac:dyDescent="0.2">
      <c r="A474" s="5"/>
      <c r="B474" s="5"/>
      <c r="C474" s="5"/>
      <c r="D474" s="5"/>
      <c r="E474" s="5"/>
      <c r="F474" s="5"/>
      <c r="G474" s="6"/>
      <c r="H474" s="7"/>
      <c r="I474" s="7"/>
      <c r="J474" s="7"/>
      <c r="K474" s="7"/>
      <c r="L474" s="7"/>
      <c r="M474" s="7"/>
      <c r="N474" s="5"/>
      <c r="O474" s="5"/>
      <c r="P474" s="7"/>
      <c r="Q474" s="7"/>
      <c r="R474" s="7"/>
    </row>
    <row r="475" spans="1:18" x14ac:dyDescent="0.2">
      <c r="A475" s="5"/>
      <c r="B475" s="5"/>
      <c r="C475" s="5"/>
      <c r="D475" s="5"/>
      <c r="E475" s="5"/>
      <c r="F475" s="5"/>
      <c r="G475" s="6"/>
      <c r="H475" s="7"/>
      <c r="I475" s="7"/>
      <c r="J475" s="7"/>
      <c r="K475" s="7"/>
      <c r="L475" s="7"/>
      <c r="M475" s="7"/>
      <c r="N475" s="5"/>
      <c r="O475" s="5"/>
      <c r="P475" s="7"/>
      <c r="Q475" s="7"/>
      <c r="R475" s="7"/>
    </row>
    <row r="476" spans="1:18" x14ac:dyDescent="0.2">
      <c r="A476" s="5"/>
      <c r="B476" s="5"/>
      <c r="C476" s="5"/>
      <c r="D476" s="5"/>
      <c r="E476" s="5"/>
      <c r="F476" s="5"/>
      <c r="G476" s="6"/>
      <c r="H476" s="7"/>
      <c r="I476" s="7"/>
      <c r="J476" s="7"/>
      <c r="K476" s="7"/>
      <c r="L476" s="7"/>
      <c r="M476" s="7"/>
      <c r="N476" s="5"/>
      <c r="O476" s="5"/>
      <c r="P476" s="7"/>
      <c r="Q476" s="7"/>
      <c r="R476" s="7"/>
    </row>
    <row r="477" spans="1:18" x14ac:dyDescent="0.2">
      <c r="A477" s="5"/>
      <c r="B477" s="5"/>
      <c r="C477" s="5"/>
      <c r="D477" s="5"/>
      <c r="E477" s="5"/>
      <c r="F477" s="5"/>
      <c r="G477" s="6"/>
      <c r="H477" s="7"/>
      <c r="I477" s="7"/>
      <c r="J477" s="7"/>
      <c r="K477" s="7"/>
      <c r="L477" s="7"/>
      <c r="M477" s="7"/>
      <c r="N477" s="5"/>
      <c r="O477" s="5"/>
      <c r="P477" s="7"/>
      <c r="Q477" s="7"/>
      <c r="R477" s="7"/>
    </row>
    <row r="478" spans="1:18" x14ac:dyDescent="0.2">
      <c r="A478" s="5"/>
      <c r="B478" s="5"/>
      <c r="C478" s="5"/>
      <c r="D478" s="5"/>
      <c r="E478" s="5"/>
      <c r="F478" s="5"/>
      <c r="G478" s="6"/>
      <c r="H478" s="7"/>
      <c r="I478" s="7"/>
      <c r="J478" s="7"/>
      <c r="K478" s="7"/>
      <c r="L478" s="7"/>
      <c r="M478" s="7"/>
      <c r="N478" s="5"/>
      <c r="O478" s="5"/>
      <c r="P478" s="7"/>
      <c r="Q478" s="7"/>
      <c r="R478" s="7"/>
    </row>
    <row r="479" spans="1:18" x14ac:dyDescent="0.2">
      <c r="A479" s="5"/>
      <c r="B479" s="5"/>
      <c r="C479" s="5"/>
      <c r="D479" s="5"/>
      <c r="E479" s="5"/>
      <c r="F479" s="5"/>
      <c r="G479" s="6"/>
      <c r="H479" s="7"/>
      <c r="I479" s="7"/>
      <c r="J479" s="7"/>
      <c r="K479" s="7"/>
      <c r="L479" s="7"/>
      <c r="M479" s="7"/>
      <c r="N479" s="5"/>
      <c r="O479" s="5"/>
      <c r="P479" s="7"/>
      <c r="Q479" s="7"/>
      <c r="R479" s="7"/>
    </row>
    <row r="480" spans="1:18" x14ac:dyDescent="0.2">
      <c r="A480" s="5"/>
      <c r="B480" s="5"/>
      <c r="C480" s="5"/>
      <c r="D480" s="5"/>
      <c r="E480" s="5"/>
      <c r="F480" s="5"/>
      <c r="G480" s="6"/>
      <c r="H480" s="7"/>
      <c r="I480" s="7"/>
      <c r="J480" s="7"/>
      <c r="K480" s="7"/>
      <c r="L480" s="7"/>
      <c r="M480" s="7"/>
      <c r="N480" s="5"/>
      <c r="O480" s="5"/>
      <c r="P480" s="7"/>
      <c r="Q480" s="7"/>
      <c r="R480" s="7"/>
    </row>
    <row r="481" spans="1:18" x14ac:dyDescent="0.2">
      <c r="A481" s="5"/>
      <c r="B481" s="5"/>
      <c r="C481" s="5"/>
      <c r="D481" s="5"/>
      <c r="E481" s="5"/>
      <c r="F481" s="5"/>
      <c r="G481" s="6"/>
      <c r="H481" s="7"/>
      <c r="I481" s="7"/>
      <c r="J481" s="7"/>
      <c r="K481" s="7"/>
      <c r="L481" s="7"/>
      <c r="M481" s="7"/>
      <c r="N481" s="5"/>
      <c r="O481" s="5"/>
      <c r="P481" s="7"/>
      <c r="Q481" s="7"/>
      <c r="R481" s="7"/>
    </row>
    <row r="482" spans="1:18" x14ac:dyDescent="0.2">
      <c r="A482" s="5"/>
      <c r="B482" s="5"/>
      <c r="C482" s="5"/>
      <c r="D482" s="5"/>
      <c r="E482" s="5"/>
      <c r="F482" s="5"/>
      <c r="G482" s="6"/>
      <c r="H482" s="7"/>
      <c r="I482" s="7"/>
      <c r="J482" s="7"/>
      <c r="K482" s="7"/>
      <c r="L482" s="7"/>
      <c r="M482" s="7"/>
      <c r="N482" s="5"/>
      <c r="O482" s="5"/>
      <c r="P482" s="7"/>
      <c r="Q482" s="7"/>
      <c r="R482" s="7"/>
    </row>
    <row r="483" spans="1:18" x14ac:dyDescent="0.2">
      <c r="A483" s="5"/>
      <c r="B483" s="5"/>
      <c r="C483" s="5"/>
      <c r="D483" s="5"/>
      <c r="E483" s="5"/>
      <c r="F483" s="5"/>
      <c r="G483" s="6"/>
      <c r="H483" s="7"/>
      <c r="I483" s="7"/>
      <c r="J483" s="7"/>
      <c r="K483" s="7"/>
      <c r="L483" s="7"/>
      <c r="M483" s="7"/>
      <c r="N483" s="5"/>
      <c r="O483" s="5"/>
      <c r="P483" s="7"/>
      <c r="Q483" s="7"/>
      <c r="R483" s="7"/>
    </row>
    <row r="484" spans="1:18" x14ac:dyDescent="0.2">
      <c r="A484" s="5"/>
      <c r="B484" s="5"/>
      <c r="C484" s="5"/>
      <c r="D484" s="5"/>
      <c r="E484" s="5"/>
      <c r="F484" s="5"/>
      <c r="G484" s="6"/>
      <c r="H484" s="7"/>
      <c r="I484" s="7"/>
      <c r="J484" s="7"/>
      <c r="K484" s="7"/>
      <c r="L484" s="7"/>
      <c r="M484" s="7"/>
      <c r="N484" s="5"/>
      <c r="O484" s="5"/>
      <c r="P484" s="7"/>
      <c r="Q484" s="7"/>
      <c r="R484" s="7"/>
    </row>
    <row r="485" spans="1:18" x14ac:dyDescent="0.2">
      <c r="A485" s="5"/>
      <c r="B485" s="5"/>
      <c r="C485" s="5"/>
      <c r="D485" s="5"/>
      <c r="E485" s="5"/>
      <c r="F485" s="5"/>
      <c r="G485" s="6"/>
      <c r="H485" s="7"/>
      <c r="I485" s="7"/>
      <c r="J485" s="7"/>
      <c r="K485" s="7"/>
      <c r="L485" s="7"/>
      <c r="M485" s="7"/>
      <c r="N485" s="5"/>
      <c r="O485" s="5"/>
      <c r="P485" s="7"/>
      <c r="Q485" s="7"/>
      <c r="R485" s="7"/>
    </row>
    <row r="486" spans="1:18" x14ac:dyDescent="0.2">
      <c r="A486" s="5"/>
      <c r="B486" s="5"/>
      <c r="C486" s="5"/>
      <c r="D486" s="5"/>
      <c r="E486" s="5"/>
      <c r="F486" s="5"/>
      <c r="G486" s="6"/>
      <c r="H486" s="7"/>
      <c r="I486" s="7"/>
      <c r="J486" s="7"/>
      <c r="K486" s="7"/>
      <c r="L486" s="7"/>
      <c r="M486" s="7"/>
      <c r="N486" s="5"/>
      <c r="O486" s="5"/>
      <c r="P486" s="7"/>
      <c r="Q486" s="7"/>
      <c r="R486" s="7"/>
    </row>
    <row r="487" spans="1:18" x14ac:dyDescent="0.2">
      <c r="A487" s="5"/>
      <c r="B487" s="5"/>
      <c r="C487" s="5"/>
      <c r="D487" s="5"/>
      <c r="E487" s="5"/>
      <c r="F487" s="5"/>
      <c r="G487" s="6"/>
      <c r="H487" s="7"/>
      <c r="I487" s="7"/>
      <c r="J487" s="7"/>
      <c r="K487" s="7"/>
      <c r="L487" s="7"/>
      <c r="M487" s="7"/>
      <c r="N487" s="5"/>
      <c r="O487" s="5"/>
      <c r="P487" s="7"/>
      <c r="Q487" s="7"/>
      <c r="R487" s="7"/>
    </row>
    <row r="488" spans="1:18" x14ac:dyDescent="0.2">
      <c r="A488" s="5"/>
      <c r="B488" s="5"/>
      <c r="C488" s="5"/>
      <c r="D488" s="5"/>
      <c r="E488" s="5"/>
      <c r="F488" s="5"/>
      <c r="G488" s="6"/>
      <c r="H488" s="7"/>
      <c r="I488" s="7"/>
      <c r="J488" s="7"/>
      <c r="K488" s="7"/>
      <c r="L488" s="7"/>
      <c r="M488" s="7"/>
      <c r="N488" s="5"/>
      <c r="O488" s="5"/>
      <c r="P488" s="7"/>
      <c r="Q488" s="7"/>
      <c r="R488" s="7"/>
    </row>
    <row r="489" spans="1:18" x14ac:dyDescent="0.2">
      <c r="A489" s="5"/>
      <c r="B489" s="5"/>
      <c r="C489" s="5"/>
      <c r="D489" s="5"/>
      <c r="E489" s="5"/>
      <c r="F489" s="5"/>
      <c r="G489" s="6"/>
      <c r="H489" s="7"/>
      <c r="I489" s="7"/>
      <c r="J489" s="7"/>
      <c r="K489" s="7"/>
      <c r="L489" s="7"/>
      <c r="M489" s="7"/>
      <c r="N489" s="5"/>
      <c r="O489" s="5"/>
      <c r="P489" s="7"/>
      <c r="Q489" s="7"/>
      <c r="R489" s="7"/>
    </row>
    <row r="490" spans="1:18" x14ac:dyDescent="0.2">
      <c r="A490" s="5"/>
      <c r="B490" s="5"/>
      <c r="C490" s="5"/>
      <c r="D490" s="5"/>
      <c r="E490" s="5"/>
      <c r="F490" s="5"/>
      <c r="G490" s="6"/>
      <c r="H490" s="7"/>
      <c r="I490" s="7"/>
      <c r="J490" s="7"/>
      <c r="K490" s="7"/>
      <c r="L490" s="7"/>
      <c r="M490" s="7"/>
      <c r="N490" s="5"/>
      <c r="O490" s="5"/>
      <c r="P490" s="7"/>
      <c r="Q490" s="7"/>
      <c r="R490" s="7"/>
    </row>
    <row r="491" spans="1:18" x14ac:dyDescent="0.2">
      <c r="A491" s="5"/>
      <c r="B491" s="5"/>
      <c r="C491" s="5"/>
      <c r="D491" s="5"/>
      <c r="E491" s="5"/>
      <c r="F491" s="5"/>
      <c r="G491" s="6"/>
      <c r="H491" s="7"/>
      <c r="I491" s="7"/>
      <c r="J491" s="7"/>
      <c r="K491" s="7"/>
      <c r="L491" s="7"/>
      <c r="M491" s="7"/>
      <c r="N491" s="5"/>
      <c r="O491" s="5"/>
      <c r="P491" s="7"/>
      <c r="Q491" s="7"/>
      <c r="R491" s="7"/>
    </row>
    <row r="492" spans="1:18" x14ac:dyDescent="0.2">
      <c r="A492" s="5"/>
      <c r="B492" s="5"/>
      <c r="C492" s="5"/>
      <c r="D492" s="5"/>
      <c r="E492" s="5"/>
      <c r="F492" s="5"/>
      <c r="G492" s="6"/>
      <c r="H492" s="7"/>
      <c r="I492" s="7"/>
      <c r="J492" s="7"/>
      <c r="K492" s="7"/>
      <c r="L492" s="7"/>
      <c r="M492" s="7"/>
      <c r="N492" s="5"/>
      <c r="O492" s="5"/>
      <c r="P492" s="7"/>
      <c r="Q492" s="7"/>
      <c r="R492" s="7"/>
    </row>
    <row r="493" spans="1:18" x14ac:dyDescent="0.2">
      <c r="A493" s="5"/>
      <c r="B493" s="5"/>
      <c r="C493" s="5"/>
      <c r="D493" s="5"/>
      <c r="E493" s="5"/>
      <c r="F493" s="5"/>
      <c r="G493" s="6"/>
      <c r="H493" s="7"/>
      <c r="I493" s="7"/>
      <c r="J493" s="7"/>
      <c r="K493" s="7"/>
      <c r="L493" s="7"/>
      <c r="M493" s="7"/>
      <c r="N493" s="5"/>
      <c r="O493" s="5"/>
      <c r="P493" s="7"/>
      <c r="Q493" s="7"/>
      <c r="R493" s="7"/>
    </row>
    <row r="494" spans="1:18" x14ac:dyDescent="0.2">
      <c r="A494" s="5"/>
      <c r="B494" s="5"/>
      <c r="C494" s="5"/>
      <c r="D494" s="5"/>
      <c r="E494" s="5"/>
      <c r="F494" s="5"/>
      <c r="G494" s="6"/>
      <c r="H494" s="7"/>
      <c r="I494" s="7"/>
      <c r="J494" s="7"/>
      <c r="K494" s="7"/>
      <c r="L494" s="7"/>
      <c r="M494" s="7"/>
      <c r="N494" s="5"/>
      <c r="O494" s="5"/>
      <c r="P494" s="7"/>
      <c r="Q494" s="7"/>
      <c r="R494" s="7"/>
    </row>
    <row r="495" spans="1:18" x14ac:dyDescent="0.2">
      <c r="A495" s="5"/>
      <c r="B495" s="5"/>
      <c r="C495" s="5"/>
      <c r="D495" s="5"/>
      <c r="E495" s="5"/>
      <c r="F495" s="5"/>
      <c r="G495" s="6"/>
      <c r="H495" s="7"/>
      <c r="I495" s="7"/>
      <c r="J495" s="7"/>
      <c r="K495" s="7"/>
      <c r="L495" s="7"/>
      <c r="M495" s="7"/>
      <c r="N495" s="5"/>
      <c r="O495" s="5"/>
      <c r="P495" s="7"/>
      <c r="Q495" s="7"/>
      <c r="R495" s="7"/>
    </row>
    <row r="496" spans="1:18" x14ac:dyDescent="0.2">
      <c r="A496" s="5"/>
      <c r="B496" s="5"/>
      <c r="C496" s="5"/>
      <c r="D496" s="5"/>
      <c r="E496" s="5"/>
      <c r="F496" s="5"/>
      <c r="G496" s="6"/>
      <c r="H496" s="7"/>
      <c r="I496" s="7"/>
      <c r="J496" s="7"/>
      <c r="K496" s="7"/>
      <c r="L496" s="7"/>
      <c r="M496" s="7"/>
      <c r="N496" s="5"/>
      <c r="O496" s="5"/>
      <c r="P496" s="7"/>
      <c r="Q496" s="7"/>
      <c r="R496" s="7"/>
    </row>
    <row r="497" spans="1:18" x14ac:dyDescent="0.2">
      <c r="A497" s="5"/>
      <c r="B497" s="5"/>
      <c r="C497" s="5"/>
      <c r="D497" s="5"/>
      <c r="E497" s="5"/>
      <c r="F497" s="5"/>
      <c r="G497" s="6"/>
      <c r="H497" s="7"/>
      <c r="I497" s="7"/>
      <c r="J497" s="7"/>
      <c r="K497" s="7"/>
      <c r="L497" s="7"/>
      <c r="M497" s="7"/>
      <c r="N497" s="5"/>
      <c r="O497" s="5"/>
      <c r="P497" s="7"/>
      <c r="Q497" s="7"/>
      <c r="R497" s="7"/>
    </row>
    <row r="498" spans="1:18" x14ac:dyDescent="0.2">
      <c r="A498" s="5"/>
      <c r="B498" s="5"/>
      <c r="C498" s="5"/>
      <c r="D498" s="5"/>
      <c r="E498" s="5"/>
      <c r="F498" s="5"/>
      <c r="G498" s="6"/>
      <c r="H498" s="7"/>
      <c r="I498" s="7"/>
      <c r="J498" s="7"/>
      <c r="K498" s="7"/>
      <c r="L498" s="7"/>
      <c r="M498" s="7"/>
      <c r="N498" s="5"/>
      <c r="O498" s="5"/>
      <c r="P498" s="7"/>
      <c r="Q498" s="7"/>
      <c r="R498" s="7"/>
    </row>
    <row r="499" spans="1:18" x14ac:dyDescent="0.2">
      <c r="A499" s="5"/>
      <c r="B499" s="5"/>
      <c r="C499" s="5"/>
      <c r="D499" s="5"/>
      <c r="E499" s="5"/>
      <c r="F499" s="5"/>
      <c r="G499" s="6"/>
      <c r="H499" s="7"/>
      <c r="I499" s="7"/>
      <c r="J499" s="7"/>
      <c r="K499" s="7"/>
      <c r="L499" s="7"/>
      <c r="M499" s="7"/>
      <c r="N499" s="5"/>
      <c r="O499" s="5"/>
      <c r="P499" s="7"/>
      <c r="Q499" s="7"/>
      <c r="R499" s="7"/>
    </row>
    <row r="500" spans="1:18" x14ac:dyDescent="0.2">
      <c r="A500" s="5"/>
      <c r="B500" s="5"/>
      <c r="C500" s="5"/>
      <c r="D500" s="5"/>
      <c r="E500" s="5"/>
      <c r="F500" s="5"/>
      <c r="G500" s="6"/>
      <c r="H500" s="7"/>
      <c r="I500" s="7"/>
      <c r="J500" s="7"/>
      <c r="K500" s="7"/>
      <c r="L500" s="7"/>
      <c r="M500" s="7"/>
      <c r="N500" s="5"/>
      <c r="O500" s="5"/>
      <c r="P500" s="7"/>
      <c r="Q500" s="7"/>
      <c r="R500" s="7"/>
    </row>
    <row r="501" spans="1:18" x14ac:dyDescent="0.2">
      <c r="A501" s="5"/>
      <c r="B501" s="5"/>
      <c r="C501" s="5"/>
      <c r="D501" s="5"/>
      <c r="E501" s="5"/>
      <c r="F501" s="5"/>
      <c r="G501" s="6"/>
      <c r="H501" s="7"/>
      <c r="I501" s="7"/>
      <c r="J501" s="7"/>
      <c r="K501" s="7"/>
      <c r="L501" s="7"/>
      <c r="M501" s="7"/>
      <c r="N501" s="5"/>
      <c r="O501" s="5"/>
      <c r="P501" s="7"/>
      <c r="Q501" s="7"/>
      <c r="R501" s="7"/>
    </row>
    <row r="502" spans="1:18" x14ac:dyDescent="0.2">
      <c r="A502" s="5"/>
      <c r="B502" s="5"/>
      <c r="C502" s="5"/>
      <c r="D502" s="5"/>
      <c r="E502" s="5"/>
      <c r="F502" s="5"/>
      <c r="G502" s="6"/>
      <c r="H502" s="7"/>
      <c r="I502" s="7"/>
      <c r="J502" s="7"/>
      <c r="K502" s="7"/>
      <c r="L502" s="7"/>
      <c r="M502" s="7"/>
      <c r="N502" s="5"/>
      <c r="O502" s="5"/>
      <c r="P502" s="7"/>
      <c r="Q502" s="7"/>
      <c r="R502" s="7"/>
    </row>
    <row r="503" spans="1:18" x14ac:dyDescent="0.2">
      <c r="A503" s="5"/>
      <c r="B503" s="5"/>
      <c r="C503" s="5"/>
      <c r="D503" s="5"/>
      <c r="E503" s="5"/>
      <c r="F503" s="5"/>
      <c r="G503" s="6"/>
      <c r="H503" s="7"/>
      <c r="I503" s="7"/>
      <c r="J503" s="7"/>
      <c r="K503" s="7"/>
      <c r="L503" s="7"/>
      <c r="M503" s="7"/>
      <c r="N503" s="5"/>
      <c r="O503" s="5"/>
      <c r="P503" s="7"/>
      <c r="Q503" s="7"/>
      <c r="R503" s="7"/>
    </row>
    <row r="504" spans="1:18" x14ac:dyDescent="0.2">
      <c r="A504" s="5"/>
      <c r="B504" s="5"/>
      <c r="C504" s="5"/>
      <c r="D504" s="5"/>
      <c r="E504" s="5"/>
      <c r="F504" s="5"/>
      <c r="G504" s="6"/>
      <c r="H504" s="7"/>
      <c r="I504" s="7"/>
      <c r="J504" s="7"/>
      <c r="K504" s="7"/>
      <c r="L504" s="7"/>
      <c r="M504" s="7"/>
      <c r="N504" s="5"/>
      <c r="O504" s="5"/>
      <c r="P504" s="7"/>
      <c r="Q504" s="7"/>
      <c r="R504" s="7"/>
    </row>
    <row r="505" spans="1:18" x14ac:dyDescent="0.2">
      <c r="A505" s="5"/>
      <c r="B505" s="5"/>
      <c r="C505" s="5"/>
      <c r="D505" s="5"/>
      <c r="E505" s="5"/>
      <c r="F505" s="5"/>
      <c r="G505" s="6"/>
      <c r="H505" s="7"/>
      <c r="I505" s="7"/>
      <c r="J505" s="7"/>
      <c r="K505" s="7"/>
      <c r="L505" s="7"/>
      <c r="M505" s="7"/>
      <c r="N505" s="5"/>
      <c r="O505" s="5"/>
      <c r="P505" s="7"/>
      <c r="Q505" s="7"/>
      <c r="R505" s="7"/>
    </row>
    <row r="506" spans="1:18" x14ac:dyDescent="0.2">
      <c r="A506" s="5"/>
      <c r="B506" s="5"/>
      <c r="C506" s="5"/>
      <c r="D506" s="5"/>
      <c r="E506" s="5"/>
      <c r="F506" s="5"/>
      <c r="G506" s="6"/>
      <c r="H506" s="7"/>
      <c r="I506" s="7"/>
      <c r="J506" s="7"/>
      <c r="K506" s="7"/>
      <c r="L506" s="7"/>
      <c r="M506" s="7"/>
      <c r="N506" s="5"/>
      <c r="O506" s="5"/>
      <c r="P506" s="7"/>
      <c r="Q506" s="7"/>
      <c r="R506" s="7"/>
    </row>
    <row r="507" spans="1:18" x14ac:dyDescent="0.2">
      <c r="A507" s="5"/>
      <c r="B507" s="5"/>
      <c r="C507" s="5"/>
      <c r="D507" s="5"/>
      <c r="E507" s="5"/>
      <c r="F507" s="5"/>
      <c r="G507" s="6"/>
      <c r="H507" s="7"/>
      <c r="I507" s="7"/>
      <c r="J507" s="7"/>
      <c r="K507" s="7"/>
      <c r="L507" s="7"/>
      <c r="M507" s="7"/>
      <c r="N507" s="5"/>
      <c r="O507" s="5"/>
      <c r="P507" s="7"/>
      <c r="Q507" s="7"/>
      <c r="R507" s="7"/>
    </row>
    <row r="508" spans="1:18" x14ac:dyDescent="0.2">
      <c r="A508" s="5"/>
      <c r="B508" s="5"/>
      <c r="C508" s="5"/>
      <c r="D508" s="5"/>
      <c r="E508" s="5"/>
      <c r="F508" s="5"/>
      <c r="G508" s="6"/>
      <c r="H508" s="7"/>
      <c r="I508" s="7"/>
      <c r="J508" s="7"/>
      <c r="K508" s="7"/>
      <c r="L508" s="7"/>
      <c r="M508" s="7"/>
      <c r="N508" s="5"/>
      <c r="O508" s="5"/>
      <c r="P508" s="7"/>
      <c r="Q508" s="7"/>
      <c r="R508" s="7"/>
    </row>
    <row r="509" spans="1:18" x14ac:dyDescent="0.2">
      <c r="A509" s="5"/>
      <c r="B509" s="5"/>
      <c r="C509" s="5"/>
      <c r="D509" s="5"/>
      <c r="E509" s="5"/>
      <c r="F509" s="5"/>
      <c r="G509" s="6"/>
      <c r="H509" s="7"/>
      <c r="I509" s="7"/>
      <c r="J509" s="7"/>
      <c r="K509" s="7"/>
      <c r="L509" s="7"/>
      <c r="M509" s="7"/>
      <c r="N509" s="5"/>
      <c r="O509" s="5"/>
      <c r="P509" s="7"/>
      <c r="Q509" s="7"/>
      <c r="R509" s="7"/>
    </row>
    <row r="510" spans="1:18" x14ac:dyDescent="0.2">
      <c r="A510" s="5"/>
      <c r="B510" s="5"/>
      <c r="C510" s="5"/>
      <c r="D510" s="5"/>
      <c r="E510" s="5"/>
      <c r="F510" s="5"/>
      <c r="G510" s="6"/>
      <c r="H510" s="7"/>
      <c r="I510" s="7"/>
      <c r="J510" s="7"/>
      <c r="K510" s="7"/>
      <c r="L510" s="7"/>
      <c r="M510" s="7"/>
      <c r="N510" s="5"/>
      <c r="O510" s="5"/>
      <c r="P510" s="7"/>
      <c r="Q510" s="7"/>
      <c r="R510" s="7"/>
    </row>
    <row r="511" spans="1:18" x14ac:dyDescent="0.2">
      <c r="A511" s="5"/>
      <c r="B511" s="5"/>
      <c r="C511" s="5"/>
      <c r="D511" s="5"/>
      <c r="E511" s="5"/>
      <c r="F511" s="5"/>
      <c r="G511" s="6"/>
      <c r="H511" s="7"/>
      <c r="I511" s="7"/>
      <c r="J511" s="7"/>
      <c r="K511" s="7"/>
      <c r="L511" s="7"/>
      <c r="M511" s="7"/>
      <c r="N511" s="5"/>
      <c r="O511" s="5"/>
      <c r="P511" s="7"/>
      <c r="Q511" s="7"/>
      <c r="R511" s="7"/>
    </row>
    <row r="512" spans="1:18" x14ac:dyDescent="0.2">
      <c r="A512" s="5"/>
      <c r="B512" s="5"/>
      <c r="C512" s="5"/>
      <c r="D512" s="5"/>
      <c r="E512" s="5"/>
      <c r="F512" s="5"/>
      <c r="G512" s="6"/>
      <c r="H512" s="7"/>
      <c r="I512" s="7"/>
      <c r="J512" s="7"/>
      <c r="K512" s="7"/>
      <c r="L512" s="7"/>
      <c r="M512" s="7"/>
      <c r="N512" s="5"/>
      <c r="O512" s="5"/>
      <c r="P512" s="7"/>
      <c r="Q512" s="7"/>
      <c r="R512" s="7"/>
    </row>
    <row r="513" spans="1:18" x14ac:dyDescent="0.2">
      <c r="A513" s="5"/>
      <c r="B513" s="5"/>
      <c r="C513" s="5"/>
      <c r="D513" s="5"/>
      <c r="E513" s="5"/>
      <c r="F513" s="5"/>
      <c r="G513" s="6"/>
      <c r="H513" s="7"/>
      <c r="I513" s="7"/>
      <c r="J513" s="7"/>
      <c r="K513" s="7"/>
      <c r="L513" s="7"/>
      <c r="M513" s="7"/>
      <c r="N513" s="5"/>
      <c r="O513" s="5"/>
      <c r="P513" s="7"/>
      <c r="Q513" s="7"/>
      <c r="R513" s="7"/>
    </row>
    <row r="514" spans="1:18" x14ac:dyDescent="0.2">
      <c r="A514" s="5"/>
      <c r="B514" s="5"/>
      <c r="C514" s="5"/>
      <c r="D514" s="5"/>
      <c r="E514" s="5"/>
      <c r="F514" s="5"/>
      <c r="G514" s="6"/>
      <c r="H514" s="7"/>
      <c r="I514" s="7"/>
      <c r="J514" s="7"/>
      <c r="K514" s="7"/>
      <c r="L514" s="7"/>
      <c r="M514" s="7"/>
      <c r="N514" s="5"/>
      <c r="O514" s="5"/>
      <c r="P514" s="7"/>
      <c r="Q514" s="7"/>
      <c r="R514" s="7"/>
    </row>
    <row r="515" spans="1:18" x14ac:dyDescent="0.2">
      <c r="A515" s="5"/>
      <c r="B515" s="5"/>
      <c r="C515" s="5"/>
      <c r="D515" s="5"/>
      <c r="E515" s="5"/>
      <c r="F515" s="5"/>
      <c r="G515" s="6"/>
      <c r="H515" s="7"/>
      <c r="I515" s="7"/>
      <c r="J515" s="7"/>
      <c r="K515" s="7"/>
      <c r="L515" s="7"/>
      <c r="M515" s="7"/>
      <c r="N515" s="5"/>
      <c r="O515" s="5"/>
      <c r="P515" s="7"/>
      <c r="Q515" s="7"/>
      <c r="R515" s="7"/>
    </row>
    <row r="516" spans="1:18" x14ac:dyDescent="0.2">
      <c r="A516" s="5"/>
      <c r="B516" s="5"/>
      <c r="C516" s="5"/>
      <c r="D516" s="5"/>
      <c r="E516" s="5"/>
      <c r="F516" s="5"/>
      <c r="G516" s="6"/>
      <c r="H516" s="7"/>
      <c r="I516" s="7"/>
      <c r="J516" s="7"/>
      <c r="K516" s="7"/>
      <c r="L516" s="7"/>
      <c r="M516" s="7"/>
      <c r="N516" s="5"/>
      <c r="O516" s="5"/>
      <c r="P516" s="7"/>
      <c r="Q516" s="7"/>
      <c r="R516" s="7"/>
    </row>
    <row r="517" spans="1:18" x14ac:dyDescent="0.2">
      <c r="A517" s="5"/>
      <c r="B517" s="5"/>
      <c r="C517" s="5"/>
      <c r="D517" s="5"/>
      <c r="E517" s="5"/>
      <c r="F517" s="5"/>
      <c r="G517" s="6"/>
      <c r="H517" s="7"/>
      <c r="I517" s="7"/>
      <c r="J517" s="7"/>
      <c r="K517" s="7"/>
      <c r="L517" s="7"/>
      <c r="M517" s="7"/>
      <c r="N517" s="5"/>
      <c r="O517" s="5"/>
      <c r="P517" s="7"/>
      <c r="Q517" s="7"/>
      <c r="R517" s="7"/>
    </row>
    <row r="518" spans="1:18" x14ac:dyDescent="0.2">
      <c r="A518" s="5"/>
      <c r="B518" s="5"/>
      <c r="C518" s="5"/>
      <c r="D518" s="5"/>
      <c r="E518" s="5"/>
      <c r="F518" s="5"/>
      <c r="G518" s="6"/>
      <c r="H518" s="7"/>
      <c r="I518" s="7"/>
      <c r="J518" s="7"/>
      <c r="K518" s="7"/>
      <c r="L518" s="7"/>
      <c r="M518" s="7"/>
      <c r="N518" s="5"/>
      <c r="O518" s="5"/>
      <c r="P518" s="7"/>
      <c r="Q518" s="7"/>
      <c r="R518" s="7"/>
    </row>
    <row r="519" spans="1:18" x14ac:dyDescent="0.2">
      <c r="A519" s="5"/>
      <c r="B519" s="5"/>
      <c r="C519" s="5"/>
      <c r="D519" s="5"/>
      <c r="E519" s="5"/>
      <c r="F519" s="5"/>
      <c r="G519" s="6"/>
      <c r="H519" s="7"/>
      <c r="I519" s="7"/>
      <c r="J519" s="7"/>
      <c r="K519" s="7"/>
      <c r="L519" s="7"/>
      <c r="M519" s="7"/>
      <c r="N519" s="5"/>
      <c r="O519" s="5"/>
      <c r="P519" s="7"/>
      <c r="Q519" s="7"/>
      <c r="R519" s="7"/>
    </row>
    <row r="520" spans="1:18" x14ac:dyDescent="0.2">
      <c r="A520" s="5"/>
      <c r="B520" s="5"/>
      <c r="C520" s="5"/>
      <c r="D520" s="5"/>
      <c r="E520" s="5"/>
      <c r="F520" s="5"/>
      <c r="G520" s="6"/>
      <c r="H520" s="7"/>
      <c r="I520" s="7"/>
      <c r="J520" s="7"/>
      <c r="K520" s="7"/>
      <c r="L520" s="7"/>
      <c r="M520" s="7"/>
      <c r="N520" s="5"/>
      <c r="O520" s="5"/>
      <c r="P520" s="7"/>
      <c r="Q520" s="7"/>
      <c r="R520" s="7"/>
    </row>
    <row r="521" spans="1:18" x14ac:dyDescent="0.2">
      <c r="A521" s="5"/>
      <c r="B521" s="5"/>
      <c r="C521" s="5"/>
      <c r="D521" s="5"/>
      <c r="E521" s="5"/>
      <c r="F521" s="5"/>
      <c r="G521" s="6"/>
      <c r="H521" s="7"/>
      <c r="I521" s="7"/>
      <c r="J521" s="7"/>
      <c r="K521" s="7"/>
      <c r="L521" s="7"/>
      <c r="M521" s="7"/>
      <c r="N521" s="5"/>
      <c r="O521" s="5"/>
      <c r="P521" s="7"/>
      <c r="Q521" s="7"/>
      <c r="R521" s="7"/>
    </row>
    <row r="522" spans="1:18" x14ac:dyDescent="0.2">
      <c r="A522" s="5"/>
      <c r="B522" s="5"/>
      <c r="C522" s="5"/>
      <c r="D522" s="5"/>
      <c r="E522" s="5"/>
      <c r="F522" s="5"/>
      <c r="G522" s="6"/>
      <c r="H522" s="7"/>
      <c r="I522" s="7"/>
      <c r="J522" s="7"/>
      <c r="K522" s="7"/>
      <c r="L522" s="7"/>
      <c r="M522" s="7"/>
      <c r="N522" s="5"/>
      <c r="O522" s="5"/>
      <c r="P522" s="7"/>
      <c r="Q522" s="7"/>
      <c r="R522" s="7"/>
    </row>
    <row r="523" spans="1:18" x14ac:dyDescent="0.2">
      <c r="A523" s="5"/>
      <c r="B523" s="5"/>
      <c r="C523" s="5"/>
      <c r="D523" s="5"/>
      <c r="E523" s="5"/>
      <c r="F523" s="5"/>
      <c r="G523" s="6"/>
      <c r="H523" s="7"/>
      <c r="I523" s="7"/>
      <c r="J523" s="7"/>
      <c r="K523" s="7"/>
      <c r="L523" s="7"/>
      <c r="M523" s="7"/>
      <c r="N523" s="5"/>
      <c r="O523" s="5"/>
      <c r="P523" s="7"/>
      <c r="Q523" s="7"/>
      <c r="R523" s="7"/>
    </row>
    <row r="524" spans="1:18" x14ac:dyDescent="0.2">
      <c r="A524" s="5"/>
      <c r="B524" s="5"/>
      <c r="C524" s="5"/>
      <c r="D524" s="5"/>
      <c r="E524" s="5"/>
      <c r="F524" s="5"/>
      <c r="G524" s="6"/>
      <c r="H524" s="7"/>
      <c r="I524" s="7"/>
      <c r="J524" s="7"/>
      <c r="K524" s="7"/>
      <c r="L524" s="7"/>
      <c r="M524" s="7"/>
      <c r="N524" s="5"/>
      <c r="O524" s="5"/>
      <c r="P524" s="7"/>
      <c r="Q524" s="7"/>
      <c r="R524" s="7"/>
    </row>
    <row r="525" spans="1:18" x14ac:dyDescent="0.2">
      <c r="A525" s="5"/>
      <c r="B525" s="5"/>
      <c r="C525" s="5"/>
      <c r="D525" s="5"/>
      <c r="E525" s="5"/>
      <c r="F525" s="5"/>
      <c r="G525" s="6"/>
      <c r="H525" s="7"/>
      <c r="I525" s="7"/>
      <c r="J525" s="7"/>
      <c r="K525" s="7"/>
      <c r="L525" s="7"/>
      <c r="M525" s="7"/>
      <c r="N525" s="5"/>
      <c r="O525" s="5"/>
      <c r="P525" s="7"/>
      <c r="Q525" s="7"/>
      <c r="R525" s="7"/>
    </row>
    <row r="526" spans="1:18" x14ac:dyDescent="0.2">
      <c r="A526" s="5"/>
      <c r="B526" s="5"/>
      <c r="C526" s="5"/>
      <c r="D526" s="5"/>
      <c r="E526" s="5"/>
      <c r="F526" s="5"/>
      <c r="G526" s="6"/>
      <c r="H526" s="7"/>
      <c r="I526" s="7"/>
      <c r="J526" s="7"/>
      <c r="K526" s="7"/>
      <c r="L526" s="7"/>
      <c r="M526" s="7"/>
      <c r="N526" s="5"/>
      <c r="O526" s="5"/>
      <c r="P526" s="7"/>
      <c r="Q526" s="7"/>
      <c r="R526" s="7"/>
    </row>
    <row r="527" spans="1:18" x14ac:dyDescent="0.2">
      <c r="A527" s="5"/>
      <c r="B527" s="5"/>
      <c r="C527" s="5"/>
      <c r="D527" s="5"/>
      <c r="E527" s="5"/>
      <c r="F527" s="5"/>
      <c r="G527" s="6"/>
      <c r="H527" s="7"/>
      <c r="I527" s="7"/>
      <c r="J527" s="7"/>
      <c r="K527" s="7"/>
      <c r="L527" s="7"/>
      <c r="M527" s="7"/>
      <c r="N527" s="5"/>
      <c r="O527" s="5"/>
      <c r="P527" s="7"/>
      <c r="Q527" s="7"/>
      <c r="R527" s="7"/>
    </row>
    <row r="528" spans="1:18" x14ac:dyDescent="0.2">
      <c r="A528" s="5"/>
      <c r="B528" s="5"/>
      <c r="C528" s="5"/>
      <c r="D528" s="5"/>
      <c r="E528" s="5"/>
      <c r="F528" s="5"/>
      <c r="G528" s="6"/>
      <c r="H528" s="7"/>
      <c r="I528" s="7"/>
      <c r="J528" s="7"/>
      <c r="K528" s="7"/>
      <c r="L528" s="7"/>
      <c r="M528" s="7"/>
      <c r="N528" s="5"/>
      <c r="O528" s="5"/>
      <c r="P528" s="7"/>
      <c r="Q528" s="7"/>
      <c r="R528" s="7"/>
    </row>
    <row r="529" spans="1:18" x14ac:dyDescent="0.2">
      <c r="A529" s="5"/>
      <c r="B529" s="5"/>
      <c r="C529" s="5"/>
      <c r="D529" s="5"/>
      <c r="E529" s="5"/>
      <c r="F529" s="5"/>
      <c r="G529" s="6"/>
      <c r="H529" s="7"/>
      <c r="I529" s="7"/>
      <c r="J529" s="7"/>
      <c r="K529" s="7"/>
      <c r="L529" s="7"/>
      <c r="M529" s="7"/>
      <c r="N529" s="5"/>
      <c r="O529" s="5"/>
      <c r="P529" s="7"/>
      <c r="Q529" s="7"/>
      <c r="R529" s="7"/>
    </row>
    <row r="530" spans="1:18" x14ac:dyDescent="0.2">
      <c r="A530" s="5"/>
      <c r="B530" s="5"/>
      <c r="C530" s="5"/>
      <c r="D530" s="5"/>
      <c r="E530" s="5"/>
      <c r="F530" s="5"/>
      <c r="G530" s="6"/>
      <c r="H530" s="7"/>
      <c r="I530" s="7"/>
      <c r="J530" s="7"/>
      <c r="K530" s="7"/>
      <c r="L530" s="7"/>
      <c r="M530" s="7"/>
      <c r="N530" s="5"/>
      <c r="O530" s="5"/>
      <c r="P530" s="7"/>
      <c r="Q530" s="7"/>
      <c r="R530" s="7"/>
    </row>
    <row r="531" spans="1:18" x14ac:dyDescent="0.2">
      <c r="A531" s="5"/>
      <c r="B531" s="5"/>
      <c r="C531" s="5"/>
      <c r="D531" s="5"/>
      <c r="E531" s="5"/>
      <c r="F531" s="5"/>
      <c r="G531" s="6"/>
      <c r="H531" s="7"/>
      <c r="I531" s="7"/>
      <c r="J531" s="7"/>
      <c r="K531" s="7"/>
      <c r="L531" s="7"/>
      <c r="M531" s="7"/>
      <c r="N531" s="5"/>
      <c r="O531" s="5"/>
      <c r="P531" s="7"/>
      <c r="Q531" s="7"/>
      <c r="R531" s="7"/>
    </row>
    <row r="532" spans="1:18" x14ac:dyDescent="0.2">
      <c r="A532" s="5"/>
      <c r="B532" s="5"/>
      <c r="C532" s="5"/>
      <c r="D532" s="5"/>
      <c r="E532" s="5"/>
      <c r="F532" s="5"/>
      <c r="G532" s="6"/>
      <c r="H532" s="7"/>
      <c r="I532" s="7"/>
      <c r="J532" s="7"/>
      <c r="K532" s="7"/>
      <c r="L532" s="7"/>
      <c r="M532" s="7"/>
      <c r="N532" s="5"/>
      <c r="O532" s="5"/>
      <c r="P532" s="7"/>
      <c r="Q532" s="7"/>
      <c r="R532" s="7"/>
    </row>
    <row r="533" spans="1:18" x14ac:dyDescent="0.2">
      <c r="A533" s="5"/>
      <c r="B533" s="5"/>
      <c r="C533" s="5"/>
      <c r="D533" s="5"/>
      <c r="E533" s="5"/>
      <c r="F533" s="5"/>
      <c r="G533" s="6"/>
      <c r="H533" s="7"/>
      <c r="I533" s="7"/>
      <c r="J533" s="7"/>
      <c r="K533" s="7"/>
      <c r="L533" s="7"/>
      <c r="M533" s="7"/>
      <c r="N533" s="5"/>
      <c r="O533" s="5"/>
      <c r="P533" s="7"/>
      <c r="Q533" s="7"/>
      <c r="R533" s="7"/>
    </row>
    <row r="534" spans="1:18" x14ac:dyDescent="0.2">
      <c r="A534" s="5"/>
      <c r="B534" s="5"/>
      <c r="C534" s="5"/>
      <c r="D534" s="5"/>
      <c r="E534" s="5"/>
      <c r="F534" s="5"/>
      <c r="G534" s="6"/>
      <c r="H534" s="7"/>
      <c r="I534" s="7"/>
      <c r="J534" s="7"/>
      <c r="K534" s="7"/>
      <c r="L534" s="7"/>
      <c r="M534" s="7"/>
      <c r="N534" s="5"/>
      <c r="O534" s="5"/>
      <c r="P534" s="7"/>
      <c r="Q534" s="7"/>
      <c r="R534" s="7"/>
    </row>
    <row r="535" spans="1:18" x14ac:dyDescent="0.2">
      <c r="A535" s="5"/>
      <c r="B535" s="5"/>
      <c r="C535" s="5"/>
      <c r="D535" s="5"/>
      <c r="E535" s="5"/>
      <c r="F535" s="5"/>
      <c r="G535" s="6"/>
      <c r="H535" s="7"/>
      <c r="I535" s="7"/>
      <c r="J535" s="7"/>
      <c r="K535" s="7"/>
      <c r="L535" s="7"/>
      <c r="M535" s="7"/>
      <c r="N535" s="5"/>
      <c r="O535" s="5"/>
      <c r="P535" s="7"/>
      <c r="Q535" s="7"/>
      <c r="R535" s="7"/>
    </row>
    <row r="536" spans="1:18" x14ac:dyDescent="0.2">
      <c r="A536" s="5"/>
      <c r="B536" s="5"/>
      <c r="C536" s="5"/>
      <c r="D536" s="5"/>
      <c r="E536" s="5"/>
      <c r="F536" s="5"/>
      <c r="G536" s="6"/>
      <c r="H536" s="7"/>
      <c r="I536" s="7"/>
      <c r="J536" s="7"/>
      <c r="K536" s="7"/>
      <c r="L536" s="7"/>
      <c r="M536" s="7"/>
      <c r="N536" s="5"/>
      <c r="O536" s="5"/>
      <c r="P536" s="7"/>
      <c r="Q536" s="7"/>
      <c r="R536" s="7"/>
    </row>
    <row r="537" spans="1:18" x14ac:dyDescent="0.2">
      <c r="A537" s="5"/>
      <c r="B537" s="5"/>
      <c r="C537" s="5"/>
      <c r="D537" s="5"/>
      <c r="E537" s="5"/>
      <c r="F537" s="5"/>
      <c r="G537" s="6"/>
      <c r="H537" s="7"/>
      <c r="I537" s="7"/>
      <c r="J537" s="7"/>
      <c r="K537" s="7"/>
      <c r="L537" s="7"/>
      <c r="M537" s="7"/>
      <c r="N537" s="5"/>
      <c r="O537" s="5"/>
      <c r="P537" s="7"/>
      <c r="Q537" s="7"/>
      <c r="R537" s="7"/>
    </row>
    <row r="538" spans="1:18" x14ac:dyDescent="0.2">
      <c r="A538" s="5"/>
      <c r="B538" s="5"/>
      <c r="C538" s="5"/>
      <c r="D538" s="5"/>
      <c r="E538" s="5"/>
      <c r="F538" s="5"/>
      <c r="G538" s="6"/>
      <c r="H538" s="7"/>
      <c r="I538" s="7"/>
      <c r="J538" s="7"/>
      <c r="K538" s="7"/>
      <c r="L538" s="7"/>
      <c r="M538" s="7"/>
      <c r="N538" s="5"/>
      <c r="O538" s="5"/>
      <c r="P538" s="7"/>
      <c r="Q538" s="7"/>
      <c r="R538" s="7"/>
    </row>
    <row r="539" spans="1:18" x14ac:dyDescent="0.2">
      <c r="A539" s="5"/>
      <c r="B539" s="5"/>
      <c r="C539" s="5"/>
      <c r="D539" s="5"/>
      <c r="E539" s="5"/>
      <c r="F539" s="5"/>
      <c r="G539" s="6"/>
      <c r="H539" s="7"/>
      <c r="I539" s="7"/>
      <c r="J539" s="7"/>
      <c r="K539" s="7"/>
      <c r="L539" s="7"/>
      <c r="M539" s="7"/>
      <c r="N539" s="5"/>
      <c r="O539" s="5"/>
      <c r="P539" s="7"/>
      <c r="Q539" s="7"/>
      <c r="R539" s="7"/>
    </row>
    <row r="540" spans="1:18" x14ac:dyDescent="0.2">
      <c r="A540" s="5"/>
      <c r="B540" s="5"/>
      <c r="C540" s="5"/>
      <c r="D540" s="5"/>
      <c r="E540" s="5"/>
      <c r="F540" s="5"/>
      <c r="G540" s="6"/>
      <c r="H540" s="7"/>
      <c r="I540" s="7"/>
      <c r="J540" s="7"/>
      <c r="K540" s="7"/>
      <c r="L540" s="7"/>
      <c r="M540" s="7"/>
      <c r="N540" s="5"/>
      <c r="O540" s="5"/>
      <c r="P540" s="7"/>
      <c r="Q540" s="7"/>
      <c r="R540" s="7"/>
    </row>
    <row r="541" spans="1:18" x14ac:dyDescent="0.2">
      <c r="A541" s="5"/>
      <c r="B541" s="5"/>
      <c r="C541" s="5"/>
      <c r="D541" s="5"/>
      <c r="E541" s="5"/>
      <c r="F541" s="5"/>
      <c r="G541" s="6"/>
      <c r="H541" s="7"/>
      <c r="I541" s="7"/>
      <c r="J541" s="7"/>
      <c r="K541" s="7"/>
      <c r="L541" s="7"/>
      <c r="M541" s="7"/>
      <c r="N541" s="5"/>
      <c r="O541" s="5"/>
      <c r="P541" s="7"/>
      <c r="Q541" s="7"/>
      <c r="R541" s="7"/>
    </row>
    <row r="542" spans="1:18" x14ac:dyDescent="0.2">
      <c r="A542" s="5"/>
      <c r="B542" s="5"/>
      <c r="C542" s="5"/>
      <c r="D542" s="5"/>
      <c r="E542" s="5"/>
      <c r="F542" s="5"/>
      <c r="G542" s="6"/>
      <c r="H542" s="7"/>
      <c r="I542" s="7"/>
      <c r="J542" s="7"/>
      <c r="K542" s="7"/>
      <c r="L542" s="7"/>
      <c r="M542" s="7"/>
      <c r="N542" s="5"/>
      <c r="O542" s="5"/>
      <c r="P542" s="7"/>
      <c r="Q542" s="7"/>
      <c r="R542" s="7"/>
    </row>
    <row r="543" spans="1:18" x14ac:dyDescent="0.2">
      <c r="A543" s="5"/>
      <c r="B543" s="5"/>
      <c r="C543" s="5"/>
      <c r="D543" s="5"/>
      <c r="E543" s="5"/>
      <c r="F543" s="5"/>
      <c r="G543" s="6"/>
      <c r="H543" s="7"/>
      <c r="I543" s="7"/>
      <c r="J543" s="7"/>
      <c r="K543" s="7"/>
      <c r="L543" s="7"/>
      <c r="M543" s="7"/>
      <c r="N543" s="5"/>
      <c r="O543" s="5"/>
      <c r="P543" s="7"/>
      <c r="Q543" s="7"/>
      <c r="R543" s="7"/>
    </row>
    <row r="544" spans="1:18" x14ac:dyDescent="0.2">
      <c r="A544" s="5"/>
      <c r="B544" s="5"/>
      <c r="C544" s="5"/>
      <c r="D544" s="5"/>
      <c r="E544" s="5"/>
      <c r="F544" s="5"/>
      <c r="G544" s="6"/>
      <c r="H544" s="7"/>
      <c r="I544" s="7"/>
      <c r="J544" s="7"/>
      <c r="K544" s="7"/>
      <c r="L544" s="7"/>
      <c r="M544" s="7"/>
      <c r="N544" s="5"/>
      <c r="O544" s="5"/>
      <c r="P544" s="7"/>
      <c r="Q544" s="7"/>
      <c r="R544" s="7"/>
    </row>
    <row r="545" spans="1:18" x14ac:dyDescent="0.2">
      <c r="A545" s="5"/>
      <c r="B545" s="5"/>
      <c r="C545" s="5"/>
      <c r="D545" s="5"/>
      <c r="E545" s="5"/>
      <c r="F545" s="5"/>
      <c r="G545" s="6"/>
      <c r="H545" s="7"/>
      <c r="I545" s="7"/>
      <c r="J545" s="7"/>
      <c r="K545" s="7"/>
      <c r="L545" s="7"/>
      <c r="M545" s="7"/>
      <c r="N545" s="5"/>
      <c r="O545" s="5"/>
      <c r="P545" s="7"/>
      <c r="Q545" s="7"/>
      <c r="R545" s="7"/>
    </row>
    <row r="546" spans="1:18" x14ac:dyDescent="0.2">
      <c r="A546" s="5"/>
      <c r="B546" s="5"/>
      <c r="C546" s="5"/>
      <c r="D546" s="5"/>
      <c r="E546" s="5"/>
      <c r="F546" s="5"/>
      <c r="G546" s="6"/>
      <c r="H546" s="7"/>
      <c r="I546" s="7"/>
      <c r="J546" s="7"/>
      <c r="K546" s="7"/>
      <c r="L546" s="7"/>
      <c r="M546" s="7"/>
      <c r="N546" s="5"/>
      <c r="O546" s="5"/>
      <c r="P546" s="7"/>
      <c r="Q546" s="7"/>
      <c r="R546" s="7"/>
    </row>
    <row r="547" spans="1:18" x14ac:dyDescent="0.2">
      <c r="A547" s="5"/>
      <c r="B547" s="5"/>
      <c r="C547" s="5"/>
      <c r="D547" s="5"/>
      <c r="E547" s="5"/>
      <c r="F547" s="5"/>
      <c r="G547" s="6"/>
      <c r="H547" s="7"/>
      <c r="I547" s="7"/>
      <c r="J547" s="7"/>
      <c r="K547" s="7"/>
      <c r="L547" s="7"/>
      <c r="M547" s="7"/>
      <c r="N547" s="5"/>
      <c r="O547" s="5"/>
      <c r="P547" s="7"/>
      <c r="Q547" s="7"/>
      <c r="R547" s="7"/>
    </row>
    <row r="548" spans="1:18" x14ac:dyDescent="0.2">
      <c r="A548" s="5"/>
      <c r="B548" s="5"/>
      <c r="C548" s="5"/>
      <c r="D548" s="5"/>
      <c r="E548" s="5"/>
      <c r="F548" s="5"/>
      <c r="G548" s="6"/>
      <c r="H548" s="7"/>
      <c r="I548" s="7"/>
      <c r="J548" s="7"/>
      <c r="K548" s="7"/>
      <c r="L548" s="7"/>
      <c r="M548" s="7"/>
      <c r="N548" s="5"/>
      <c r="O548" s="5"/>
      <c r="P548" s="7"/>
      <c r="Q548" s="7"/>
      <c r="R548" s="7"/>
    </row>
    <row r="549" spans="1:18" x14ac:dyDescent="0.2">
      <c r="A549" s="5"/>
      <c r="B549" s="5"/>
      <c r="C549" s="5"/>
      <c r="D549" s="5"/>
      <c r="E549" s="5"/>
      <c r="F549" s="5"/>
      <c r="G549" s="6"/>
      <c r="H549" s="7"/>
      <c r="I549" s="7"/>
      <c r="J549" s="7"/>
      <c r="K549" s="7"/>
      <c r="L549" s="7"/>
      <c r="M549" s="7"/>
      <c r="N549" s="5"/>
      <c r="O549" s="5"/>
      <c r="P549" s="7"/>
      <c r="Q549" s="7"/>
      <c r="R549" s="7"/>
    </row>
    <row r="550" spans="1:18" x14ac:dyDescent="0.2">
      <c r="A550" s="5"/>
      <c r="B550" s="5"/>
      <c r="C550" s="5"/>
      <c r="D550" s="5"/>
      <c r="E550" s="5"/>
      <c r="F550" s="5"/>
      <c r="G550" s="6"/>
      <c r="H550" s="7"/>
      <c r="I550" s="7"/>
      <c r="J550" s="7"/>
      <c r="K550" s="7"/>
      <c r="L550" s="7"/>
      <c r="M550" s="7"/>
      <c r="N550" s="5"/>
      <c r="O550" s="5"/>
      <c r="P550" s="7"/>
      <c r="Q550" s="7"/>
      <c r="R550" s="7"/>
    </row>
    <row r="551" spans="1:18" x14ac:dyDescent="0.2">
      <c r="A551" s="5"/>
      <c r="B551" s="5"/>
      <c r="C551" s="5"/>
      <c r="D551" s="5"/>
      <c r="E551" s="5"/>
      <c r="F551" s="5"/>
      <c r="G551" s="6"/>
      <c r="H551" s="7"/>
      <c r="I551" s="7"/>
      <c r="J551" s="7"/>
      <c r="K551" s="7"/>
      <c r="L551" s="7"/>
      <c r="M551" s="7"/>
      <c r="N551" s="5"/>
      <c r="O551" s="5"/>
      <c r="P551" s="7"/>
      <c r="Q551" s="7"/>
      <c r="R551" s="7"/>
    </row>
    <row r="552" spans="1:18" x14ac:dyDescent="0.2">
      <c r="A552" s="5"/>
      <c r="B552" s="5"/>
      <c r="C552" s="5"/>
      <c r="D552" s="5"/>
      <c r="E552" s="5"/>
      <c r="F552" s="5"/>
      <c r="G552" s="6"/>
      <c r="H552" s="7"/>
      <c r="I552" s="7"/>
      <c r="J552" s="7"/>
      <c r="K552" s="7"/>
      <c r="L552" s="7"/>
      <c r="M552" s="7"/>
      <c r="N552" s="5"/>
      <c r="O552" s="5"/>
      <c r="P552" s="7"/>
      <c r="Q552" s="7"/>
      <c r="R552" s="7"/>
    </row>
    <row r="553" spans="1:18" x14ac:dyDescent="0.2">
      <c r="A553" s="5"/>
      <c r="B553" s="5"/>
      <c r="C553" s="5"/>
      <c r="D553" s="5"/>
      <c r="E553" s="5"/>
      <c r="F553" s="5"/>
      <c r="G553" s="6"/>
      <c r="H553" s="7"/>
      <c r="I553" s="7"/>
      <c r="J553" s="7"/>
      <c r="K553" s="7"/>
      <c r="L553" s="7"/>
      <c r="M553" s="7"/>
      <c r="N553" s="5"/>
      <c r="O553" s="5"/>
      <c r="P553" s="7"/>
      <c r="Q553" s="7"/>
      <c r="R553" s="7"/>
    </row>
    <row r="554" spans="1:18" x14ac:dyDescent="0.2">
      <c r="A554" s="5"/>
      <c r="B554" s="5"/>
      <c r="C554" s="5"/>
      <c r="D554" s="5"/>
      <c r="E554" s="5"/>
      <c r="F554" s="5"/>
      <c r="G554" s="6"/>
      <c r="H554" s="7"/>
      <c r="I554" s="7"/>
      <c r="J554" s="7"/>
      <c r="K554" s="7"/>
      <c r="L554" s="7"/>
      <c r="M554" s="7"/>
      <c r="N554" s="5"/>
      <c r="O554" s="5"/>
      <c r="P554" s="7"/>
      <c r="Q554" s="7"/>
      <c r="R554" s="7"/>
    </row>
    <row r="555" spans="1:18" x14ac:dyDescent="0.2">
      <c r="A555" s="5"/>
      <c r="B555" s="5"/>
      <c r="C555" s="5"/>
      <c r="D555" s="5"/>
      <c r="E555" s="5"/>
      <c r="F555" s="5"/>
      <c r="G555" s="6"/>
      <c r="H555" s="7"/>
      <c r="I555" s="7"/>
      <c r="J555" s="7"/>
      <c r="K555" s="7"/>
      <c r="L555" s="7"/>
      <c r="M555" s="7"/>
      <c r="N555" s="5"/>
      <c r="O555" s="5"/>
      <c r="P555" s="7"/>
      <c r="Q555" s="7"/>
      <c r="R555" s="7"/>
    </row>
    <row r="556" spans="1:18" x14ac:dyDescent="0.2">
      <c r="A556" s="5"/>
      <c r="B556" s="5"/>
      <c r="C556" s="5"/>
      <c r="D556" s="5"/>
      <c r="E556" s="5"/>
      <c r="F556" s="5"/>
      <c r="G556" s="6"/>
      <c r="H556" s="7"/>
      <c r="I556" s="7"/>
      <c r="J556" s="7"/>
      <c r="K556" s="7"/>
      <c r="L556" s="7"/>
      <c r="M556" s="7"/>
      <c r="N556" s="5"/>
      <c r="O556" s="5"/>
      <c r="P556" s="7"/>
      <c r="Q556" s="7"/>
      <c r="R556" s="7"/>
    </row>
    <row r="557" spans="1:18" x14ac:dyDescent="0.2">
      <c r="A557" s="5"/>
      <c r="B557" s="5"/>
      <c r="C557" s="5"/>
      <c r="D557" s="5"/>
      <c r="E557" s="5"/>
      <c r="F557" s="5"/>
      <c r="G557" s="6"/>
      <c r="H557" s="7"/>
      <c r="I557" s="7"/>
      <c r="J557" s="7"/>
      <c r="K557" s="7"/>
      <c r="L557" s="7"/>
      <c r="M557" s="7"/>
      <c r="N557" s="5"/>
      <c r="O557" s="5"/>
      <c r="P557" s="7"/>
      <c r="Q557" s="7"/>
      <c r="R557" s="7"/>
    </row>
    <row r="558" spans="1:18" x14ac:dyDescent="0.2">
      <c r="A558" s="5"/>
      <c r="B558" s="5"/>
      <c r="C558" s="5"/>
      <c r="D558" s="5"/>
      <c r="E558" s="5"/>
      <c r="F558" s="5"/>
      <c r="G558" s="6"/>
      <c r="H558" s="7"/>
      <c r="I558" s="7"/>
      <c r="J558" s="7"/>
      <c r="K558" s="7"/>
      <c r="L558" s="7"/>
      <c r="M558" s="7"/>
      <c r="N558" s="5"/>
      <c r="O558" s="5"/>
      <c r="P558" s="7"/>
      <c r="Q558" s="7"/>
      <c r="R558" s="7"/>
    </row>
    <row r="559" spans="1:18" x14ac:dyDescent="0.2">
      <c r="A559" s="5"/>
      <c r="B559" s="5"/>
      <c r="C559" s="5"/>
      <c r="D559" s="5"/>
      <c r="E559" s="5"/>
      <c r="F559" s="5"/>
      <c r="G559" s="6"/>
      <c r="H559" s="7"/>
      <c r="I559" s="7"/>
      <c r="J559" s="7"/>
      <c r="K559" s="7"/>
      <c r="L559" s="7"/>
      <c r="M559" s="7"/>
      <c r="N559" s="5"/>
      <c r="O559" s="5"/>
      <c r="P559" s="7"/>
      <c r="Q559" s="7"/>
      <c r="R559" s="7"/>
    </row>
    <row r="560" spans="1:18" x14ac:dyDescent="0.2">
      <c r="A560" s="5"/>
      <c r="B560" s="5"/>
      <c r="C560" s="5"/>
      <c r="D560" s="5"/>
      <c r="E560" s="5"/>
      <c r="F560" s="5"/>
      <c r="G560" s="6"/>
      <c r="H560" s="7"/>
      <c r="I560" s="7"/>
      <c r="J560" s="7"/>
      <c r="K560" s="7"/>
      <c r="L560" s="7"/>
      <c r="M560" s="7"/>
      <c r="N560" s="5"/>
      <c r="O560" s="5"/>
      <c r="P560" s="7"/>
      <c r="Q560" s="7"/>
      <c r="R560" s="7"/>
    </row>
    <row r="561" spans="1:18" x14ac:dyDescent="0.2">
      <c r="A561" s="5"/>
      <c r="B561" s="5"/>
      <c r="C561" s="5"/>
      <c r="D561" s="5"/>
      <c r="E561" s="5"/>
      <c r="F561" s="5"/>
      <c r="G561" s="6"/>
      <c r="H561" s="7"/>
      <c r="I561" s="7"/>
      <c r="J561" s="7"/>
      <c r="K561" s="7"/>
      <c r="L561" s="7"/>
      <c r="M561" s="7"/>
      <c r="N561" s="5"/>
      <c r="O561" s="5"/>
      <c r="P561" s="7"/>
      <c r="Q561" s="7"/>
      <c r="R561" s="7"/>
    </row>
    <row r="562" spans="1:18" x14ac:dyDescent="0.2">
      <c r="A562" s="5"/>
      <c r="B562" s="5"/>
      <c r="C562" s="5"/>
      <c r="D562" s="5"/>
      <c r="E562" s="5"/>
      <c r="F562" s="5"/>
      <c r="G562" s="6"/>
      <c r="H562" s="7"/>
      <c r="I562" s="7"/>
      <c r="J562" s="7"/>
      <c r="K562" s="7"/>
      <c r="L562" s="7"/>
      <c r="M562" s="7"/>
      <c r="N562" s="5"/>
      <c r="O562" s="5"/>
      <c r="P562" s="7"/>
      <c r="Q562" s="7"/>
      <c r="R562" s="7"/>
    </row>
    <row r="563" spans="1:18" x14ac:dyDescent="0.2">
      <c r="A563" s="5"/>
      <c r="B563" s="5"/>
      <c r="C563" s="5"/>
      <c r="D563" s="5"/>
      <c r="E563" s="5"/>
      <c r="F563" s="5"/>
      <c r="G563" s="6"/>
      <c r="H563" s="7"/>
      <c r="I563" s="7"/>
      <c r="J563" s="7"/>
      <c r="K563" s="7"/>
      <c r="L563" s="7"/>
      <c r="M563" s="7"/>
      <c r="N563" s="5"/>
      <c r="O563" s="5"/>
      <c r="P563" s="7"/>
      <c r="Q563" s="7"/>
      <c r="R563" s="7"/>
    </row>
    <row r="564" spans="1:18" x14ac:dyDescent="0.2">
      <c r="A564" s="5"/>
      <c r="B564" s="5"/>
      <c r="C564" s="5"/>
      <c r="D564" s="5"/>
      <c r="E564" s="5"/>
      <c r="F564" s="5"/>
      <c r="G564" s="6"/>
      <c r="H564" s="7"/>
      <c r="I564" s="7"/>
      <c r="J564" s="7"/>
      <c r="K564" s="7"/>
      <c r="L564" s="7"/>
      <c r="M564" s="7"/>
      <c r="N564" s="5"/>
      <c r="O564" s="5"/>
      <c r="P564" s="7"/>
      <c r="Q564" s="7"/>
      <c r="R564" s="7"/>
    </row>
    <row r="565" spans="1:18" x14ac:dyDescent="0.2">
      <c r="A565" s="5"/>
      <c r="B565" s="5"/>
      <c r="C565" s="5"/>
      <c r="D565" s="5"/>
      <c r="E565" s="5"/>
      <c r="F565" s="5"/>
      <c r="G565" s="6"/>
      <c r="H565" s="7"/>
      <c r="I565" s="7"/>
      <c r="J565" s="7"/>
      <c r="K565" s="7"/>
      <c r="L565" s="7"/>
      <c r="M565" s="7"/>
      <c r="N565" s="5"/>
      <c r="O565" s="5"/>
      <c r="P565" s="7"/>
      <c r="Q565" s="7"/>
      <c r="R565" s="7"/>
    </row>
    <row r="566" spans="1:18" x14ac:dyDescent="0.2">
      <c r="A566" s="5"/>
      <c r="B566" s="5"/>
      <c r="C566" s="5"/>
      <c r="D566" s="5"/>
      <c r="E566" s="5"/>
      <c r="F566" s="5"/>
      <c r="G566" s="6"/>
      <c r="H566" s="7"/>
      <c r="I566" s="7"/>
      <c r="J566" s="7"/>
      <c r="K566" s="7"/>
      <c r="L566" s="7"/>
      <c r="M566" s="7"/>
      <c r="N566" s="5"/>
      <c r="O566" s="5"/>
      <c r="P566" s="7"/>
      <c r="Q566" s="7"/>
      <c r="R566" s="7"/>
    </row>
    <row r="567" spans="1:18" x14ac:dyDescent="0.2">
      <c r="A567" s="5"/>
      <c r="B567" s="5"/>
      <c r="C567" s="5"/>
      <c r="D567" s="5"/>
      <c r="E567" s="5"/>
      <c r="F567" s="5"/>
      <c r="G567" s="6"/>
      <c r="H567" s="7"/>
      <c r="I567" s="7"/>
      <c r="J567" s="7"/>
      <c r="K567" s="7"/>
      <c r="L567" s="7"/>
      <c r="M567" s="7"/>
      <c r="N567" s="5"/>
      <c r="O567" s="5"/>
      <c r="P567" s="7"/>
      <c r="Q567" s="7"/>
      <c r="R567" s="7"/>
    </row>
    <row r="568" spans="1:18" x14ac:dyDescent="0.2">
      <c r="A568" s="5"/>
      <c r="B568" s="5"/>
      <c r="C568" s="5"/>
      <c r="D568" s="5"/>
      <c r="E568" s="5"/>
      <c r="F568" s="5"/>
      <c r="G568" s="6"/>
      <c r="H568" s="7"/>
      <c r="I568" s="7"/>
      <c r="J568" s="7"/>
      <c r="K568" s="7"/>
      <c r="L568" s="7"/>
      <c r="M568" s="7"/>
      <c r="N568" s="5"/>
      <c r="O568" s="5"/>
      <c r="P568" s="7"/>
      <c r="Q568" s="7"/>
      <c r="R568" s="7"/>
    </row>
    <row r="569" spans="1:18" x14ac:dyDescent="0.2">
      <c r="A569" s="5"/>
      <c r="B569" s="5"/>
      <c r="C569" s="5"/>
      <c r="D569" s="5"/>
      <c r="E569" s="5"/>
      <c r="F569" s="5"/>
      <c r="G569" s="6"/>
      <c r="H569" s="7"/>
      <c r="I569" s="7"/>
      <c r="J569" s="7"/>
      <c r="K569" s="7"/>
      <c r="L569" s="7"/>
      <c r="M569" s="7"/>
      <c r="N569" s="5"/>
      <c r="O569" s="5"/>
      <c r="P569" s="7"/>
      <c r="Q569" s="7"/>
      <c r="R569" s="7"/>
    </row>
    <row r="570" spans="1:18" x14ac:dyDescent="0.2">
      <c r="A570" s="5"/>
      <c r="B570" s="5"/>
      <c r="C570" s="5"/>
      <c r="D570" s="5"/>
      <c r="E570" s="5"/>
      <c r="F570" s="5"/>
      <c r="G570" s="6"/>
      <c r="H570" s="7"/>
      <c r="I570" s="7"/>
      <c r="J570" s="7"/>
      <c r="K570" s="7"/>
      <c r="L570" s="7"/>
      <c r="M570" s="7"/>
      <c r="N570" s="5"/>
      <c r="O570" s="5"/>
      <c r="P570" s="7"/>
      <c r="Q570" s="7"/>
      <c r="R570" s="7"/>
    </row>
    <row r="571" spans="1:18" x14ac:dyDescent="0.2">
      <c r="A571" s="5"/>
      <c r="B571" s="5"/>
      <c r="C571" s="5"/>
      <c r="D571" s="5"/>
      <c r="E571" s="5"/>
      <c r="F571" s="5"/>
      <c r="G571" s="6"/>
      <c r="H571" s="7"/>
      <c r="I571" s="7"/>
      <c r="J571" s="7"/>
      <c r="K571" s="7"/>
      <c r="L571" s="7"/>
      <c r="M571" s="7"/>
      <c r="N571" s="5"/>
      <c r="O571" s="5"/>
      <c r="P571" s="7"/>
      <c r="Q571" s="7"/>
      <c r="R571" s="7"/>
    </row>
    <row r="572" spans="1:18" x14ac:dyDescent="0.2">
      <c r="A572" s="5"/>
      <c r="B572" s="5"/>
      <c r="C572" s="5"/>
      <c r="D572" s="5"/>
      <c r="E572" s="5"/>
      <c r="F572" s="5"/>
      <c r="G572" s="6"/>
      <c r="H572" s="7"/>
      <c r="I572" s="7"/>
      <c r="J572" s="7"/>
      <c r="K572" s="7"/>
      <c r="L572" s="7"/>
      <c r="M572" s="7"/>
      <c r="N572" s="5"/>
      <c r="O572" s="5"/>
      <c r="P572" s="7"/>
      <c r="Q572" s="7"/>
      <c r="R572" s="7"/>
    </row>
    <row r="573" spans="1:18" x14ac:dyDescent="0.2">
      <c r="A573" s="5"/>
      <c r="B573" s="5"/>
      <c r="C573" s="5"/>
      <c r="D573" s="5"/>
      <c r="E573" s="5"/>
      <c r="F573" s="5"/>
      <c r="G573" s="6"/>
      <c r="H573" s="7"/>
      <c r="I573" s="7"/>
      <c r="J573" s="7"/>
      <c r="K573" s="7"/>
      <c r="L573" s="7"/>
      <c r="M573" s="7"/>
      <c r="N573" s="5"/>
      <c r="O573" s="5"/>
      <c r="P573" s="7"/>
      <c r="Q573" s="7"/>
      <c r="R573" s="7"/>
    </row>
    <row r="574" spans="1:18" x14ac:dyDescent="0.2">
      <c r="A574" s="5"/>
      <c r="B574" s="5"/>
      <c r="C574" s="5"/>
      <c r="D574" s="5"/>
      <c r="E574" s="5"/>
      <c r="F574" s="5"/>
      <c r="G574" s="6"/>
      <c r="H574" s="7"/>
      <c r="I574" s="7"/>
      <c r="J574" s="7"/>
      <c r="K574" s="7"/>
      <c r="L574" s="7"/>
      <c r="M574" s="7"/>
      <c r="N574" s="5"/>
      <c r="O574" s="5"/>
      <c r="P574" s="7"/>
      <c r="Q574" s="7"/>
      <c r="R574" s="7"/>
    </row>
    <row r="575" spans="1:18" x14ac:dyDescent="0.2">
      <c r="A575" s="5"/>
      <c r="B575" s="5"/>
      <c r="C575" s="5"/>
      <c r="D575" s="5"/>
      <c r="E575" s="5"/>
      <c r="F575" s="5"/>
      <c r="G575" s="6"/>
      <c r="H575" s="7"/>
      <c r="I575" s="7"/>
      <c r="J575" s="7"/>
      <c r="K575" s="7"/>
      <c r="L575" s="7"/>
      <c r="M575" s="7"/>
      <c r="N575" s="5"/>
      <c r="O575" s="5"/>
      <c r="P575" s="7"/>
      <c r="Q575" s="7"/>
      <c r="R575" s="7"/>
    </row>
    <row r="576" spans="1:18" x14ac:dyDescent="0.2">
      <c r="A576" s="5"/>
      <c r="B576" s="5"/>
      <c r="C576" s="5"/>
      <c r="D576" s="5"/>
      <c r="E576" s="5"/>
      <c r="F576" s="5"/>
      <c r="G576" s="6"/>
      <c r="H576" s="7"/>
      <c r="I576" s="7"/>
      <c r="J576" s="7"/>
      <c r="K576" s="7"/>
      <c r="L576" s="7"/>
      <c r="M576" s="7"/>
      <c r="N576" s="5"/>
      <c r="O576" s="5"/>
      <c r="P576" s="7"/>
      <c r="Q576" s="7"/>
      <c r="R576" s="7"/>
    </row>
    <row r="577" spans="1:18" x14ac:dyDescent="0.2">
      <c r="A577" s="5"/>
      <c r="B577" s="5"/>
      <c r="C577" s="5"/>
      <c r="D577" s="5"/>
      <c r="E577" s="5"/>
      <c r="F577" s="5"/>
      <c r="G577" s="6"/>
      <c r="H577" s="7"/>
      <c r="I577" s="7"/>
      <c r="J577" s="7"/>
      <c r="K577" s="7"/>
      <c r="L577" s="7"/>
      <c r="M577" s="7"/>
      <c r="N577" s="5"/>
      <c r="O577" s="5"/>
      <c r="P577" s="7"/>
      <c r="Q577" s="7"/>
      <c r="R577" s="7"/>
    </row>
    <row r="578" spans="1:18" x14ac:dyDescent="0.2">
      <c r="A578" s="5"/>
      <c r="B578" s="5"/>
      <c r="C578" s="5"/>
      <c r="D578" s="5"/>
      <c r="E578" s="5"/>
      <c r="F578" s="5"/>
      <c r="G578" s="6"/>
      <c r="H578" s="7"/>
      <c r="I578" s="7"/>
      <c r="J578" s="7"/>
      <c r="K578" s="7"/>
      <c r="L578" s="7"/>
      <c r="M578" s="7"/>
      <c r="N578" s="5"/>
      <c r="O578" s="5"/>
      <c r="P578" s="7"/>
      <c r="Q578" s="7"/>
      <c r="R578" s="7"/>
    </row>
    <row r="579" spans="1:18" x14ac:dyDescent="0.2">
      <c r="A579" s="5"/>
      <c r="B579" s="5"/>
      <c r="C579" s="5"/>
      <c r="D579" s="5"/>
      <c r="E579" s="5"/>
      <c r="F579" s="5"/>
      <c r="G579" s="6"/>
      <c r="H579" s="7"/>
      <c r="I579" s="7"/>
      <c r="J579" s="7"/>
      <c r="K579" s="7"/>
      <c r="L579" s="7"/>
      <c r="M579" s="7"/>
      <c r="N579" s="5"/>
      <c r="O579" s="5"/>
      <c r="P579" s="7"/>
      <c r="Q579" s="7"/>
      <c r="R579" s="7"/>
    </row>
    <row r="580" spans="1:18" x14ac:dyDescent="0.2">
      <c r="A580" s="5"/>
      <c r="B580" s="5"/>
      <c r="C580" s="5"/>
      <c r="D580" s="5"/>
      <c r="E580" s="5"/>
      <c r="F580" s="5"/>
      <c r="G580" s="6"/>
      <c r="H580" s="7"/>
      <c r="I580" s="7"/>
      <c r="J580" s="7"/>
      <c r="K580" s="7"/>
      <c r="L580" s="7"/>
      <c r="M580" s="7"/>
      <c r="N580" s="5"/>
      <c r="O580" s="5"/>
      <c r="P580" s="7"/>
      <c r="Q580" s="7"/>
      <c r="R580" s="7"/>
    </row>
    <row r="581" spans="1:18" x14ac:dyDescent="0.2">
      <c r="A581" s="5"/>
      <c r="B581" s="5"/>
      <c r="C581" s="5"/>
      <c r="D581" s="5"/>
      <c r="E581" s="5"/>
      <c r="F581" s="5"/>
      <c r="G581" s="6"/>
      <c r="H581" s="7"/>
      <c r="I581" s="7"/>
      <c r="J581" s="7"/>
      <c r="K581" s="7"/>
      <c r="L581" s="7"/>
      <c r="M581" s="7"/>
      <c r="N581" s="5"/>
      <c r="O581" s="5"/>
      <c r="P581" s="7"/>
      <c r="Q581" s="7"/>
      <c r="R581" s="7"/>
    </row>
    <row r="582" spans="1:18" x14ac:dyDescent="0.2">
      <c r="A582" s="5"/>
      <c r="B582" s="5"/>
      <c r="C582" s="5"/>
      <c r="D582" s="5"/>
      <c r="E582" s="5"/>
      <c r="F582" s="5"/>
      <c r="G582" s="6"/>
      <c r="H582" s="7"/>
      <c r="I582" s="7"/>
      <c r="J582" s="7"/>
      <c r="K582" s="7"/>
      <c r="L582" s="7"/>
      <c r="M582" s="7"/>
      <c r="N582" s="5"/>
      <c r="O582" s="5"/>
      <c r="P582" s="7"/>
      <c r="Q582" s="7"/>
      <c r="R582" s="7"/>
    </row>
    <row r="583" spans="1:18" x14ac:dyDescent="0.2">
      <c r="A583" s="5"/>
      <c r="B583" s="5"/>
      <c r="C583" s="5"/>
      <c r="D583" s="5"/>
      <c r="E583" s="5"/>
      <c r="F583" s="5"/>
      <c r="G583" s="6"/>
      <c r="H583" s="7"/>
      <c r="I583" s="7"/>
      <c r="J583" s="7"/>
      <c r="K583" s="7"/>
      <c r="L583" s="7"/>
      <c r="M583" s="7"/>
      <c r="N583" s="5"/>
      <c r="O583" s="5"/>
      <c r="P583" s="7"/>
      <c r="Q583" s="7"/>
      <c r="R583" s="7"/>
    </row>
    <row r="584" spans="1:18" x14ac:dyDescent="0.2">
      <c r="A584" s="5"/>
      <c r="B584" s="5"/>
      <c r="C584" s="5"/>
      <c r="D584" s="5"/>
      <c r="E584" s="5"/>
      <c r="F584" s="5"/>
      <c r="G584" s="6"/>
      <c r="H584" s="7"/>
      <c r="I584" s="7"/>
      <c r="J584" s="7"/>
      <c r="K584" s="7"/>
      <c r="L584" s="7"/>
      <c r="M584" s="7"/>
      <c r="N584" s="5"/>
      <c r="O584" s="5"/>
      <c r="P584" s="7"/>
      <c r="Q584" s="7"/>
      <c r="R584" s="7"/>
    </row>
    <row r="585" spans="1:18" x14ac:dyDescent="0.2">
      <c r="A585" s="5"/>
      <c r="B585" s="5"/>
      <c r="C585" s="5"/>
      <c r="D585" s="5"/>
      <c r="E585" s="5"/>
      <c r="F585" s="5"/>
      <c r="G585" s="6"/>
      <c r="H585" s="7"/>
      <c r="I585" s="7"/>
      <c r="J585" s="7"/>
      <c r="K585" s="7"/>
      <c r="L585" s="7"/>
      <c r="M585" s="7"/>
      <c r="N585" s="5"/>
      <c r="O585" s="5"/>
      <c r="P585" s="7"/>
      <c r="Q585" s="7"/>
      <c r="R585" s="7"/>
    </row>
    <row r="586" spans="1:18" x14ac:dyDescent="0.2">
      <c r="A586" s="5"/>
      <c r="B586" s="5"/>
      <c r="C586" s="5"/>
      <c r="D586" s="5"/>
      <c r="E586" s="5"/>
      <c r="F586" s="5"/>
      <c r="G586" s="6"/>
      <c r="H586" s="7"/>
      <c r="I586" s="7"/>
      <c r="J586" s="7"/>
      <c r="K586" s="7"/>
      <c r="L586" s="7"/>
      <c r="M586" s="7"/>
      <c r="N586" s="5"/>
      <c r="O586" s="5"/>
      <c r="P586" s="7"/>
      <c r="Q586" s="7"/>
      <c r="R586" s="7"/>
    </row>
    <row r="587" spans="1:18" x14ac:dyDescent="0.2">
      <c r="A587" s="5"/>
      <c r="B587" s="5"/>
      <c r="C587" s="5"/>
      <c r="D587" s="5"/>
      <c r="E587" s="5"/>
      <c r="F587" s="5"/>
      <c r="G587" s="6"/>
      <c r="H587" s="7"/>
      <c r="I587" s="7"/>
      <c r="J587" s="7"/>
      <c r="K587" s="7"/>
      <c r="L587" s="7"/>
      <c r="M587" s="7"/>
      <c r="N587" s="5"/>
      <c r="O587" s="5"/>
      <c r="P587" s="7"/>
      <c r="Q587" s="7"/>
      <c r="R587" s="7"/>
    </row>
    <row r="588" spans="1:18" x14ac:dyDescent="0.2">
      <c r="A588" s="5"/>
      <c r="B588" s="5"/>
      <c r="C588" s="5"/>
      <c r="D588" s="5"/>
      <c r="E588" s="5"/>
      <c r="F588" s="5"/>
      <c r="G588" s="6"/>
      <c r="H588" s="7"/>
      <c r="I588" s="7"/>
      <c r="J588" s="7"/>
      <c r="K588" s="7"/>
      <c r="L588" s="7"/>
      <c r="M588" s="7"/>
      <c r="N588" s="5"/>
      <c r="O588" s="5"/>
      <c r="P588" s="7"/>
      <c r="Q588" s="7"/>
      <c r="R588" s="7"/>
    </row>
    <row r="589" spans="1:18" x14ac:dyDescent="0.2">
      <c r="A589" s="5"/>
      <c r="B589" s="5"/>
      <c r="C589" s="5"/>
      <c r="D589" s="5"/>
      <c r="E589" s="5"/>
      <c r="F589" s="5"/>
      <c r="G589" s="6"/>
      <c r="H589" s="7"/>
      <c r="I589" s="7"/>
      <c r="J589" s="7"/>
      <c r="K589" s="7"/>
      <c r="L589" s="7"/>
      <c r="M589" s="7"/>
      <c r="N589" s="5"/>
      <c r="O589" s="5"/>
      <c r="P589" s="7"/>
      <c r="Q589" s="7"/>
      <c r="R589" s="7"/>
    </row>
    <row r="590" spans="1:18" x14ac:dyDescent="0.2">
      <c r="A590" s="5"/>
      <c r="B590" s="5"/>
      <c r="C590" s="5"/>
      <c r="D590" s="5"/>
      <c r="E590" s="5"/>
      <c r="F590" s="5"/>
      <c r="G590" s="6"/>
      <c r="H590" s="7"/>
      <c r="I590" s="7"/>
      <c r="J590" s="7"/>
      <c r="K590" s="7"/>
      <c r="L590" s="7"/>
      <c r="M590" s="7"/>
      <c r="N590" s="5"/>
      <c r="O590" s="5"/>
      <c r="P590" s="7"/>
      <c r="Q590" s="7"/>
      <c r="R590" s="7"/>
    </row>
    <row r="591" spans="1:18" x14ac:dyDescent="0.2">
      <c r="A591" s="5"/>
      <c r="B591" s="5"/>
      <c r="C591" s="5"/>
      <c r="D591" s="5"/>
      <c r="E591" s="5"/>
      <c r="F591" s="5"/>
      <c r="G591" s="6"/>
      <c r="H591" s="7"/>
      <c r="I591" s="7"/>
      <c r="J591" s="7"/>
      <c r="K591" s="7"/>
      <c r="L591" s="7"/>
      <c r="M591" s="7"/>
      <c r="N591" s="5"/>
      <c r="O591" s="5"/>
      <c r="P591" s="7"/>
      <c r="Q591" s="7"/>
      <c r="R591" s="7"/>
    </row>
    <row r="592" spans="1:18" x14ac:dyDescent="0.2">
      <c r="A592" s="5"/>
      <c r="B592" s="5"/>
      <c r="C592" s="5"/>
      <c r="D592" s="5"/>
      <c r="E592" s="5"/>
      <c r="F592" s="5"/>
      <c r="G592" s="6"/>
      <c r="H592" s="7"/>
      <c r="I592" s="7"/>
      <c r="J592" s="7"/>
      <c r="K592" s="7"/>
      <c r="L592" s="7"/>
      <c r="M592" s="7"/>
      <c r="N592" s="5"/>
      <c r="O592" s="5"/>
      <c r="P592" s="7"/>
      <c r="Q592" s="7"/>
      <c r="R592" s="7"/>
    </row>
    <row r="593" spans="1:18" x14ac:dyDescent="0.2">
      <c r="A593" s="5"/>
      <c r="B593" s="5"/>
      <c r="C593" s="5"/>
      <c r="D593" s="5"/>
      <c r="E593" s="5"/>
      <c r="F593" s="5"/>
      <c r="G593" s="6"/>
      <c r="H593" s="7"/>
      <c r="I593" s="7"/>
      <c r="J593" s="7"/>
      <c r="K593" s="7"/>
      <c r="L593" s="7"/>
      <c r="M593" s="7"/>
      <c r="N593" s="5"/>
      <c r="O593" s="5"/>
      <c r="P593" s="7"/>
      <c r="Q593" s="7"/>
      <c r="R593" s="7"/>
    </row>
    <row r="594" spans="1:18" x14ac:dyDescent="0.2">
      <c r="A594" s="5"/>
      <c r="B594" s="5"/>
      <c r="C594" s="5"/>
      <c r="D594" s="5"/>
      <c r="E594" s="5"/>
      <c r="F594" s="5"/>
      <c r="G594" s="6"/>
      <c r="H594" s="7"/>
      <c r="I594" s="7"/>
      <c r="J594" s="7"/>
      <c r="K594" s="7"/>
      <c r="L594" s="7"/>
      <c r="M594" s="7"/>
      <c r="N594" s="5"/>
      <c r="O594" s="5"/>
      <c r="P594" s="7"/>
      <c r="Q594" s="7"/>
      <c r="R594" s="7"/>
    </row>
    <row r="595" spans="1:18" x14ac:dyDescent="0.2">
      <c r="A595" s="5"/>
      <c r="B595" s="5"/>
      <c r="C595" s="5"/>
      <c r="D595" s="5"/>
      <c r="E595" s="5"/>
      <c r="F595" s="5"/>
      <c r="G595" s="6"/>
      <c r="H595" s="7"/>
      <c r="I595" s="7"/>
      <c r="J595" s="7"/>
      <c r="K595" s="7"/>
      <c r="L595" s="7"/>
      <c r="M595" s="7"/>
      <c r="N595" s="5"/>
      <c r="O595" s="5"/>
      <c r="P595" s="7"/>
      <c r="Q595" s="7"/>
      <c r="R595" s="7"/>
    </row>
    <row r="596" spans="1:18" x14ac:dyDescent="0.2">
      <c r="A596" s="5"/>
      <c r="B596" s="5"/>
      <c r="C596" s="5"/>
      <c r="D596" s="5"/>
      <c r="E596" s="5"/>
      <c r="F596" s="5"/>
      <c r="G596" s="6"/>
      <c r="H596" s="7"/>
      <c r="I596" s="7"/>
      <c r="J596" s="7"/>
      <c r="K596" s="7"/>
      <c r="L596" s="7"/>
      <c r="M596" s="7"/>
      <c r="N596" s="5"/>
      <c r="O596" s="5"/>
      <c r="P596" s="7"/>
      <c r="Q596" s="7"/>
      <c r="R596" s="7"/>
    </row>
    <row r="597" spans="1:18" x14ac:dyDescent="0.2">
      <c r="A597" s="5"/>
      <c r="B597" s="5"/>
      <c r="C597" s="5"/>
      <c r="D597" s="5"/>
      <c r="E597" s="5"/>
      <c r="F597" s="5"/>
      <c r="G597" s="6"/>
      <c r="H597" s="7"/>
      <c r="I597" s="7"/>
      <c r="J597" s="7"/>
      <c r="K597" s="7"/>
      <c r="L597" s="7"/>
      <c r="M597" s="7"/>
      <c r="N597" s="5"/>
      <c r="O597" s="5"/>
      <c r="P597" s="7"/>
      <c r="Q597" s="7"/>
      <c r="R597" s="7"/>
    </row>
    <row r="598" spans="1:18" x14ac:dyDescent="0.2">
      <c r="A598" s="5"/>
      <c r="B598" s="5"/>
      <c r="C598" s="5"/>
      <c r="D598" s="5"/>
      <c r="E598" s="5"/>
      <c r="F598" s="5"/>
      <c r="G598" s="6"/>
      <c r="H598" s="7"/>
      <c r="I598" s="7"/>
      <c r="J598" s="7"/>
      <c r="K598" s="7"/>
      <c r="L598" s="7"/>
      <c r="M598" s="7"/>
      <c r="N598" s="5"/>
      <c r="O598" s="5"/>
      <c r="P598" s="7"/>
      <c r="Q598" s="7"/>
      <c r="R598" s="7"/>
    </row>
    <row r="599" spans="1:18" x14ac:dyDescent="0.2">
      <c r="A599" s="5"/>
      <c r="B599" s="5"/>
      <c r="C599" s="5"/>
      <c r="D599" s="5"/>
      <c r="E599" s="5"/>
      <c r="F599" s="5"/>
      <c r="G599" s="6"/>
      <c r="H599" s="7"/>
      <c r="I599" s="7"/>
      <c r="J599" s="7"/>
      <c r="K599" s="7"/>
      <c r="L599" s="7"/>
      <c r="M599" s="7"/>
      <c r="N599" s="5"/>
      <c r="O599" s="5"/>
      <c r="P599" s="7"/>
      <c r="Q599" s="7"/>
      <c r="R599" s="7"/>
    </row>
    <row r="600" spans="1:18" x14ac:dyDescent="0.2">
      <c r="A600" s="5"/>
      <c r="B600" s="5"/>
      <c r="C600" s="5"/>
      <c r="D600" s="5"/>
      <c r="E600" s="5"/>
      <c r="F600" s="5"/>
      <c r="G600" s="6"/>
      <c r="H600" s="7"/>
      <c r="I600" s="7"/>
      <c r="J600" s="7"/>
      <c r="K600" s="7"/>
      <c r="L600" s="7"/>
      <c r="M600" s="7"/>
      <c r="N600" s="5"/>
      <c r="O600" s="5"/>
      <c r="P600" s="7"/>
      <c r="Q600" s="7"/>
      <c r="R600" s="7"/>
    </row>
    <row r="601" spans="1:18" x14ac:dyDescent="0.2">
      <c r="A601" s="5"/>
      <c r="B601" s="5"/>
      <c r="C601" s="5"/>
      <c r="D601" s="5"/>
      <c r="E601" s="5"/>
      <c r="F601" s="5"/>
      <c r="G601" s="6"/>
      <c r="H601" s="7"/>
      <c r="I601" s="7"/>
      <c r="J601" s="7"/>
      <c r="K601" s="7"/>
      <c r="L601" s="7"/>
      <c r="M601" s="7"/>
      <c r="N601" s="5"/>
      <c r="O601" s="5"/>
      <c r="P601" s="7"/>
      <c r="Q601" s="7"/>
      <c r="R601" s="7"/>
    </row>
    <row r="602" spans="1:18" x14ac:dyDescent="0.2">
      <c r="A602" s="5"/>
      <c r="B602" s="5"/>
      <c r="C602" s="5"/>
      <c r="D602" s="5"/>
      <c r="E602" s="5"/>
      <c r="F602" s="5"/>
      <c r="G602" s="6"/>
      <c r="H602" s="7"/>
      <c r="I602" s="7"/>
      <c r="J602" s="7"/>
      <c r="K602" s="7"/>
      <c r="L602" s="7"/>
      <c r="M602" s="7"/>
      <c r="N602" s="5"/>
      <c r="O602" s="5"/>
      <c r="P602" s="7"/>
      <c r="Q602" s="7"/>
      <c r="R602" s="7"/>
    </row>
    <row r="603" spans="1:18" x14ac:dyDescent="0.2">
      <c r="A603" s="5"/>
      <c r="B603" s="5"/>
      <c r="C603" s="5"/>
      <c r="D603" s="5"/>
      <c r="E603" s="5"/>
      <c r="F603" s="5"/>
      <c r="G603" s="6"/>
      <c r="H603" s="7"/>
      <c r="I603" s="7"/>
      <c r="J603" s="7"/>
      <c r="K603" s="7"/>
      <c r="L603" s="7"/>
      <c r="M603" s="7"/>
      <c r="N603" s="5"/>
      <c r="O603" s="5"/>
      <c r="P603" s="7"/>
      <c r="Q603" s="7"/>
      <c r="R603" s="7"/>
    </row>
    <row r="604" spans="1:18" x14ac:dyDescent="0.2">
      <c r="A604" s="5"/>
      <c r="B604" s="5"/>
      <c r="C604" s="5"/>
      <c r="D604" s="5"/>
      <c r="E604" s="5"/>
      <c r="F604" s="5"/>
      <c r="G604" s="6"/>
      <c r="H604" s="7"/>
      <c r="I604" s="7"/>
      <c r="J604" s="7"/>
      <c r="K604" s="7"/>
      <c r="L604" s="7"/>
      <c r="M604" s="7"/>
      <c r="N604" s="5"/>
      <c r="O604" s="5"/>
      <c r="P604" s="7"/>
      <c r="Q604" s="7"/>
      <c r="R604" s="7"/>
    </row>
    <row r="605" spans="1:18" x14ac:dyDescent="0.2">
      <c r="A605" s="5"/>
      <c r="B605" s="5"/>
      <c r="C605" s="5"/>
      <c r="D605" s="5"/>
      <c r="E605" s="5"/>
      <c r="F605" s="5"/>
      <c r="G605" s="6"/>
      <c r="H605" s="7"/>
      <c r="I605" s="7"/>
      <c r="J605" s="7"/>
      <c r="K605" s="7"/>
      <c r="L605" s="7"/>
      <c r="M605" s="7"/>
      <c r="N605" s="5"/>
      <c r="O605" s="5"/>
      <c r="P605" s="7"/>
      <c r="Q605" s="7"/>
      <c r="R605" s="7"/>
    </row>
    <row r="606" spans="1:18" x14ac:dyDescent="0.2">
      <c r="A606" s="5"/>
      <c r="B606" s="5"/>
      <c r="C606" s="5"/>
      <c r="D606" s="5"/>
      <c r="E606" s="5"/>
      <c r="F606" s="5"/>
      <c r="G606" s="6"/>
      <c r="H606" s="7"/>
      <c r="I606" s="7"/>
      <c r="J606" s="7"/>
      <c r="K606" s="7"/>
      <c r="L606" s="7"/>
      <c r="M606" s="7"/>
      <c r="N606" s="5"/>
      <c r="O606" s="5"/>
      <c r="P606" s="7"/>
      <c r="Q606" s="7"/>
      <c r="R606" s="7"/>
    </row>
    <row r="607" spans="1:18" x14ac:dyDescent="0.2">
      <c r="A607" s="5"/>
      <c r="B607" s="5"/>
      <c r="C607" s="5"/>
      <c r="D607" s="5"/>
      <c r="E607" s="5"/>
      <c r="F607" s="5"/>
      <c r="G607" s="6"/>
      <c r="H607" s="7"/>
      <c r="I607" s="7"/>
      <c r="J607" s="7"/>
      <c r="K607" s="7"/>
      <c r="L607" s="7"/>
      <c r="M607" s="7"/>
      <c r="N607" s="5"/>
      <c r="O607" s="5"/>
      <c r="P607" s="7"/>
      <c r="Q607" s="7"/>
      <c r="R607" s="7"/>
    </row>
    <row r="608" spans="1:18" x14ac:dyDescent="0.2">
      <c r="A608" s="5"/>
      <c r="B608" s="5"/>
      <c r="C608" s="5"/>
      <c r="D608" s="5"/>
      <c r="E608" s="5"/>
      <c r="F608" s="5"/>
      <c r="G608" s="6"/>
      <c r="H608" s="7"/>
      <c r="I608" s="7"/>
      <c r="J608" s="7"/>
      <c r="K608" s="7"/>
      <c r="L608" s="7"/>
      <c r="M608" s="7"/>
      <c r="N608" s="5"/>
      <c r="O608" s="5"/>
      <c r="P608" s="7"/>
      <c r="Q608" s="7"/>
      <c r="R608" s="7"/>
    </row>
    <row r="609" spans="1:18" x14ac:dyDescent="0.2">
      <c r="A609" s="5"/>
      <c r="B609" s="5"/>
      <c r="C609" s="5"/>
      <c r="D609" s="5"/>
      <c r="E609" s="5"/>
      <c r="F609" s="5"/>
      <c r="G609" s="6"/>
      <c r="H609" s="7"/>
      <c r="I609" s="7"/>
      <c r="J609" s="7"/>
      <c r="K609" s="7"/>
      <c r="L609" s="7"/>
      <c r="M609" s="7"/>
      <c r="N609" s="5"/>
      <c r="O609" s="5"/>
      <c r="P609" s="7"/>
      <c r="Q609" s="7"/>
      <c r="R609" s="7"/>
    </row>
    <row r="610" spans="1:18" x14ac:dyDescent="0.2">
      <c r="A610" s="5"/>
      <c r="B610" s="5"/>
      <c r="C610" s="5"/>
      <c r="D610" s="5"/>
      <c r="E610" s="5"/>
      <c r="F610" s="5"/>
      <c r="G610" s="6"/>
      <c r="H610" s="7"/>
      <c r="I610" s="7"/>
      <c r="J610" s="7"/>
      <c r="K610" s="7"/>
      <c r="L610" s="7"/>
      <c r="M610" s="7"/>
      <c r="N610" s="5"/>
      <c r="O610" s="5"/>
      <c r="P610" s="7"/>
      <c r="Q610" s="7"/>
      <c r="R610" s="7"/>
    </row>
    <row r="611" spans="1:18" x14ac:dyDescent="0.2">
      <c r="A611" s="5"/>
      <c r="B611" s="5"/>
      <c r="C611" s="5"/>
      <c r="D611" s="5"/>
      <c r="E611" s="5"/>
      <c r="F611" s="5"/>
      <c r="G611" s="6"/>
      <c r="H611" s="7"/>
      <c r="I611" s="7"/>
      <c r="J611" s="7"/>
      <c r="K611" s="7"/>
      <c r="L611" s="7"/>
      <c r="M611" s="7"/>
      <c r="N611" s="5"/>
      <c r="O611" s="5"/>
      <c r="P611" s="7"/>
      <c r="Q611" s="7"/>
      <c r="R611" s="7"/>
    </row>
    <row r="612" spans="1:18" x14ac:dyDescent="0.2">
      <c r="A612" s="5"/>
      <c r="B612" s="5"/>
      <c r="C612" s="5"/>
      <c r="D612" s="5"/>
      <c r="E612" s="5"/>
      <c r="F612" s="5"/>
      <c r="G612" s="6"/>
      <c r="H612" s="7"/>
      <c r="I612" s="7"/>
      <c r="J612" s="7"/>
      <c r="K612" s="7"/>
      <c r="L612" s="7"/>
      <c r="M612" s="7"/>
      <c r="N612" s="5"/>
      <c r="O612" s="5"/>
      <c r="P612" s="7"/>
      <c r="Q612" s="7"/>
      <c r="R612" s="7"/>
    </row>
    <row r="613" spans="1:18" x14ac:dyDescent="0.2">
      <c r="A613" s="5"/>
      <c r="B613" s="5"/>
      <c r="C613" s="5"/>
      <c r="D613" s="5"/>
      <c r="E613" s="5"/>
      <c r="F613" s="5"/>
      <c r="G613" s="6"/>
      <c r="H613" s="7"/>
      <c r="I613" s="7"/>
      <c r="J613" s="7"/>
      <c r="K613" s="7"/>
      <c r="L613" s="7"/>
      <c r="M613" s="7"/>
      <c r="N613" s="5"/>
      <c r="O613" s="5"/>
      <c r="P613" s="7"/>
      <c r="Q613" s="7"/>
      <c r="R613" s="7"/>
    </row>
    <row r="614" spans="1:18" x14ac:dyDescent="0.2">
      <c r="A614" s="5"/>
      <c r="B614" s="5"/>
      <c r="C614" s="5"/>
      <c r="D614" s="5"/>
      <c r="E614" s="5"/>
      <c r="F614" s="5"/>
      <c r="G614" s="6"/>
      <c r="H614" s="7"/>
      <c r="I614" s="7"/>
      <c r="J614" s="7"/>
      <c r="K614" s="7"/>
      <c r="L614" s="7"/>
      <c r="M614" s="7"/>
      <c r="N614" s="5"/>
      <c r="O614" s="5"/>
      <c r="P614" s="7"/>
      <c r="Q614" s="7"/>
      <c r="R614" s="7"/>
    </row>
    <row r="615" spans="1:18" x14ac:dyDescent="0.2">
      <c r="A615" s="5"/>
      <c r="B615" s="5"/>
      <c r="C615" s="5"/>
      <c r="D615" s="5"/>
      <c r="E615" s="5"/>
      <c r="F615" s="5"/>
      <c r="G615" s="6"/>
      <c r="H615" s="7"/>
      <c r="I615" s="7"/>
      <c r="J615" s="7"/>
      <c r="K615" s="7"/>
      <c r="L615" s="7"/>
      <c r="M615" s="7"/>
      <c r="N615" s="5"/>
      <c r="O615" s="5"/>
      <c r="P615" s="7"/>
      <c r="Q615" s="7"/>
      <c r="R615" s="7"/>
    </row>
    <row r="616" spans="1:18" x14ac:dyDescent="0.2">
      <c r="A616" s="5"/>
      <c r="B616" s="5"/>
      <c r="C616" s="5"/>
      <c r="D616" s="5"/>
      <c r="E616" s="5"/>
      <c r="F616" s="5"/>
      <c r="G616" s="6"/>
      <c r="H616" s="7"/>
      <c r="I616" s="7"/>
      <c r="J616" s="7"/>
      <c r="K616" s="7"/>
      <c r="L616" s="7"/>
      <c r="M616" s="7"/>
      <c r="N616" s="5"/>
      <c r="O616" s="5"/>
      <c r="P616" s="7"/>
      <c r="Q616" s="7"/>
      <c r="R616" s="7"/>
    </row>
    <row r="617" spans="1:18" x14ac:dyDescent="0.2">
      <c r="A617" s="5"/>
      <c r="B617" s="5"/>
      <c r="C617" s="5"/>
      <c r="D617" s="5"/>
      <c r="E617" s="5"/>
      <c r="F617" s="5"/>
      <c r="G617" s="6"/>
      <c r="H617" s="7"/>
      <c r="I617" s="7"/>
      <c r="J617" s="7"/>
      <c r="K617" s="7"/>
      <c r="L617" s="7"/>
      <c r="M617" s="7"/>
      <c r="N617" s="5"/>
      <c r="O617" s="5"/>
      <c r="P617" s="7"/>
      <c r="Q617" s="7"/>
      <c r="R617" s="7"/>
    </row>
    <row r="618" spans="1:18" x14ac:dyDescent="0.2">
      <c r="A618" s="5"/>
      <c r="B618" s="5"/>
      <c r="C618" s="5"/>
      <c r="D618" s="5"/>
      <c r="E618" s="5"/>
      <c r="F618" s="5"/>
      <c r="G618" s="6"/>
      <c r="H618" s="7"/>
      <c r="I618" s="7"/>
      <c r="J618" s="7"/>
      <c r="K618" s="7"/>
      <c r="L618" s="7"/>
      <c r="M618" s="7"/>
      <c r="N618" s="5"/>
      <c r="O618" s="5"/>
      <c r="P618" s="7"/>
      <c r="Q618" s="7"/>
      <c r="R618" s="7"/>
    </row>
    <row r="619" spans="1:18" x14ac:dyDescent="0.2">
      <c r="A619" s="5"/>
      <c r="B619" s="5"/>
      <c r="C619" s="5"/>
      <c r="D619" s="5"/>
      <c r="E619" s="5"/>
      <c r="F619" s="5"/>
      <c r="G619" s="6"/>
      <c r="H619" s="7"/>
      <c r="I619" s="7"/>
      <c r="J619" s="7"/>
      <c r="K619" s="7"/>
      <c r="L619" s="7"/>
      <c r="M619" s="7"/>
      <c r="N619" s="5"/>
      <c r="O619" s="5"/>
      <c r="P619" s="7"/>
      <c r="Q619" s="7"/>
      <c r="R619" s="7"/>
    </row>
    <row r="620" spans="1:18" x14ac:dyDescent="0.2">
      <c r="A620" s="5"/>
      <c r="B620" s="5"/>
      <c r="C620" s="5"/>
      <c r="D620" s="5"/>
      <c r="E620" s="5"/>
      <c r="F620" s="5"/>
      <c r="G620" s="6"/>
      <c r="H620" s="7"/>
      <c r="I620" s="7"/>
      <c r="J620" s="7"/>
      <c r="K620" s="7"/>
      <c r="L620" s="7"/>
      <c r="M620" s="7"/>
      <c r="N620" s="5"/>
      <c r="O620" s="5"/>
      <c r="P620" s="7"/>
      <c r="Q620" s="7"/>
      <c r="R620" s="7"/>
    </row>
    <row r="621" spans="1:18" x14ac:dyDescent="0.2">
      <c r="A621" s="5"/>
      <c r="B621" s="5"/>
      <c r="C621" s="5"/>
      <c r="D621" s="5"/>
      <c r="E621" s="5"/>
      <c r="F621" s="5"/>
      <c r="G621" s="6"/>
      <c r="H621" s="7"/>
      <c r="I621" s="7"/>
      <c r="J621" s="7"/>
      <c r="K621" s="7"/>
      <c r="L621" s="7"/>
      <c r="M621" s="7"/>
      <c r="N621" s="5"/>
      <c r="O621" s="5"/>
      <c r="P621" s="7"/>
      <c r="Q621" s="7"/>
      <c r="R621" s="7"/>
    </row>
    <row r="622" spans="1:18" x14ac:dyDescent="0.2">
      <c r="A622" s="5"/>
      <c r="B622" s="5"/>
      <c r="C622" s="5"/>
      <c r="D622" s="5"/>
      <c r="E622" s="5"/>
      <c r="F622" s="5"/>
      <c r="G622" s="6"/>
      <c r="H622" s="7"/>
      <c r="I622" s="7"/>
      <c r="J622" s="7"/>
      <c r="K622" s="7"/>
      <c r="L622" s="7"/>
      <c r="M622" s="7"/>
      <c r="N622" s="5"/>
      <c r="O622" s="5"/>
      <c r="P622" s="7"/>
      <c r="Q622" s="7"/>
      <c r="R622" s="7"/>
    </row>
    <row r="623" spans="1:18" x14ac:dyDescent="0.2">
      <c r="A623" s="5"/>
      <c r="B623" s="5"/>
      <c r="C623" s="5"/>
      <c r="D623" s="5"/>
      <c r="E623" s="5"/>
      <c r="F623" s="5"/>
      <c r="G623" s="6"/>
      <c r="H623" s="7"/>
      <c r="I623" s="7"/>
      <c r="J623" s="7"/>
      <c r="K623" s="7"/>
      <c r="L623" s="7"/>
      <c r="M623" s="7"/>
      <c r="N623" s="5"/>
      <c r="O623" s="5"/>
      <c r="P623" s="7"/>
      <c r="Q623" s="7"/>
      <c r="R623" s="7"/>
    </row>
    <row r="624" spans="1:18" x14ac:dyDescent="0.2">
      <c r="A624" s="5"/>
      <c r="B624" s="5"/>
      <c r="C624" s="5"/>
      <c r="D624" s="5"/>
      <c r="E624" s="5"/>
      <c r="F624" s="5"/>
      <c r="G624" s="6"/>
      <c r="H624" s="7"/>
      <c r="I624" s="7"/>
      <c r="J624" s="7"/>
      <c r="K624" s="7"/>
      <c r="L624" s="7"/>
      <c r="M624" s="7"/>
      <c r="N624" s="5"/>
      <c r="O624" s="5"/>
      <c r="P624" s="7"/>
      <c r="Q624" s="7"/>
      <c r="R624" s="7"/>
    </row>
    <row r="625" spans="1:18" x14ac:dyDescent="0.2">
      <c r="A625" s="5"/>
      <c r="B625" s="5"/>
      <c r="C625" s="5"/>
      <c r="D625" s="5"/>
      <c r="E625" s="5"/>
      <c r="F625" s="5"/>
      <c r="G625" s="6"/>
      <c r="H625" s="7"/>
      <c r="I625" s="7"/>
      <c r="J625" s="7"/>
      <c r="K625" s="7"/>
      <c r="L625" s="7"/>
      <c r="M625" s="7"/>
      <c r="N625" s="5"/>
      <c r="O625" s="5"/>
      <c r="P625" s="7"/>
      <c r="Q625" s="7"/>
      <c r="R625" s="7"/>
    </row>
    <row r="626" spans="1:18" x14ac:dyDescent="0.2">
      <c r="A626" s="5"/>
      <c r="B626" s="5"/>
      <c r="C626" s="5"/>
      <c r="D626" s="5"/>
      <c r="E626" s="5"/>
      <c r="F626" s="5"/>
      <c r="G626" s="6"/>
      <c r="H626" s="7"/>
      <c r="I626" s="7"/>
      <c r="J626" s="7"/>
      <c r="K626" s="7"/>
      <c r="L626" s="7"/>
      <c r="M626" s="7"/>
      <c r="N626" s="5"/>
      <c r="O626" s="5"/>
      <c r="P626" s="7"/>
      <c r="Q626" s="7"/>
      <c r="R626" s="7"/>
    </row>
    <row r="627" spans="1:18" x14ac:dyDescent="0.2">
      <c r="A627" s="5"/>
      <c r="B627" s="5"/>
      <c r="C627" s="5"/>
      <c r="D627" s="5"/>
      <c r="E627" s="5"/>
      <c r="F627" s="5"/>
      <c r="G627" s="6"/>
      <c r="H627" s="7"/>
      <c r="I627" s="7"/>
      <c r="J627" s="7"/>
      <c r="K627" s="7"/>
      <c r="L627" s="7"/>
      <c r="M627" s="7"/>
      <c r="N627" s="5"/>
      <c r="O627" s="5"/>
      <c r="P627" s="7"/>
      <c r="Q627" s="7"/>
      <c r="R627" s="7"/>
    </row>
    <row r="628" spans="1:18" x14ac:dyDescent="0.2">
      <c r="A628" s="5"/>
      <c r="B628" s="5"/>
      <c r="C628" s="5"/>
      <c r="D628" s="5"/>
      <c r="E628" s="5"/>
      <c r="F628" s="5"/>
      <c r="G628" s="6"/>
      <c r="H628" s="7"/>
      <c r="I628" s="7"/>
      <c r="J628" s="7"/>
      <c r="K628" s="7"/>
      <c r="L628" s="7"/>
      <c r="M628" s="7"/>
      <c r="N628" s="5"/>
      <c r="O628" s="5"/>
      <c r="P628" s="7"/>
      <c r="Q628" s="7"/>
      <c r="R628" s="7"/>
    </row>
    <row r="629" spans="1:18" x14ac:dyDescent="0.2">
      <c r="A629" s="5"/>
      <c r="B629" s="5"/>
      <c r="C629" s="5"/>
      <c r="D629" s="5"/>
      <c r="E629" s="5"/>
      <c r="F629" s="5"/>
      <c r="G629" s="6"/>
      <c r="H629" s="7"/>
      <c r="I629" s="7"/>
      <c r="J629" s="7"/>
      <c r="K629" s="7"/>
      <c r="L629" s="7"/>
      <c r="M629" s="7"/>
      <c r="N629" s="5"/>
      <c r="O629" s="5"/>
      <c r="P629" s="7"/>
      <c r="Q629" s="7"/>
      <c r="R629" s="7"/>
    </row>
    <row r="630" spans="1:18" x14ac:dyDescent="0.2">
      <c r="A630" s="5"/>
      <c r="B630" s="5"/>
      <c r="C630" s="5"/>
      <c r="D630" s="5"/>
      <c r="E630" s="5"/>
      <c r="F630" s="5"/>
      <c r="G630" s="6"/>
      <c r="H630" s="7"/>
      <c r="I630" s="7"/>
      <c r="J630" s="7"/>
      <c r="K630" s="7"/>
      <c r="L630" s="7"/>
      <c r="M630" s="7"/>
      <c r="N630" s="5"/>
      <c r="O630" s="5"/>
      <c r="P630" s="7"/>
      <c r="Q630" s="7"/>
      <c r="R630" s="7"/>
    </row>
    <row r="631" spans="1:18" x14ac:dyDescent="0.2">
      <c r="A631" s="5"/>
      <c r="B631" s="5"/>
      <c r="C631" s="5"/>
      <c r="D631" s="5"/>
      <c r="E631" s="5"/>
      <c r="F631" s="5"/>
      <c r="G631" s="6"/>
      <c r="H631" s="7"/>
      <c r="I631" s="7"/>
      <c r="J631" s="7"/>
      <c r="K631" s="7"/>
      <c r="L631" s="7"/>
      <c r="M631" s="7"/>
      <c r="N631" s="5"/>
      <c r="O631" s="5"/>
      <c r="P631" s="7"/>
      <c r="Q631" s="7"/>
      <c r="R631" s="7"/>
    </row>
    <row r="1048484" spans="10:10" x14ac:dyDescent="0.2">
      <c r="J1048484" s="7" t="s">
        <v>146</v>
      </c>
    </row>
  </sheetData>
  <autoFilter ref="A2:R348"/>
  <dataConsolidate/>
  <mergeCells count="1">
    <mergeCell ref="K1:M1"/>
  </mergeCells>
  <conditionalFormatting sqref="M509:M631">
    <cfRule type="expression" dxfId="65" priority="283">
      <formula>IF(OR($J509="Not Applicable",$J509="It won't be tested",$J509="Slipped"),TRUE,FALSE)</formula>
    </cfRule>
    <cfRule type="expression" dxfId="64" priority="286">
      <formula>IF($N509="No",TRUE,FALSE)</formula>
    </cfRule>
  </conditionalFormatting>
  <conditionalFormatting sqref="K509:K631">
    <cfRule type="expression" dxfId="63" priority="285">
      <formula>IF($J509="OK",TRUE,FALSE)</formula>
    </cfRule>
  </conditionalFormatting>
  <conditionalFormatting sqref="L509:L631">
    <cfRule type="expression" dxfId="62" priority="284">
      <formula>IF($J509="NOK",TRUE,FALSE)</formula>
    </cfRule>
  </conditionalFormatting>
  <conditionalFormatting sqref="M349:M508">
    <cfRule type="expression" dxfId="61" priority="279">
      <formula>IF(OR($J349="Not Applicable",$J349="It won't be tested",$J349="Slipped"),TRUE,FALSE)</formula>
    </cfRule>
    <cfRule type="expression" dxfId="60" priority="282">
      <formula>IF($N349="No",TRUE,FALSE)</formula>
    </cfRule>
  </conditionalFormatting>
  <conditionalFormatting sqref="K349:K508">
    <cfRule type="expression" dxfId="59" priority="281">
      <formula>IF($J349="OK",TRUE,FALSE)</formula>
    </cfRule>
  </conditionalFormatting>
  <conditionalFormatting sqref="L349:L508">
    <cfRule type="expression" dxfId="58" priority="280">
      <formula>IF($J349="NOK",TRUE,FALSE)</formula>
    </cfRule>
  </conditionalFormatting>
  <conditionalFormatting sqref="M140:M348">
    <cfRule type="expression" dxfId="57" priority="25">
      <formula>IF(OR($J140="Not Applicable",$J140="It won't be tested",$J140="Slipped"),TRUE,FALSE)</formula>
    </cfRule>
    <cfRule type="expression" dxfId="56" priority="28">
      <formula>IF($N140="No",TRUE,FALSE)</formula>
    </cfRule>
  </conditionalFormatting>
  <conditionalFormatting sqref="K140:K348">
    <cfRule type="expression" dxfId="55" priority="27">
      <formula>IF($J140="OK",TRUE,FALSE)</formula>
    </cfRule>
  </conditionalFormatting>
  <conditionalFormatting sqref="L140:L348">
    <cfRule type="expression" dxfId="54" priority="26">
      <formula>IF($J140="NOK",TRUE,FALSE)</formula>
    </cfRule>
  </conditionalFormatting>
  <conditionalFormatting sqref="M3:M139">
    <cfRule type="expression" dxfId="15" priority="1">
      <formula>IF(OR($J3="Not Applicable",$J3="It won't be tested",$J3="Slipped"),TRUE,FALSE)</formula>
    </cfRule>
    <cfRule type="expression" dxfId="14" priority="4">
      <formula>IF($N3="No",TRUE,FALSE)</formula>
    </cfRule>
  </conditionalFormatting>
  <conditionalFormatting sqref="K3:K139">
    <cfRule type="expression" dxfId="11" priority="3">
      <formula>IF($J3="OK",TRUE,FALSE)</formula>
    </cfRule>
  </conditionalFormatting>
  <conditionalFormatting sqref="L3:L139">
    <cfRule type="expression" dxfId="9" priority="2">
      <formula>IF($J3="NOK",TRUE,FALSE)</formula>
    </cfRule>
  </conditionalFormatting>
  <dataValidations count="3">
    <dataValidation type="list" allowBlank="1" showInputMessage="1" showErrorMessage="1" sqref="J1048484:J1048576 J3:J631">
      <formula1>"OK, NOK,Not Applicable, It won't be tested, Slipped, In progress"</formula1>
    </dataValidation>
    <dataValidation type="list" allowBlank="1" showInputMessage="1" showErrorMessage="1" sqref="P3:P631">
      <formula1>"Felipe Anic, Andrés Paolini, Isabel Betancourt, Kalyani Palada, Gerardo Muñoz"</formula1>
    </dataValidation>
    <dataValidation type="list" allowBlank="1" showInputMessage="1" showErrorMessage="1" sqref="N3:O631">
      <formula1>"Yes, No, ?, Oct OOB"</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E33" sqref="E32:E33"/>
    </sheetView>
  </sheetViews>
  <sheetFormatPr defaultRowHeight="12.75" x14ac:dyDescent="0.2"/>
  <cols>
    <col min="1" max="1" width="21.5703125" customWidth="1"/>
    <col min="2" max="2" width="25.85546875" bestFit="1" customWidth="1"/>
    <col min="3" max="3" width="28.85546875" bestFit="1" customWidth="1"/>
    <col min="4" max="4" width="22.140625" bestFit="1" customWidth="1"/>
    <col min="5" max="5" width="44.28515625" customWidth="1"/>
    <col min="6" max="6" width="16.7109375" customWidth="1"/>
  </cols>
  <sheetData>
    <row r="1" spans="1:5" ht="25.5" x14ac:dyDescent="0.2">
      <c r="A1" s="8" t="s">
        <v>147</v>
      </c>
      <c r="B1" s="9" t="s">
        <v>148</v>
      </c>
      <c r="C1" s="9" t="s">
        <v>149</v>
      </c>
      <c r="D1" s="9" t="s">
        <v>150</v>
      </c>
      <c r="E1" s="9" t="s">
        <v>151</v>
      </c>
    </row>
    <row r="2" spans="1:5" x14ac:dyDescent="0.2">
      <c r="A2" t="s">
        <v>143</v>
      </c>
      <c r="B2" s="10">
        <f t="array" ref="B2">SUM(IF(Table1[[#This Row],[QA]]=SCAP_Test_Matrix!P$1:P$8357,1,0)*IF(SCAP_Test_Matrix!N$1:N$8357="Yes",1,0)*IF(TRIM(SCAP_Test_Matrix!I$1:I$8357)&lt;&gt;"",1,0)*IF(SCAP_Test_Matrix!J$1:J$8357="Slipped",0,1))</f>
        <v>0</v>
      </c>
      <c r="C2" s="10">
        <f t="array" ref="C2">SUM(IF(Table1[[#This Row],[QA]]=SCAP_Test_Matrix!P$1:P$8357,1,0)*IF(SCAP_Test_Matrix!N$1:N$8357="Yes",1,0)*IF(TRIM(SCAP_Test_Matrix!I$1:I$8357)="",1,0)*IF(SCAP_Test_Matrix!J$1:J$8357="Slipped",0,1))</f>
        <v>0</v>
      </c>
      <c r="D2" s="11">
        <f>Table1[[#This Row],['# targets with component
Weight = 1.5]]*1.5+Table1[[#This Row],['# targets without component
Weight = 1]]*1</f>
        <v>0</v>
      </c>
      <c r="E2" s="12" t="s">
        <v>152</v>
      </c>
    </row>
    <row r="3" spans="1:5" x14ac:dyDescent="0.2">
      <c r="A3" t="s">
        <v>145</v>
      </c>
      <c r="B3" s="10">
        <f t="array" ref="B3">SUM(IF(Table1[[#This Row],[QA]]=SCAP_Test_Matrix!P$1:P$8357,1,0)*IF(SCAP_Test_Matrix!N$1:N$8357="Yes",1,0)*IF(TRIM(SCAP_Test_Matrix!I$1:I$8357)&lt;&gt;"",1,0)*IF(SCAP_Test_Matrix!J$1:J$8357="Slipped",0,1))</f>
        <v>0</v>
      </c>
      <c r="C3" s="10">
        <f t="array" ref="C3">SUM(IF(Table1[[#This Row],[QA]]=SCAP_Test_Matrix!P$1:P$8357,1,0)*IF(SCAP_Test_Matrix!N$1:N$8357="Yes",1,0)*IF(TRIM(SCAP_Test_Matrix!I$1:I$8357)="",1,0)*IF(SCAP_Test_Matrix!J$1:J$8357="Slipped",0,1))</f>
        <v>0</v>
      </c>
      <c r="D3" s="11">
        <f>Table1[[#This Row],['# targets with component
Weight = 1.5]]*1.5+Table1[[#This Row],['# targets without component
Weight = 1]]*1</f>
        <v>0</v>
      </c>
    </row>
    <row r="4" spans="1:5" x14ac:dyDescent="0.2">
      <c r="A4" t="s">
        <v>144</v>
      </c>
      <c r="B4" s="10">
        <f t="array" ref="B4">SUM(IF(Table1[[#This Row],[QA]]=SCAP_Test_Matrix!P$1:P$8357,1,0)*IF(SCAP_Test_Matrix!N$1:N$8357="Yes",1,0)*IF(TRIM(SCAP_Test_Matrix!I$1:I$8357)&lt;&gt;"",1,0)*IF(SCAP_Test_Matrix!J$1:J$8357="Slipped",0,1))</f>
        <v>0</v>
      </c>
      <c r="C4" s="10">
        <f t="array" ref="C4">SUM(IF(Table1[[#This Row],[QA]]=SCAP_Test_Matrix!P$1:P$8357,1,0)*IF(SCAP_Test_Matrix!N$1:N$8357="Yes",1,0)*IF(TRIM(SCAP_Test_Matrix!I$1:I$8357)="",1,0)*IF(SCAP_Test_Matrix!J$1:J$8357="Slipped",0,1))</f>
        <v>0</v>
      </c>
      <c r="D4" s="11">
        <f>Table1[[#This Row],['# targets with component
Weight = 1.5]]*1.5+Table1[[#This Row],['# targets without component
Weight = 1]]*1</f>
        <v>0</v>
      </c>
    </row>
    <row r="5" spans="1:5" x14ac:dyDescent="0.2">
      <c r="A5" t="s">
        <v>142</v>
      </c>
      <c r="B5" s="10">
        <f t="array" ref="B5">SUM(IF(Table1[[#This Row],[QA]]=SCAP_Test_Matrix!P$1:P$8357,1,0)*IF(SCAP_Test_Matrix!N$1:N$8357="Yes",1,0)*IF(TRIM(SCAP_Test_Matrix!I$1:I$8357)&lt;&gt;"",1,0)*IF(SCAP_Test_Matrix!J$1:J$8357="Slipped",0,1))</f>
        <v>0</v>
      </c>
      <c r="C5" s="10">
        <f t="array" ref="C5">SUM(IF(Table1[[#This Row],[QA]]=SCAP_Test_Matrix!P$1:P$8357,1,0)*IF(SCAP_Test_Matrix!N$1:N$8357="Yes",1,0)*IF(TRIM(SCAP_Test_Matrix!I$1:I$8357)="",1,0)*IF(SCAP_Test_Matrix!J$1:J$8357="Slipped",0,1))</f>
        <v>0</v>
      </c>
      <c r="D5" s="11">
        <f>Table1[[#This Row],['# targets with component
Weight = 1.5]]*1.5+Table1[[#This Row],['# targets without component
Weight = 1]]*1</f>
        <v>0</v>
      </c>
      <c r="E5" s="12" t="s">
        <v>152</v>
      </c>
    </row>
    <row r="6" spans="1:5" x14ac:dyDescent="0.2">
      <c r="A6" t="s">
        <v>159</v>
      </c>
      <c r="B6" s="10">
        <f t="array" ref="B6">SUM(IF(Table1[[#This Row],[QA]]=SCAP_Test_Matrix!P$1:P$8357,1,0)*IF(SCAP_Test_Matrix!N$1:N$8357="Yes",1,0)*IF(TRIM(SCAP_Test_Matrix!I$1:I$8357)&lt;&gt;"",1,0)*IF(SCAP_Test_Matrix!J$1:J$8357="Slipped",0,1))</f>
        <v>0</v>
      </c>
      <c r="C6" s="10">
        <f t="array" ref="C6">SUM(IF(Table1[[#This Row],[QA]]=SCAP_Test_Matrix!P$1:P$8357,1,0)*IF(SCAP_Test_Matrix!N$1:N$8357="Yes",1,0)*IF(TRIM(SCAP_Test_Matrix!I$1:I$8357)="",1,0)*IF(SCAP_Test_Matrix!J$1:J$8357="Slipped",0,1))</f>
        <v>0</v>
      </c>
      <c r="D6" s="11">
        <f>Table1[[#This Row],['# targets with component
Weight = 1.5]]*1.5+Table1[[#This Row],['# targets without component
Weight = 1]]*1</f>
        <v>0</v>
      </c>
      <c r="E6" s="22"/>
    </row>
    <row r="7" spans="1:5" x14ac:dyDescent="0.2">
      <c r="A7" s="13"/>
      <c r="B7" s="10">
        <f t="array" ref="B7">SUM(IF(Table1[[#This Row],[QA]]=SCAP_Test_Matrix!P$1:P$8357,1,0)*IF(SCAP_Test_Matrix!N$1:N$8357="Yes",1,0)*IF(TRIM(SCAP_Test_Matrix!I$1:I$8357)&lt;&gt;"",1,0))</f>
        <v>0</v>
      </c>
      <c r="C7" s="14">
        <f t="array" ref="C7">SUM(IF(Table1[[#This Row],[QA]]=SCAP_Test_Matrix!P$1:P$8357,1,0)*IF(SCAP_Test_Matrix!N$1:N$8357="Yes",1,0)*IF(TRIM(SCAP_Test_Matrix!I$1:I$8357)="",1,0))</f>
        <v>0</v>
      </c>
      <c r="D7" s="11">
        <f>Table1[[#This Row],['# targets with component
Weight = 1.5]]*1.5+Table1[[#This Row],['# targets without component
Weight = 1]]*1</f>
        <v>0</v>
      </c>
      <c r="E7" s="15"/>
    </row>
    <row r="8" spans="1:5" x14ac:dyDescent="0.2">
      <c r="A8" s="13" t="s">
        <v>153</v>
      </c>
      <c r="B8" s="14">
        <f>SUBTOTAL(109,B2:B7)</f>
        <v>0</v>
      </c>
      <c r="C8" s="14">
        <f>SUBTOTAL(109,C2:C7)</f>
        <v>0</v>
      </c>
      <c r="D8" s="16">
        <f>SUBTOTAL(109,D2:D7)</f>
        <v>0</v>
      </c>
      <c r="E8" s="14"/>
    </row>
    <row r="10" spans="1:5" ht="15" x14ac:dyDescent="0.25">
      <c r="A10" s="45" t="s">
        <v>154</v>
      </c>
      <c r="B10" s="45"/>
      <c r="C10" s="45"/>
    </row>
    <row r="11" spans="1:5" x14ac:dyDescent="0.2">
      <c r="A11" s="46"/>
      <c r="B11" s="46"/>
      <c r="C11" s="46"/>
    </row>
    <row r="12" spans="1:5" x14ac:dyDescent="0.2">
      <c r="A12" s="47"/>
      <c r="B12" s="47"/>
      <c r="C12" s="47"/>
    </row>
    <row r="13" spans="1:5" x14ac:dyDescent="0.2">
      <c r="A13" s="47"/>
      <c r="B13" s="47"/>
      <c r="C13" s="47"/>
    </row>
  </sheetData>
  <mergeCells count="4">
    <mergeCell ref="A10:C10"/>
    <mergeCell ref="A11:C11"/>
    <mergeCell ref="A12:C12"/>
    <mergeCell ref="A13:C13"/>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41"/>
  <sheetViews>
    <sheetView workbookViewId="0">
      <selection activeCell="F14" sqref="F14"/>
    </sheetView>
  </sheetViews>
  <sheetFormatPr defaultRowHeight="12.75" x14ac:dyDescent="0.2"/>
  <cols>
    <col min="1" max="1" width="16.28515625" customWidth="1"/>
    <col min="2" max="2" width="14.42578125" customWidth="1"/>
    <col min="3" max="3" width="5" customWidth="1"/>
    <col min="4" max="4" width="11" customWidth="1"/>
    <col min="5" max="5" width="7" customWidth="1"/>
    <col min="6" max="6" width="11" customWidth="1"/>
  </cols>
  <sheetData>
    <row r="4" spans="1:2" x14ac:dyDescent="0.2">
      <c r="A4" s="21" t="s">
        <v>155</v>
      </c>
      <c r="B4" s="21" t="s">
        <v>156</v>
      </c>
    </row>
    <row r="5" spans="1:2" x14ac:dyDescent="0.2">
      <c r="A5" s="21" t="s">
        <v>128</v>
      </c>
    </row>
    <row r="6" spans="1:2" x14ac:dyDescent="0.2">
      <c r="A6" s="17" t="s">
        <v>157</v>
      </c>
      <c r="B6" s="18"/>
    </row>
    <row r="25" spans="1:4" x14ac:dyDescent="0.2">
      <c r="A25" s="21" t="s">
        <v>137</v>
      </c>
      <c r="B25" t="s">
        <v>160</v>
      </c>
    </row>
    <row r="27" spans="1:4" x14ac:dyDescent="0.2">
      <c r="A27" s="21" t="s">
        <v>128</v>
      </c>
      <c r="B27" t="s">
        <v>158</v>
      </c>
    </row>
    <row r="28" spans="1:4" x14ac:dyDescent="0.2">
      <c r="A28" s="17" t="s">
        <v>160</v>
      </c>
      <c r="B28" s="18"/>
    </row>
    <row r="29" spans="1:4" x14ac:dyDescent="0.2">
      <c r="D29" s="19"/>
    </row>
    <row r="30" spans="1:4" x14ac:dyDescent="0.2">
      <c r="D30" s="19"/>
    </row>
    <row r="31" spans="1:4" x14ac:dyDescent="0.2">
      <c r="D31" s="19"/>
    </row>
    <row r="32" spans="1:4" x14ac:dyDescent="0.2">
      <c r="D32" s="19"/>
    </row>
    <row r="33" spans="3:4" x14ac:dyDescent="0.2">
      <c r="D33" s="19"/>
    </row>
    <row r="34" spans="3:4" x14ac:dyDescent="0.2">
      <c r="D34" s="20"/>
    </row>
    <row r="35" spans="3:4" x14ac:dyDescent="0.2">
      <c r="C35" s="19"/>
      <c r="D35" s="20"/>
    </row>
    <row r="36" spans="3:4" x14ac:dyDescent="0.2">
      <c r="C36" s="19"/>
    </row>
    <row r="37" spans="3:4" x14ac:dyDescent="0.2">
      <c r="C37" s="19"/>
    </row>
    <row r="38" spans="3:4" x14ac:dyDescent="0.2">
      <c r="C38" s="19"/>
    </row>
    <row r="39" spans="3:4" x14ac:dyDescent="0.2">
      <c r="C39" s="19"/>
    </row>
    <row r="40" spans="3:4" x14ac:dyDescent="0.2">
      <c r="C40" s="19"/>
    </row>
    <row r="41" spans="3:4" x14ac:dyDescent="0.2">
      <c r="C41" s="19"/>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0"/>
  <sheetViews>
    <sheetView workbookViewId="0">
      <selection activeCell="D2" sqref="D2:E2"/>
    </sheetView>
  </sheetViews>
  <sheetFormatPr defaultColWidth="9.140625" defaultRowHeight="15" x14ac:dyDescent="0.25"/>
  <cols>
    <col min="1" max="1" width="49.5703125" style="28" bestFit="1" customWidth="1"/>
    <col min="2" max="2" width="107.28515625" style="28" customWidth="1"/>
    <col min="3" max="3" width="45.7109375" style="28" bestFit="1" customWidth="1"/>
    <col min="4" max="4" width="10.5703125" style="36" bestFit="1" customWidth="1"/>
    <col min="5" max="5" width="15.7109375" style="36" customWidth="1"/>
    <col min="6" max="6" width="11" style="36" bestFit="1" customWidth="1"/>
    <col min="7" max="7" width="28" style="28" customWidth="1"/>
    <col min="8" max="16384" width="9.140625" style="28"/>
  </cols>
  <sheetData>
    <row r="1" spans="1:7" x14ac:dyDescent="0.25">
      <c r="A1" s="24" t="s">
        <v>4</v>
      </c>
      <c r="B1" s="25" t="s">
        <v>0</v>
      </c>
      <c r="C1" s="24" t="s">
        <v>5</v>
      </c>
      <c r="D1" s="26" t="s">
        <v>6</v>
      </c>
      <c r="E1" s="26" t="s">
        <v>1</v>
      </c>
      <c r="F1" s="26" t="s">
        <v>7</v>
      </c>
      <c r="G1" s="27" t="s">
        <v>23</v>
      </c>
    </row>
    <row r="2" spans="1:7" x14ac:dyDescent="0.25">
      <c r="A2" s="62" t="s">
        <v>8</v>
      </c>
      <c r="B2" s="63" t="s">
        <v>9</v>
      </c>
      <c r="C2" s="29" t="s">
        <v>72</v>
      </c>
      <c r="D2" s="42"/>
      <c r="E2" s="42"/>
      <c r="F2" s="51" t="s">
        <v>2</v>
      </c>
      <c r="G2" s="31"/>
    </row>
    <row r="3" spans="1:7" x14ac:dyDescent="0.25">
      <c r="A3" s="55"/>
      <c r="B3" s="58"/>
      <c r="C3" s="29" t="s">
        <v>73</v>
      </c>
      <c r="D3" s="42"/>
      <c r="E3" s="42"/>
      <c r="F3" s="52"/>
      <c r="G3" s="31"/>
    </row>
    <row r="4" spans="1:7" x14ac:dyDescent="0.25">
      <c r="A4" s="55"/>
      <c r="B4" s="58"/>
      <c r="C4" s="29" t="s">
        <v>71</v>
      </c>
      <c r="D4" s="42"/>
      <c r="E4" s="42"/>
      <c r="F4" s="52"/>
      <c r="G4" s="31"/>
    </row>
    <row r="5" spans="1:7" x14ac:dyDescent="0.25">
      <c r="A5" s="56"/>
      <c r="B5" s="59"/>
      <c r="C5" s="29" t="s">
        <v>124</v>
      </c>
      <c r="D5" s="43"/>
      <c r="E5" s="43"/>
      <c r="F5" s="53"/>
      <c r="G5" s="31"/>
    </row>
    <row r="6" spans="1:7" ht="30" x14ac:dyDescent="0.25">
      <c r="A6" s="32" t="s">
        <v>10</v>
      </c>
      <c r="B6" s="33" t="s">
        <v>11</v>
      </c>
      <c r="C6" s="32" t="s">
        <v>71</v>
      </c>
      <c r="D6" s="42"/>
      <c r="E6" s="42"/>
      <c r="F6" s="30" t="s">
        <v>2</v>
      </c>
      <c r="G6" s="34"/>
    </row>
    <row r="7" spans="1:7" ht="30" x14ac:dyDescent="0.25">
      <c r="A7" s="32" t="s">
        <v>12</v>
      </c>
      <c r="B7" s="33" t="s">
        <v>13</v>
      </c>
      <c r="C7" s="32" t="s">
        <v>71</v>
      </c>
      <c r="D7" s="42"/>
      <c r="E7" s="42"/>
      <c r="F7" s="30" t="s">
        <v>3</v>
      </c>
      <c r="G7" s="31"/>
    </row>
    <row r="8" spans="1:7" x14ac:dyDescent="0.25">
      <c r="A8" s="62" t="s">
        <v>14</v>
      </c>
      <c r="B8" s="63" t="s">
        <v>24</v>
      </c>
      <c r="C8" s="29" t="s">
        <v>72</v>
      </c>
      <c r="D8" s="42"/>
      <c r="E8" s="42"/>
      <c r="F8" s="51" t="s">
        <v>22</v>
      </c>
      <c r="G8" s="31"/>
    </row>
    <row r="9" spans="1:7" x14ac:dyDescent="0.25">
      <c r="A9" s="55"/>
      <c r="B9" s="58"/>
      <c r="C9" s="29" t="s">
        <v>71</v>
      </c>
      <c r="D9" s="42"/>
      <c r="E9" s="42"/>
      <c r="F9" s="52"/>
      <c r="G9" s="31"/>
    </row>
    <row r="10" spans="1:7" x14ac:dyDescent="0.25">
      <c r="A10" s="55"/>
      <c r="B10" s="58"/>
      <c r="C10" s="29" t="s">
        <v>124</v>
      </c>
      <c r="D10" s="43"/>
      <c r="E10" s="43"/>
      <c r="F10" s="52"/>
      <c r="G10" s="31"/>
    </row>
    <row r="11" spans="1:7" x14ac:dyDescent="0.25">
      <c r="A11" s="56"/>
      <c r="B11" s="59"/>
      <c r="C11" s="29" t="s">
        <v>75</v>
      </c>
      <c r="D11" s="30"/>
      <c r="E11" s="30"/>
      <c r="F11" s="53"/>
      <c r="G11" s="31"/>
    </row>
    <row r="12" spans="1:7" x14ac:dyDescent="0.25">
      <c r="A12" s="54" t="s">
        <v>15</v>
      </c>
      <c r="B12" s="57" t="s">
        <v>16</v>
      </c>
      <c r="C12" s="29" t="s">
        <v>72</v>
      </c>
      <c r="D12" s="42"/>
      <c r="E12" s="42"/>
      <c r="F12" s="51" t="s">
        <v>3</v>
      </c>
      <c r="G12" s="31"/>
    </row>
    <row r="13" spans="1:7" x14ac:dyDescent="0.25">
      <c r="A13" s="55"/>
      <c r="B13" s="58"/>
      <c r="C13" s="29" t="s">
        <v>71</v>
      </c>
      <c r="D13" s="42"/>
      <c r="E13" s="42"/>
      <c r="F13" s="52"/>
      <c r="G13" s="31"/>
    </row>
    <row r="14" spans="1:7" x14ac:dyDescent="0.25">
      <c r="A14" s="55"/>
      <c r="B14" s="58"/>
      <c r="C14" s="29" t="s">
        <v>124</v>
      </c>
      <c r="D14" s="43"/>
      <c r="E14" s="43"/>
      <c r="F14" s="52"/>
      <c r="G14" s="31"/>
    </row>
    <row r="15" spans="1:7" x14ac:dyDescent="0.25">
      <c r="A15" s="55"/>
      <c r="B15" s="58"/>
      <c r="C15" s="29" t="s">
        <v>73</v>
      </c>
      <c r="D15" s="42"/>
      <c r="E15" s="42"/>
      <c r="F15" s="52"/>
      <c r="G15" s="31"/>
    </row>
    <row r="16" spans="1:7" x14ac:dyDescent="0.25">
      <c r="A16" s="56"/>
      <c r="B16" s="59"/>
      <c r="C16" s="29" t="s">
        <v>75</v>
      </c>
      <c r="D16" s="43"/>
      <c r="E16" s="43"/>
      <c r="F16" s="53"/>
      <c r="G16" s="31"/>
    </row>
    <row r="17" spans="1:7" x14ac:dyDescent="0.25">
      <c r="A17" s="54" t="s">
        <v>17</v>
      </c>
      <c r="B17" s="57" t="s">
        <v>25</v>
      </c>
      <c r="C17" s="29" t="s">
        <v>72</v>
      </c>
      <c r="D17" s="42"/>
      <c r="E17" s="42"/>
      <c r="F17" s="51" t="s">
        <v>3</v>
      </c>
      <c r="G17" s="31"/>
    </row>
    <row r="18" spans="1:7" x14ac:dyDescent="0.25">
      <c r="A18" s="60"/>
      <c r="B18" s="61"/>
      <c r="C18" s="29" t="s">
        <v>71</v>
      </c>
      <c r="D18" s="42"/>
      <c r="E18" s="42"/>
      <c r="F18" s="52"/>
      <c r="G18" s="31"/>
    </row>
    <row r="19" spans="1:7" x14ac:dyDescent="0.25">
      <c r="A19" s="56"/>
      <c r="B19" s="59"/>
      <c r="C19" s="29" t="s">
        <v>124</v>
      </c>
      <c r="D19" s="43"/>
      <c r="E19" s="43"/>
      <c r="F19" s="53"/>
      <c r="G19" s="31"/>
    </row>
    <row r="20" spans="1:7" x14ac:dyDescent="0.25">
      <c r="A20" s="32" t="s">
        <v>18</v>
      </c>
      <c r="B20" s="33" t="s">
        <v>19</v>
      </c>
      <c r="C20" s="29" t="s">
        <v>125</v>
      </c>
      <c r="D20" s="42"/>
      <c r="E20" s="42"/>
      <c r="F20" s="30" t="s">
        <v>3</v>
      </c>
      <c r="G20" s="31"/>
    </row>
    <row r="21" spans="1:7" ht="30" x14ac:dyDescent="0.25">
      <c r="A21" s="32" t="s">
        <v>20</v>
      </c>
      <c r="B21" s="33" t="s">
        <v>21</v>
      </c>
      <c r="C21" s="32" t="s">
        <v>71</v>
      </c>
      <c r="D21" s="42"/>
      <c r="E21" s="42"/>
      <c r="F21" s="30" t="s">
        <v>22</v>
      </c>
      <c r="G21" s="31"/>
    </row>
    <row r="22" spans="1:7" x14ac:dyDescent="0.25">
      <c r="A22" s="50" t="s">
        <v>26</v>
      </c>
      <c r="B22" s="33" t="s">
        <v>27</v>
      </c>
      <c r="C22" s="32" t="s">
        <v>71</v>
      </c>
      <c r="D22" s="42"/>
      <c r="E22" s="42"/>
      <c r="F22" s="51" t="s">
        <v>3</v>
      </c>
      <c r="G22" s="31"/>
    </row>
    <row r="23" spans="1:7" x14ac:dyDescent="0.25">
      <c r="A23" s="50"/>
      <c r="B23" s="50" t="s">
        <v>28</v>
      </c>
      <c r="C23" s="32" t="s">
        <v>29</v>
      </c>
      <c r="D23" s="42"/>
      <c r="E23" s="42"/>
      <c r="F23" s="52"/>
      <c r="G23" s="31"/>
    </row>
    <row r="24" spans="1:7" x14ac:dyDescent="0.25">
      <c r="A24" s="50"/>
      <c r="B24" s="50"/>
      <c r="C24" s="32" t="s">
        <v>30</v>
      </c>
      <c r="D24" s="42"/>
      <c r="E24" s="42"/>
      <c r="F24" s="52"/>
      <c r="G24" s="31"/>
    </row>
    <row r="25" spans="1:7" x14ac:dyDescent="0.25">
      <c r="A25" s="50"/>
      <c r="B25" s="50"/>
      <c r="C25" s="32" t="s">
        <v>31</v>
      </c>
      <c r="D25" s="42"/>
      <c r="E25" s="42"/>
      <c r="F25" s="52"/>
      <c r="G25" s="31"/>
    </row>
    <row r="26" spans="1:7" x14ac:dyDescent="0.25">
      <c r="A26" s="50"/>
      <c r="B26" s="50"/>
      <c r="C26" s="32" t="s">
        <v>32</v>
      </c>
      <c r="D26" s="42"/>
      <c r="E26" s="42"/>
      <c r="F26" s="52"/>
      <c r="G26" s="31"/>
    </row>
    <row r="27" spans="1:7" x14ac:dyDescent="0.25">
      <c r="A27" s="50"/>
      <c r="B27" s="50"/>
      <c r="C27" s="32" t="s">
        <v>33</v>
      </c>
      <c r="D27" s="42"/>
      <c r="E27" s="42"/>
      <c r="F27" s="52"/>
      <c r="G27" s="31"/>
    </row>
    <row r="28" spans="1:7" x14ac:dyDescent="0.25">
      <c r="A28" s="50"/>
      <c r="B28" s="50"/>
      <c r="C28" s="32" t="s">
        <v>34</v>
      </c>
      <c r="D28" s="42"/>
      <c r="E28" s="42"/>
      <c r="F28" s="52"/>
      <c r="G28" s="31"/>
    </row>
    <row r="29" spans="1:7" x14ac:dyDescent="0.25">
      <c r="A29" s="50"/>
      <c r="B29" s="50"/>
      <c r="C29" s="32" t="s">
        <v>35</v>
      </c>
      <c r="D29" s="42"/>
      <c r="E29" s="42"/>
      <c r="F29" s="52"/>
      <c r="G29" s="31"/>
    </row>
    <row r="30" spans="1:7" x14ac:dyDescent="0.25">
      <c r="A30" s="50"/>
      <c r="B30" s="50"/>
      <c r="C30" s="32" t="s">
        <v>36</v>
      </c>
      <c r="D30" s="42"/>
      <c r="E30" s="42"/>
      <c r="F30" s="52"/>
      <c r="G30" s="31"/>
    </row>
    <row r="31" spans="1:7" x14ac:dyDescent="0.25">
      <c r="A31" s="50"/>
      <c r="B31" s="50"/>
      <c r="C31" s="32" t="s">
        <v>37</v>
      </c>
      <c r="D31" s="42"/>
      <c r="E31" s="42"/>
      <c r="F31" s="52"/>
      <c r="G31" s="31"/>
    </row>
    <row r="32" spans="1:7" x14ac:dyDescent="0.25">
      <c r="A32" s="50"/>
      <c r="B32" s="50"/>
      <c r="C32" s="32" t="s">
        <v>38</v>
      </c>
      <c r="D32" s="42"/>
      <c r="E32" s="42"/>
      <c r="F32" s="52"/>
      <c r="G32" s="31"/>
    </row>
    <row r="33" spans="1:7" x14ac:dyDescent="0.25">
      <c r="A33" s="50"/>
      <c r="B33" s="50"/>
      <c r="C33" s="32" t="s">
        <v>39</v>
      </c>
      <c r="D33" s="42"/>
      <c r="E33" s="42"/>
      <c r="F33" s="52"/>
      <c r="G33" s="31"/>
    </row>
    <row r="34" spans="1:7" x14ac:dyDescent="0.25">
      <c r="A34" s="50"/>
      <c r="B34" s="50"/>
      <c r="C34" s="32" t="s">
        <v>40</v>
      </c>
      <c r="D34" s="42"/>
      <c r="E34" s="42"/>
      <c r="F34" s="52"/>
      <c r="G34" s="31"/>
    </row>
    <row r="35" spans="1:7" x14ac:dyDescent="0.25">
      <c r="A35" s="50"/>
      <c r="B35" s="50"/>
      <c r="C35" s="32" t="s">
        <v>41</v>
      </c>
      <c r="D35" s="42"/>
      <c r="E35" s="42"/>
      <c r="F35" s="52"/>
      <c r="G35" s="31"/>
    </row>
    <row r="36" spans="1:7" x14ac:dyDescent="0.25">
      <c r="A36" s="50"/>
      <c r="B36" s="50"/>
      <c r="C36" s="32" t="s">
        <v>42</v>
      </c>
      <c r="D36" s="42"/>
      <c r="E36" s="42"/>
      <c r="F36" s="52"/>
      <c r="G36" s="31"/>
    </row>
    <row r="37" spans="1:7" x14ac:dyDescent="0.25">
      <c r="A37" s="50"/>
      <c r="B37" s="50"/>
      <c r="C37" s="32" t="s">
        <v>43</v>
      </c>
      <c r="D37" s="42"/>
      <c r="E37" s="42"/>
      <c r="F37" s="52"/>
      <c r="G37" s="31"/>
    </row>
    <row r="38" spans="1:7" x14ac:dyDescent="0.25">
      <c r="A38" s="50"/>
      <c r="B38" s="50"/>
      <c r="C38" s="32" t="s">
        <v>44</v>
      </c>
      <c r="D38" s="42"/>
      <c r="E38" s="42"/>
      <c r="F38" s="52"/>
      <c r="G38" s="31"/>
    </row>
    <row r="39" spans="1:7" x14ac:dyDescent="0.25">
      <c r="A39" s="50"/>
      <c r="B39" s="50"/>
      <c r="C39" s="32" t="s">
        <v>45</v>
      </c>
      <c r="D39" s="42"/>
      <c r="E39" s="42"/>
      <c r="F39" s="52"/>
      <c r="G39" s="31"/>
    </row>
    <row r="40" spans="1:7" x14ac:dyDescent="0.25">
      <c r="A40" s="50"/>
      <c r="B40" s="50"/>
      <c r="C40" s="32" t="s">
        <v>46</v>
      </c>
      <c r="D40" s="42"/>
      <c r="E40" s="42"/>
      <c r="F40" s="52"/>
      <c r="G40" s="31"/>
    </row>
    <row r="41" spans="1:7" x14ac:dyDescent="0.25">
      <c r="A41" s="50"/>
      <c r="B41" s="50"/>
      <c r="C41" s="32" t="s">
        <v>47</v>
      </c>
      <c r="D41" s="42"/>
      <c r="E41" s="42"/>
      <c r="F41" s="52"/>
      <c r="G41" s="31"/>
    </row>
    <row r="42" spans="1:7" x14ac:dyDescent="0.25">
      <c r="A42" s="50"/>
      <c r="B42" s="50"/>
      <c r="C42" s="32" t="s">
        <v>48</v>
      </c>
      <c r="D42" s="42"/>
      <c r="E42" s="42"/>
      <c r="F42" s="52"/>
      <c r="G42" s="31"/>
    </row>
    <row r="43" spans="1:7" x14ac:dyDescent="0.25">
      <c r="A43" s="50"/>
      <c r="B43" s="50"/>
      <c r="C43" s="32" t="s">
        <v>49</v>
      </c>
      <c r="D43" s="42"/>
      <c r="E43" s="42"/>
      <c r="F43" s="52"/>
      <c r="G43" s="31"/>
    </row>
    <row r="44" spans="1:7" x14ac:dyDescent="0.25">
      <c r="A44" s="50"/>
      <c r="B44" s="50"/>
      <c r="C44" s="32" t="s">
        <v>50</v>
      </c>
      <c r="D44" s="42"/>
      <c r="E44" s="42"/>
      <c r="F44" s="52"/>
      <c r="G44" s="31"/>
    </row>
    <row r="45" spans="1:7" x14ac:dyDescent="0.25">
      <c r="A45" s="50"/>
      <c r="B45" s="50"/>
      <c r="C45" s="32" t="s">
        <v>51</v>
      </c>
      <c r="D45" s="42"/>
      <c r="E45" s="42"/>
      <c r="F45" s="52"/>
      <c r="G45" s="31"/>
    </row>
    <row r="46" spans="1:7" x14ac:dyDescent="0.25">
      <c r="A46" s="50"/>
      <c r="B46" s="50"/>
      <c r="C46" s="32" t="s">
        <v>52</v>
      </c>
      <c r="D46" s="42"/>
      <c r="E46" s="42"/>
      <c r="F46" s="52"/>
      <c r="G46" s="31"/>
    </row>
    <row r="47" spans="1:7" x14ac:dyDescent="0.25">
      <c r="A47" s="50"/>
      <c r="B47" s="50"/>
      <c r="C47" s="32" t="s">
        <v>53</v>
      </c>
      <c r="D47" s="42"/>
      <c r="E47" s="42"/>
      <c r="F47" s="52"/>
      <c r="G47" s="31"/>
    </row>
    <row r="48" spans="1:7" x14ac:dyDescent="0.25">
      <c r="A48" s="50"/>
      <c r="B48" s="50" t="s">
        <v>54</v>
      </c>
      <c r="C48" s="32" t="s">
        <v>55</v>
      </c>
      <c r="D48" s="42"/>
      <c r="E48" s="42"/>
      <c r="F48" s="52"/>
      <c r="G48" s="31"/>
    </row>
    <row r="49" spans="1:7" x14ac:dyDescent="0.25">
      <c r="A49" s="50"/>
      <c r="B49" s="50"/>
      <c r="C49" s="32" t="s">
        <v>56</v>
      </c>
      <c r="D49" s="42"/>
      <c r="E49" s="42"/>
      <c r="F49" s="52"/>
      <c r="G49" s="31"/>
    </row>
    <row r="50" spans="1:7" x14ac:dyDescent="0.25">
      <c r="A50" s="50"/>
      <c r="B50" s="50"/>
      <c r="C50" s="32" t="s">
        <v>57</v>
      </c>
      <c r="D50" s="42"/>
      <c r="E50" s="42"/>
      <c r="F50" s="52"/>
      <c r="G50" s="31"/>
    </row>
    <row r="51" spans="1:7" x14ac:dyDescent="0.25">
      <c r="A51" s="50"/>
      <c r="B51" s="50"/>
      <c r="C51" s="32" t="s">
        <v>58</v>
      </c>
      <c r="D51" s="42"/>
      <c r="E51" s="42"/>
      <c r="F51" s="52"/>
      <c r="G51" s="31"/>
    </row>
    <row r="52" spans="1:7" x14ac:dyDescent="0.25">
      <c r="A52" s="50"/>
      <c r="B52" s="50"/>
      <c r="C52" s="32" t="s">
        <v>59</v>
      </c>
      <c r="D52" s="42"/>
      <c r="E52" s="42"/>
      <c r="F52" s="52"/>
      <c r="G52" s="31"/>
    </row>
    <row r="53" spans="1:7" x14ac:dyDescent="0.25">
      <c r="A53" s="50"/>
      <c r="B53" s="50"/>
      <c r="C53" s="32" t="s">
        <v>60</v>
      </c>
      <c r="D53" s="42"/>
      <c r="E53" s="42"/>
      <c r="F53" s="52"/>
      <c r="G53" s="31"/>
    </row>
    <row r="54" spans="1:7" x14ac:dyDescent="0.25">
      <c r="A54" s="50"/>
      <c r="B54" s="50"/>
      <c r="C54" s="32" t="s">
        <v>61</v>
      </c>
      <c r="D54" s="42"/>
      <c r="E54" s="42"/>
      <c r="F54" s="52"/>
      <c r="G54" s="31"/>
    </row>
    <row r="55" spans="1:7" x14ac:dyDescent="0.25">
      <c r="A55" s="50"/>
      <c r="B55" s="50"/>
      <c r="C55" s="32" t="s">
        <v>62</v>
      </c>
      <c r="D55" s="42"/>
      <c r="E55" s="42"/>
      <c r="F55" s="52"/>
      <c r="G55" s="31"/>
    </row>
    <row r="56" spans="1:7" x14ac:dyDescent="0.25">
      <c r="A56" s="50"/>
      <c r="B56" s="50"/>
      <c r="C56" s="32" t="s">
        <v>63</v>
      </c>
      <c r="D56" s="42"/>
      <c r="E56" s="42"/>
      <c r="F56" s="52"/>
      <c r="G56" s="31"/>
    </row>
    <row r="57" spans="1:7" x14ac:dyDescent="0.25">
      <c r="A57" s="50"/>
      <c r="B57" s="50"/>
      <c r="C57" s="32" t="s">
        <v>64</v>
      </c>
      <c r="D57" s="42"/>
      <c r="E57" s="42"/>
      <c r="F57" s="52"/>
      <c r="G57" s="31"/>
    </row>
    <row r="58" spans="1:7" x14ac:dyDescent="0.25">
      <c r="A58" s="50"/>
      <c r="B58" s="50" t="s">
        <v>65</v>
      </c>
      <c r="C58" s="32" t="s">
        <v>55</v>
      </c>
      <c r="D58" s="42"/>
      <c r="E58" s="42"/>
      <c r="F58" s="52"/>
      <c r="G58" s="31"/>
    </row>
    <row r="59" spans="1:7" x14ac:dyDescent="0.25">
      <c r="A59" s="50"/>
      <c r="B59" s="50"/>
      <c r="C59" s="32" t="s">
        <v>56</v>
      </c>
      <c r="D59" s="42"/>
      <c r="E59" s="42"/>
      <c r="F59" s="52"/>
      <c r="G59" s="31"/>
    </row>
    <row r="60" spans="1:7" x14ac:dyDescent="0.25">
      <c r="A60" s="50"/>
      <c r="B60" s="50"/>
      <c r="C60" s="32" t="s">
        <v>57</v>
      </c>
      <c r="D60" s="42"/>
      <c r="E60" s="42"/>
      <c r="F60" s="52"/>
      <c r="G60" s="31"/>
    </row>
    <row r="61" spans="1:7" x14ac:dyDescent="0.25">
      <c r="A61" s="50"/>
      <c r="B61" s="50"/>
      <c r="C61" s="32" t="s">
        <v>58</v>
      </c>
      <c r="D61" s="42"/>
      <c r="E61" s="42"/>
      <c r="F61" s="52"/>
      <c r="G61" s="31"/>
    </row>
    <row r="62" spans="1:7" x14ac:dyDescent="0.25">
      <c r="A62" s="50"/>
      <c r="B62" s="50"/>
      <c r="C62" s="32" t="s">
        <v>59</v>
      </c>
      <c r="D62" s="42"/>
      <c r="E62" s="42"/>
      <c r="F62" s="52"/>
      <c r="G62" s="31"/>
    </row>
    <row r="63" spans="1:7" x14ac:dyDescent="0.25">
      <c r="A63" s="50"/>
      <c r="B63" s="50"/>
      <c r="C63" s="32" t="s">
        <v>60</v>
      </c>
      <c r="D63" s="42"/>
      <c r="E63" s="42"/>
      <c r="F63" s="52"/>
      <c r="G63" s="31"/>
    </row>
    <row r="64" spans="1:7" x14ac:dyDescent="0.25">
      <c r="A64" s="50"/>
      <c r="B64" s="50"/>
      <c r="C64" s="32" t="s">
        <v>61</v>
      </c>
      <c r="D64" s="42"/>
      <c r="E64" s="42"/>
      <c r="F64" s="52"/>
      <c r="G64" s="31"/>
    </row>
    <row r="65" spans="1:7" x14ac:dyDescent="0.25">
      <c r="A65" s="50"/>
      <c r="B65" s="50"/>
      <c r="C65" s="32" t="s">
        <v>62</v>
      </c>
      <c r="D65" s="42"/>
      <c r="E65" s="42"/>
      <c r="F65" s="52"/>
      <c r="G65" s="31"/>
    </row>
    <row r="66" spans="1:7" x14ac:dyDescent="0.25">
      <c r="A66" s="50"/>
      <c r="B66" s="50"/>
      <c r="C66" s="32" t="s">
        <v>63</v>
      </c>
      <c r="D66" s="42"/>
      <c r="E66" s="42"/>
      <c r="F66" s="52"/>
      <c r="G66" s="31"/>
    </row>
    <row r="67" spans="1:7" x14ac:dyDescent="0.25">
      <c r="A67" s="50"/>
      <c r="B67" s="50"/>
      <c r="C67" s="32" t="s">
        <v>64</v>
      </c>
      <c r="D67" s="42"/>
      <c r="E67" s="42"/>
      <c r="F67" s="52"/>
      <c r="G67" s="31"/>
    </row>
    <row r="68" spans="1:7" x14ac:dyDescent="0.25">
      <c r="A68" s="50"/>
      <c r="B68" s="50" t="s">
        <v>66</v>
      </c>
      <c r="C68" s="32" t="s">
        <v>55</v>
      </c>
      <c r="D68" s="42"/>
      <c r="E68" s="42"/>
      <c r="F68" s="52"/>
      <c r="G68" s="31"/>
    </row>
    <row r="69" spans="1:7" x14ac:dyDescent="0.25">
      <c r="A69" s="50"/>
      <c r="B69" s="50"/>
      <c r="C69" s="32" t="s">
        <v>56</v>
      </c>
      <c r="D69" s="42"/>
      <c r="E69" s="42"/>
      <c r="F69" s="52"/>
      <c r="G69" s="31"/>
    </row>
    <row r="70" spans="1:7" x14ac:dyDescent="0.25">
      <c r="A70" s="50"/>
      <c r="B70" s="50"/>
      <c r="C70" s="32" t="s">
        <v>57</v>
      </c>
      <c r="D70" s="42"/>
      <c r="E70" s="42"/>
      <c r="F70" s="52"/>
      <c r="G70" s="31"/>
    </row>
    <row r="71" spans="1:7" x14ac:dyDescent="0.25">
      <c r="A71" s="50"/>
      <c r="B71" s="50"/>
      <c r="C71" s="32" t="s">
        <v>58</v>
      </c>
      <c r="D71" s="42"/>
      <c r="E71" s="42"/>
      <c r="F71" s="52"/>
      <c r="G71" s="31"/>
    </row>
    <row r="72" spans="1:7" x14ac:dyDescent="0.25">
      <c r="A72" s="50"/>
      <c r="B72" s="50"/>
      <c r="C72" s="32" t="s">
        <v>59</v>
      </c>
      <c r="D72" s="42"/>
      <c r="E72" s="42"/>
      <c r="F72" s="52"/>
      <c r="G72" s="31"/>
    </row>
    <row r="73" spans="1:7" x14ac:dyDescent="0.25">
      <c r="A73" s="50"/>
      <c r="B73" s="50"/>
      <c r="C73" s="32" t="s">
        <v>60</v>
      </c>
      <c r="D73" s="42"/>
      <c r="E73" s="42"/>
      <c r="F73" s="52"/>
      <c r="G73" s="31"/>
    </row>
    <row r="74" spans="1:7" x14ac:dyDescent="0.25">
      <c r="A74" s="50"/>
      <c r="B74" s="50"/>
      <c r="C74" s="32" t="s">
        <v>61</v>
      </c>
      <c r="D74" s="42"/>
      <c r="E74" s="42"/>
      <c r="F74" s="52"/>
      <c r="G74" s="31"/>
    </row>
    <row r="75" spans="1:7" x14ac:dyDescent="0.25">
      <c r="A75" s="50"/>
      <c r="B75" s="50"/>
      <c r="C75" s="32" t="s">
        <v>62</v>
      </c>
      <c r="D75" s="42"/>
      <c r="E75" s="42"/>
      <c r="F75" s="52"/>
      <c r="G75" s="31"/>
    </row>
    <row r="76" spans="1:7" x14ac:dyDescent="0.25">
      <c r="A76" s="50"/>
      <c r="B76" s="50"/>
      <c r="C76" s="32" t="s">
        <v>63</v>
      </c>
      <c r="D76" s="42"/>
      <c r="E76" s="42"/>
      <c r="F76" s="52"/>
      <c r="G76" s="31"/>
    </row>
    <row r="77" spans="1:7" x14ac:dyDescent="0.25">
      <c r="A77" s="50"/>
      <c r="B77" s="50"/>
      <c r="C77" s="32" t="s">
        <v>64</v>
      </c>
      <c r="D77" s="42"/>
      <c r="E77" s="42"/>
      <c r="F77" s="52"/>
      <c r="G77" s="31"/>
    </row>
    <row r="78" spans="1:7" x14ac:dyDescent="0.25">
      <c r="A78" s="50"/>
      <c r="B78" s="50" t="s">
        <v>67</v>
      </c>
      <c r="C78" s="32" t="s">
        <v>55</v>
      </c>
      <c r="D78" s="42"/>
      <c r="E78" s="42"/>
      <c r="F78" s="52"/>
      <c r="G78" s="31"/>
    </row>
    <row r="79" spans="1:7" x14ac:dyDescent="0.25">
      <c r="A79" s="50"/>
      <c r="B79" s="50"/>
      <c r="C79" s="32" t="s">
        <v>56</v>
      </c>
      <c r="D79" s="42"/>
      <c r="E79" s="42"/>
      <c r="F79" s="52"/>
      <c r="G79" s="31"/>
    </row>
    <row r="80" spans="1:7" x14ac:dyDescent="0.25">
      <c r="A80" s="50"/>
      <c r="B80" s="50"/>
      <c r="C80" s="32" t="s">
        <v>57</v>
      </c>
      <c r="D80" s="42"/>
      <c r="E80" s="42"/>
      <c r="F80" s="52"/>
      <c r="G80" s="31"/>
    </row>
    <row r="81" spans="1:7" x14ac:dyDescent="0.25">
      <c r="A81" s="50"/>
      <c r="B81" s="50"/>
      <c r="C81" s="32" t="s">
        <v>58</v>
      </c>
      <c r="D81" s="42"/>
      <c r="E81" s="42"/>
      <c r="F81" s="52"/>
      <c r="G81" s="31"/>
    </row>
    <row r="82" spans="1:7" x14ac:dyDescent="0.25">
      <c r="A82" s="50"/>
      <c r="B82" s="50"/>
      <c r="C82" s="32" t="s">
        <v>59</v>
      </c>
      <c r="D82" s="42"/>
      <c r="E82" s="42"/>
      <c r="F82" s="52"/>
      <c r="G82" s="31"/>
    </row>
    <row r="83" spans="1:7" x14ac:dyDescent="0.25">
      <c r="A83" s="50"/>
      <c r="B83" s="50"/>
      <c r="C83" s="32" t="s">
        <v>60</v>
      </c>
      <c r="D83" s="42"/>
      <c r="E83" s="42"/>
      <c r="F83" s="52"/>
      <c r="G83" s="31"/>
    </row>
    <row r="84" spans="1:7" x14ac:dyDescent="0.25">
      <c r="A84" s="50"/>
      <c r="B84" s="50"/>
      <c r="C84" s="32" t="s">
        <v>61</v>
      </c>
      <c r="D84" s="42"/>
      <c r="E84" s="42"/>
      <c r="F84" s="52"/>
      <c r="G84" s="31"/>
    </row>
    <row r="85" spans="1:7" x14ac:dyDescent="0.25">
      <c r="A85" s="50"/>
      <c r="B85" s="50"/>
      <c r="C85" s="32" t="s">
        <v>62</v>
      </c>
      <c r="D85" s="42"/>
      <c r="E85" s="42"/>
      <c r="F85" s="52"/>
      <c r="G85" s="31"/>
    </row>
    <row r="86" spans="1:7" x14ac:dyDescent="0.25">
      <c r="A86" s="50"/>
      <c r="B86" s="50"/>
      <c r="C86" s="32" t="s">
        <v>63</v>
      </c>
      <c r="D86" s="42"/>
      <c r="E86" s="42"/>
      <c r="F86" s="52"/>
      <c r="G86" s="31"/>
    </row>
    <row r="87" spans="1:7" x14ac:dyDescent="0.25">
      <c r="A87" s="50"/>
      <c r="B87" s="50"/>
      <c r="C87" s="32" t="s">
        <v>64</v>
      </c>
      <c r="D87" s="42"/>
      <c r="E87" s="42"/>
      <c r="F87" s="52"/>
      <c r="G87" s="31"/>
    </row>
    <row r="88" spans="1:7" x14ac:dyDescent="0.25">
      <c r="A88" s="50"/>
      <c r="B88" s="50" t="s">
        <v>68</v>
      </c>
      <c r="C88" s="32" t="s">
        <v>29</v>
      </c>
      <c r="D88" s="42"/>
      <c r="E88" s="42"/>
      <c r="F88" s="52"/>
      <c r="G88" s="31"/>
    </row>
    <row r="89" spans="1:7" x14ac:dyDescent="0.25">
      <c r="A89" s="50"/>
      <c r="B89" s="50"/>
      <c r="C89" s="32" t="s">
        <v>30</v>
      </c>
      <c r="D89" s="42"/>
      <c r="E89" s="42"/>
      <c r="F89" s="52"/>
      <c r="G89" s="31"/>
    </row>
    <row r="90" spans="1:7" x14ac:dyDescent="0.25">
      <c r="A90" s="50"/>
      <c r="B90" s="50"/>
      <c r="C90" s="32" t="s">
        <v>31</v>
      </c>
      <c r="D90" s="42"/>
      <c r="E90" s="42"/>
      <c r="F90" s="52"/>
      <c r="G90" s="31"/>
    </row>
    <row r="91" spans="1:7" x14ac:dyDescent="0.25">
      <c r="A91" s="50"/>
      <c r="B91" s="50"/>
      <c r="C91" s="32" t="s">
        <v>32</v>
      </c>
      <c r="D91" s="42"/>
      <c r="E91" s="42"/>
      <c r="F91" s="52"/>
      <c r="G91" s="31"/>
    </row>
    <row r="92" spans="1:7" x14ac:dyDescent="0.25">
      <c r="A92" s="50"/>
      <c r="B92" s="50"/>
      <c r="C92" s="32" t="s">
        <v>33</v>
      </c>
      <c r="D92" s="42"/>
      <c r="E92" s="42"/>
      <c r="F92" s="52"/>
      <c r="G92" s="31"/>
    </row>
    <row r="93" spans="1:7" x14ac:dyDescent="0.25">
      <c r="A93" s="50"/>
      <c r="B93" s="50"/>
      <c r="C93" s="32" t="s">
        <v>34</v>
      </c>
      <c r="D93" s="42"/>
      <c r="E93" s="42"/>
      <c r="F93" s="52"/>
      <c r="G93" s="31"/>
    </row>
    <row r="94" spans="1:7" x14ac:dyDescent="0.25">
      <c r="A94" s="50"/>
      <c r="B94" s="50"/>
      <c r="C94" s="32" t="s">
        <v>35</v>
      </c>
      <c r="D94" s="42"/>
      <c r="E94" s="42"/>
      <c r="F94" s="52"/>
      <c r="G94" s="31"/>
    </row>
    <row r="95" spans="1:7" x14ac:dyDescent="0.25">
      <c r="A95" s="50"/>
      <c r="B95" s="50"/>
      <c r="C95" s="32" t="s">
        <v>36</v>
      </c>
      <c r="D95" s="42"/>
      <c r="E95" s="42"/>
      <c r="F95" s="52"/>
      <c r="G95" s="31"/>
    </row>
    <row r="96" spans="1:7" x14ac:dyDescent="0.25">
      <c r="A96" s="50"/>
      <c r="B96" s="50"/>
      <c r="C96" s="32" t="s">
        <v>37</v>
      </c>
      <c r="D96" s="42"/>
      <c r="E96" s="42"/>
      <c r="F96" s="52"/>
      <c r="G96" s="31"/>
    </row>
    <row r="97" spans="1:7" x14ac:dyDescent="0.25">
      <c r="A97" s="50"/>
      <c r="B97" s="50"/>
      <c r="C97" s="32" t="s">
        <v>38</v>
      </c>
      <c r="D97" s="42"/>
      <c r="E97" s="42"/>
      <c r="F97" s="52"/>
      <c r="G97" s="31"/>
    </row>
    <row r="98" spans="1:7" x14ac:dyDescent="0.25">
      <c r="A98" s="50"/>
      <c r="B98" s="50"/>
      <c r="C98" s="32" t="s">
        <v>39</v>
      </c>
      <c r="D98" s="42"/>
      <c r="E98" s="42"/>
      <c r="F98" s="52"/>
      <c r="G98" s="31"/>
    </row>
    <row r="99" spans="1:7" x14ac:dyDescent="0.25">
      <c r="A99" s="50"/>
      <c r="B99" s="50"/>
      <c r="C99" s="32" t="s">
        <v>40</v>
      </c>
      <c r="D99" s="42"/>
      <c r="E99" s="42"/>
      <c r="F99" s="52"/>
      <c r="G99" s="31"/>
    </row>
    <row r="100" spans="1:7" x14ac:dyDescent="0.25">
      <c r="A100" s="50"/>
      <c r="B100" s="50"/>
      <c r="C100" s="32" t="s">
        <v>41</v>
      </c>
      <c r="D100" s="42"/>
      <c r="E100" s="42"/>
      <c r="F100" s="52"/>
      <c r="G100" s="31"/>
    </row>
    <row r="101" spans="1:7" x14ac:dyDescent="0.25">
      <c r="A101" s="50"/>
      <c r="B101" s="50"/>
      <c r="C101" s="32" t="s">
        <v>59</v>
      </c>
      <c r="D101" s="42"/>
      <c r="E101" s="42"/>
      <c r="F101" s="52"/>
      <c r="G101" s="31"/>
    </row>
    <row r="102" spans="1:7" x14ac:dyDescent="0.25">
      <c r="A102" s="50"/>
      <c r="B102" s="50"/>
      <c r="C102" s="32" t="s">
        <v>42</v>
      </c>
      <c r="D102" s="42"/>
      <c r="E102" s="42"/>
      <c r="F102" s="52"/>
      <c r="G102" s="31"/>
    </row>
    <row r="103" spans="1:7" x14ac:dyDescent="0.25">
      <c r="A103" s="50"/>
      <c r="B103" s="50"/>
      <c r="C103" s="32" t="s">
        <v>43</v>
      </c>
      <c r="D103" s="42"/>
      <c r="E103" s="42"/>
      <c r="F103" s="52"/>
      <c r="G103" s="31"/>
    </row>
    <row r="104" spans="1:7" x14ac:dyDescent="0.25">
      <c r="A104" s="50"/>
      <c r="B104" s="50"/>
      <c r="C104" s="32" t="s">
        <v>44</v>
      </c>
      <c r="D104" s="42"/>
      <c r="E104" s="42"/>
      <c r="F104" s="52"/>
      <c r="G104" s="31"/>
    </row>
    <row r="105" spans="1:7" x14ac:dyDescent="0.25">
      <c r="A105" s="50"/>
      <c r="B105" s="50"/>
      <c r="C105" s="32" t="s">
        <v>45</v>
      </c>
      <c r="D105" s="42"/>
      <c r="E105" s="42"/>
      <c r="F105" s="52"/>
      <c r="G105" s="31"/>
    </row>
    <row r="106" spans="1:7" x14ac:dyDescent="0.25">
      <c r="A106" s="50"/>
      <c r="B106" s="50"/>
      <c r="C106" s="32" t="s">
        <v>46</v>
      </c>
      <c r="D106" s="42"/>
      <c r="E106" s="42"/>
      <c r="F106" s="52"/>
      <c r="G106" s="31"/>
    </row>
    <row r="107" spans="1:7" x14ac:dyDescent="0.25">
      <c r="A107" s="50"/>
      <c r="B107" s="50"/>
      <c r="C107" s="32" t="s">
        <v>47</v>
      </c>
      <c r="D107" s="42"/>
      <c r="E107" s="42"/>
      <c r="F107" s="52"/>
      <c r="G107" s="31"/>
    </row>
    <row r="108" spans="1:7" x14ac:dyDescent="0.25">
      <c r="A108" s="50"/>
      <c r="B108" s="50"/>
      <c r="C108" s="32" t="s">
        <v>48</v>
      </c>
      <c r="D108" s="42"/>
      <c r="E108" s="42"/>
      <c r="F108" s="52"/>
      <c r="G108" s="31"/>
    </row>
    <row r="109" spans="1:7" x14ac:dyDescent="0.25">
      <c r="A109" s="50"/>
      <c r="B109" s="50"/>
      <c r="C109" s="32" t="s">
        <v>49</v>
      </c>
      <c r="D109" s="42"/>
      <c r="E109" s="42"/>
      <c r="F109" s="52"/>
      <c r="G109" s="31"/>
    </row>
    <row r="110" spans="1:7" x14ac:dyDescent="0.25">
      <c r="A110" s="50"/>
      <c r="B110" s="50"/>
      <c r="C110" s="32" t="s">
        <v>50</v>
      </c>
      <c r="D110" s="42"/>
      <c r="E110" s="42"/>
      <c r="F110" s="52"/>
      <c r="G110" s="31"/>
    </row>
    <row r="111" spans="1:7" x14ac:dyDescent="0.25">
      <c r="A111" s="50"/>
      <c r="B111" s="50"/>
      <c r="C111" s="32" t="s">
        <v>51</v>
      </c>
      <c r="D111" s="42"/>
      <c r="E111" s="42"/>
      <c r="F111" s="52"/>
      <c r="G111" s="31"/>
    </row>
    <row r="112" spans="1:7" x14ac:dyDescent="0.25">
      <c r="A112" s="50"/>
      <c r="B112" s="50"/>
      <c r="C112" s="32" t="s">
        <v>52</v>
      </c>
      <c r="D112" s="42"/>
      <c r="E112" s="42"/>
      <c r="F112" s="52"/>
      <c r="G112" s="31"/>
    </row>
    <row r="113" spans="1:7" x14ac:dyDescent="0.25">
      <c r="A113" s="50"/>
      <c r="B113" s="50"/>
      <c r="C113" s="32" t="s">
        <v>53</v>
      </c>
      <c r="D113" s="42"/>
      <c r="E113" s="42"/>
      <c r="F113" s="52"/>
      <c r="G113" s="31"/>
    </row>
    <row r="114" spans="1:7" x14ac:dyDescent="0.25">
      <c r="A114" s="50"/>
      <c r="B114" s="50" t="s">
        <v>69</v>
      </c>
      <c r="C114" s="32" t="s">
        <v>29</v>
      </c>
      <c r="D114" s="42"/>
      <c r="E114" s="42"/>
      <c r="F114" s="52"/>
      <c r="G114" s="31"/>
    </row>
    <row r="115" spans="1:7" x14ac:dyDescent="0.25">
      <c r="A115" s="50"/>
      <c r="B115" s="50"/>
      <c r="C115" s="32" t="s">
        <v>30</v>
      </c>
      <c r="D115" s="42"/>
      <c r="E115" s="42"/>
      <c r="F115" s="52"/>
      <c r="G115" s="31"/>
    </row>
    <row r="116" spans="1:7" x14ac:dyDescent="0.25">
      <c r="A116" s="50"/>
      <c r="B116" s="50"/>
      <c r="C116" s="32" t="s">
        <v>31</v>
      </c>
      <c r="D116" s="42"/>
      <c r="E116" s="42"/>
      <c r="F116" s="52"/>
      <c r="G116" s="31"/>
    </row>
    <row r="117" spans="1:7" x14ac:dyDescent="0.25">
      <c r="A117" s="50"/>
      <c r="B117" s="50"/>
      <c r="C117" s="32" t="s">
        <v>32</v>
      </c>
      <c r="D117" s="42"/>
      <c r="E117" s="42"/>
      <c r="F117" s="52"/>
      <c r="G117" s="31"/>
    </row>
    <row r="118" spans="1:7" x14ac:dyDescent="0.25">
      <c r="A118" s="50"/>
      <c r="B118" s="50"/>
      <c r="C118" s="32" t="s">
        <v>33</v>
      </c>
      <c r="D118" s="42"/>
      <c r="E118" s="42"/>
      <c r="F118" s="52"/>
      <c r="G118" s="31"/>
    </row>
    <row r="119" spans="1:7" x14ac:dyDescent="0.25">
      <c r="A119" s="50"/>
      <c r="B119" s="50"/>
      <c r="C119" s="32" t="s">
        <v>34</v>
      </c>
      <c r="D119" s="42"/>
      <c r="E119" s="42"/>
      <c r="F119" s="52"/>
      <c r="G119" s="31"/>
    </row>
    <row r="120" spans="1:7" x14ac:dyDescent="0.25">
      <c r="A120" s="50"/>
      <c r="B120" s="50"/>
      <c r="C120" s="32" t="s">
        <v>35</v>
      </c>
      <c r="D120" s="42"/>
      <c r="E120" s="42"/>
      <c r="F120" s="52"/>
      <c r="G120" s="31"/>
    </row>
    <row r="121" spans="1:7" x14ac:dyDescent="0.25">
      <c r="A121" s="50"/>
      <c r="B121" s="50"/>
      <c r="C121" s="32" t="s">
        <v>36</v>
      </c>
      <c r="D121" s="42"/>
      <c r="E121" s="42"/>
      <c r="F121" s="52"/>
      <c r="G121" s="31"/>
    </row>
    <row r="122" spans="1:7" x14ac:dyDescent="0.25">
      <c r="A122" s="50"/>
      <c r="B122" s="50"/>
      <c r="C122" s="32" t="s">
        <v>37</v>
      </c>
      <c r="D122" s="42"/>
      <c r="E122" s="42"/>
      <c r="F122" s="52"/>
      <c r="G122" s="31"/>
    </row>
    <row r="123" spans="1:7" x14ac:dyDescent="0.25">
      <c r="A123" s="50"/>
      <c r="B123" s="50"/>
      <c r="C123" s="32" t="s">
        <v>38</v>
      </c>
      <c r="D123" s="42"/>
      <c r="E123" s="42"/>
      <c r="F123" s="52"/>
      <c r="G123" s="31"/>
    </row>
    <row r="124" spans="1:7" x14ac:dyDescent="0.25">
      <c r="A124" s="50"/>
      <c r="B124" s="50"/>
      <c r="C124" s="32" t="s">
        <v>39</v>
      </c>
      <c r="D124" s="42"/>
      <c r="E124" s="42"/>
      <c r="F124" s="52"/>
      <c r="G124" s="31"/>
    </row>
    <row r="125" spans="1:7" x14ac:dyDescent="0.25">
      <c r="A125" s="50"/>
      <c r="B125" s="50"/>
      <c r="C125" s="32" t="s">
        <v>40</v>
      </c>
      <c r="D125" s="42"/>
      <c r="E125" s="42"/>
      <c r="F125" s="52"/>
      <c r="G125" s="31"/>
    </row>
    <row r="126" spans="1:7" x14ac:dyDescent="0.25">
      <c r="A126" s="50"/>
      <c r="B126" s="50"/>
      <c r="C126" s="32" t="s">
        <v>41</v>
      </c>
      <c r="D126" s="42"/>
      <c r="E126" s="42"/>
      <c r="F126" s="52"/>
      <c r="G126" s="31"/>
    </row>
    <row r="127" spans="1:7" x14ac:dyDescent="0.25">
      <c r="A127" s="50"/>
      <c r="B127" s="50"/>
      <c r="C127" s="32" t="s">
        <v>59</v>
      </c>
      <c r="D127" s="42"/>
      <c r="E127" s="42"/>
      <c r="F127" s="52"/>
      <c r="G127" s="31"/>
    </row>
    <row r="128" spans="1:7" x14ac:dyDescent="0.25">
      <c r="A128" s="50"/>
      <c r="B128" s="50"/>
      <c r="C128" s="32" t="s">
        <v>42</v>
      </c>
      <c r="D128" s="42"/>
      <c r="E128" s="42"/>
      <c r="F128" s="52"/>
      <c r="G128" s="31"/>
    </row>
    <row r="129" spans="1:7" x14ac:dyDescent="0.25">
      <c r="A129" s="50"/>
      <c r="B129" s="50"/>
      <c r="C129" s="32" t="s">
        <v>43</v>
      </c>
      <c r="D129" s="42"/>
      <c r="E129" s="42"/>
      <c r="F129" s="52"/>
      <c r="G129" s="31"/>
    </row>
    <row r="130" spans="1:7" x14ac:dyDescent="0.25">
      <c r="A130" s="50"/>
      <c r="B130" s="50"/>
      <c r="C130" s="32" t="s">
        <v>44</v>
      </c>
      <c r="D130" s="42"/>
      <c r="E130" s="42"/>
      <c r="F130" s="52"/>
      <c r="G130" s="31"/>
    </row>
    <row r="131" spans="1:7" x14ac:dyDescent="0.25">
      <c r="A131" s="50"/>
      <c r="B131" s="50"/>
      <c r="C131" s="32" t="s">
        <v>45</v>
      </c>
      <c r="D131" s="42"/>
      <c r="E131" s="42"/>
      <c r="F131" s="52"/>
      <c r="G131" s="31"/>
    </row>
    <row r="132" spans="1:7" x14ac:dyDescent="0.25">
      <c r="A132" s="50"/>
      <c r="B132" s="50"/>
      <c r="C132" s="32" t="s">
        <v>46</v>
      </c>
      <c r="D132" s="42"/>
      <c r="E132" s="42"/>
      <c r="F132" s="52"/>
      <c r="G132" s="31"/>
    </row>
    <row r="133" spans="1:7" x14ac:dyDescent="0.25">
      <c r="A133" s="50"/>
      <c r="B133" s="50"/>
      <c r="C133" s="32" t="s">
        <v>47</v>
      </c>
      <c r="D133" s="42"/>
      <c r="E133" s="42"/>
      <c r="F133" s="52"/>
      <c r="G133" s="31"/>
    </row>
    <row r="134" spans="1:7" x14ac:dyDescent="0.25">
      <c r="A134" s="50"/>
      <c r="B134" s="50"/>
      <c r="C134" s="32" t="s">
        <v>48</v>
      </c>
      <c r="D134" s="42"/>
      <c r="E134" s="42"/>
      <c r="F134" s="52"/>
      <c r="G134" s="31"/>
    </row>
    <row r="135" spans="1:7" x14ac:dyDescent="0.25">
      <c r="A135" s="50"/>
      <c r="B135" s="50"/>
      <c r="C135" s="32" t="s">
        <v>49</v>
      </c>
      <c r="D135" s="42"/>
      <c r="E135" s="42"/>
      <c r="F135" s="52"/>
      <c r="G135" s="31"/>
    </row>
    <row r="136" spans="1:7" x14ac:dyDescent="0.25">
      <c r="A136" s="50"/>
      <c r="B136" s="50"/>
      <c r="C136" s="32" t="s">
        <v>50</v>
      </c>
      <c r="D136" s="42"/>
      <c r="E136" s="42"/>
      <c r="F136" s="52"/>
      <c r="G136" s="31"/>
    </row>
    <row r="137" spans="1:7" x14ac:dyDescent="0.25">
      <c r="A137" s="50"/>
      <c r="B137" s="50"/>
      <c r="C137" s="32" t="s">
        <v>51</v>
      </c>
      <c r="D137" s="42"/>
      <c r="E137" s="42"/>
      <c r="F137" s="52"/>
      <c r="G137" s="31"/>
    </row>
    <row r="138" spans="1:7" x14ac:dyDescent="0.25">
      <c r="A138" s="50"/>
      <c r="B138" s="50"/>
      <c r="C138" s="32" t="s">
        <v>52</v>
      </c>
      <c r="D138" s="42"/>
      <c r="E138" s="42"/>
      <c r="F138" s="52"/>
      <c r="G138" s="31"/>
    </row>
    <row r="139" spans="1:7" x14ac:dyDescent="0.25">
      <c r="A139" s="50"/>
      <c r="B139" s="50"/>
      <c r="C139" s="32" t="s">
        <v>53</v>
      </c>
      <c r="D139" s="42"/>
      <c r="E139" s="42"/>
      <c r="F139" s="52"/>
      <c r="G139" s="31"/>
    </row>
    <row r="140" spans="1:7" x14ac:dyDescent="0.25">
      <c r="A140" s="50"/>
      <c r="B140" s="50" t="s">
        <v>70</v>
      </c>
      <c r="C140" s="32" t="s">
        <v>55</v>
      </c>
      <c r="D140" s="42"/>
      <c r="E140" s="42"/>
      <c r="F140" s="52"/>
      <c r="G140" s="31"/>
    </row>
    <row r="141" spans="1:7" x14ac:dyDescent="0.25">
      <c r="A141" s="50"/>
      <c r="B141" s="50"/>
      <c r="C141" s="32" t="s">
        <v>56</v>
      </c>
      <c r="D141" s="42"/>
      <c r="E141" s="42"/>
      <c r="F141" s="52"/>
      <c r="G141" s="31"/>
    </row>
    <row r="142" spans="1:7" x14ac:dyDescent="0.25">
      <c r="A142" s="50"/>
      <c r="B142" s="50"/>
      <c r="C142" s="32" t="s">
        <v>57</v>
      </c>
      <c r="D142" s="42"/>
      <c r="E142" s="42"/>
      <c r="F142" s="52"/>
      <c r="G142" s="31"/>
    </row>
    <row r="143" spans="1:7" x14ac:dyDescent="0.25">
      <c r="A143" s="50"/>
      <c r="B143" s="50"/>
      <c r="C143" s="32" t="s">
        <v>58</v>
      </c>
      <c r="D143" s="42"/>
      <c r="E143" s="42"/>
      <c r="F143" s="52"/>
      <c r="G143" s="31"/>
    </row>
    <row r="144" spans="1:7" x14ac:dyDescent="0.25">
      <c r="A144" s="50"/>
      <c r="B144" s="50"/>
      <c r="C144" s="32" t="s">
        <v>59</v>
      </c>
      <c r="D144" s="42"/>
      <c r="E144" s="42"/>
      <c r="F144" s="52"/>
      <c r="G144" s="31"/>
    </row>
    <row r="145" spans="1:7" x14ac:dyDescent="0.25">
      <c r="A145" s="50"/>
      <c r="B145" s="50"/>
      <c r="C145" s="32" t="s">
        <v>60</v>
      </c>
      <c r="D145" s="42"/>
      <c r="E145" s="42"/>
      <c r="F145" s="52"/>
      <c r="G145" s="31"/>
    </row>
    <row r="146" spans="1:7" x14ac:dyDescent="0.25">
      <c r="A146" s="50"/>
      <c r="B146" s="50"/>
      <c r="C146" s="32" t="s">
        <v>61</v>
      </c>
      <c r="D146" s="42"/>
      <c r="E146" s="42"/>
      <c r="F146" s="52"/>
      <c r="G146" s="31"/>
    </row>
    <row r="147" spans="1:7" x14ac:dyDescent="0.25">
      <c r="A147" s="50"/>
      <c r="B147" s="50"/>
      <c r="C147" s="32" t="s">
        <v>62</v>
      </c>
      <c r="D147" s="42"/>
      <c r="E147" s="42"/>
      <c r="F147" s="52"/>
      <c r="G147" s="31"/>
    </row>
    <row r="148" spans="1:7" x14ac:dyDescent="0.25">
      <c r="A148" s="50"/>
      <c r="B148" s="50"/>
      <c r="C148" s="32" t="s">
        <v>63</v>
      </c>
      <c r="D148" s="42"/>
      <c r="E148" s="42"/>
      <c r="F148" s="52"/>
      <c r="G148" s="31"/>
    </row>
    <row r="149" spans="1:7" x14ac:dyDescent="0.25">
      <c r="A149" s="50"/>
      <c r="B149" s="50"/>
      <c r="C149" s="32" t="s">
        <v>64</v>
      </c>
      <c r="D149" s="42"/>
      <c r="E149" s="42"/>
      <c r="F149" s="52"/>
      <c r="G149" s="31"/>
    </row>
    <row r="150" spans="1:7" x14ac:dyDescent="0.25">
      <c r="A150" s="50"/>
      <c r="B150" s="48" t="s">
        <v>81</v>
      </c>
      <c r="C150" s="32" t="s">
        <v>57</v>
      </c>
      <c r="D150" s="42"/>
      <c r="E150" s="42"/>
      <c r="F150" s="52"/>
      <c r="G150" s="31"/>
    </row>
    <row r="151" spans="1:7" x14ac:dyDescent="0.25">
      <c r="A151" s="50"/>
      <c r="B151" s="48"/>
      <c r="C151" s="29" t="s">
        <v>82</v>
      </c>
      <c r="D151" s="42"/>
      <c r="E151" s="42"/>
      <c r="F151" s="52"/>
      <c r="G151" s="31"/>
    </row>
    <row r="152" spans="1:7" x14ac:dyDescent="0.25">
      <c r="A152" s="50"/>
      <c r="B152" s="49" t="s">
        <v>76</v>
      </c>
      <c r="C152" s="32" t="s">
        <v>77</v>
      </c>
      <c r="D152" s="42"/>
      <c r="E152" s="42"/>
      <c r="F152" s="52"/>
      <c r="G152" s="31"/>
    </row>
    <row r="153" spans="1:7" x14ac:dyDescent="0.25">
      <c r="A153" s="50"/>
      <c r="B153" s="49"/>
      <c r="C153" s="32" t="s">
        <v>78</v>
      </c>
      <c r="D153" s="42"/>
      <c r="E153" s="42"/>
      <c r="F153" s="52"/>
      <c r="G153" s="31"/>
    </row>
    <row r="154" spans="1:7" x14ac:dyDescent="0.25">
      <c r="A154" s="50"/>
      <c r="B154" s="49"/>
      <c r="C154" s="32" t="s">
        <v>79</v>
      </c>
      <c r="D154" s="42"/>
      <c r="E154" s="42"/>
      <c r="F154" s="52"/>
      <c r="G154" s="31"/>
    </row>
    <row r="155" spans="1:7" x14ac:dyDescent="0.25">
      <c r="A155" s="50"/>
      <c r="B155" s="49" t="s">
        <v>80</v>
      </c>
      <c r="C155" s="32" t="s">
        <v>77</v>
      </c>
      <c r="D155" s="42"/>
      <c r="E155" s="42"/>
      <c r="F155" s="52"/>
      <c r="G155" s="31"/>
    </row>
    <row r="156" spans="1:7" x14ac:dyDescent="0.25">
      <c r="A156" s="50"/>
      <c r="B156" s="49"/>
      <c r="C156" s="32" t="s">
        <v>78</v>
      </c>
      <c r="D156" s="42"/>
      <c r="E156" s="42"/>
      <c r="F156" s="52"/>
      <c r="G156" s="31"/>
    </row>
    <row r="157" spans="1:7" x14ac:dyDescent="0.25">
      <c r="A157" s="50"/>
      <c r="B157" s="49"/>
      <c r="C157" s="32" t="s">
        <v>79</v>
      </c>
      <c r="D157" s="42"/>
      <c r="E157" s="42"/>
      <c r="F157" s="53"/>
      <c r="G157" s="31"/>
    </row>
    <row r="160" spans="1:7" x14ac:dyDescent="0.25">
      <c r="D160" s="35"/>
    </row>
  </sheetData>
  <autoFilter ref="A1:G157"/>
  <mergeCells count="25">
    <mergeCell ref="A2:A5"/>
    <mergeCell ref="B2:B5"/>
    <mergeCell ref="F2:F5"/>
    <mergeCell ref="A8:A11"/>
    <mergeCell ref="B8:B11"/>
    <mergeCell ref="F8:F11"/>
    <mergeCell ref="A12:A16"/>
    <mergeCell ref="B12:B16"/>
    <mergeCell ref="F12:F16"/>
    <mergeCell ref="A17:A19"/>
    <mergeCell ref="B17:B19"/>
    <mergeCell ref="F17:F19"/>
    <mergeCell ref="B150:B151"/>
    <mergeCell ref="B152:B154"/>
    <mergeCell ref="B155:B157"/>
    <mergeCell ref="A22:A157"/>
    <mergeCell ref="F22:F157"/>
    <mergeCell ref="B23:B47"/>
    <mergeCell ref="B48:B57"/>
    <mergeCell ref="B58:B67"/>
    <mergeCell ref="B68:B77"/>
    <mergeCell ref="B78:B87"/>
    <mergeCell ref="B88:B113"/>
    <mergeCell ref="B114:B139"/>
    <mergeCell ref="B140:B149"/>
  </mergeCells>
  <dataValidations count="3">
    <dataValidation type="list" allowBlank="1" showInputMessage="1" showErrorMessage="1" sqref="D2:D157">
      <formula1>"Yes, No, In progress"</formula1>
    </dataValidation>
    <dataValidation type="list" allowBlank="1" showInputMessage="1" showErrorMessage="1" sqref="E2:E157">
      <formula1>"Passed, Failed, Deferred, Not Applicable"</formula1>
    </dataValidation>
    <dataValidation type="list" allowBlank="1" showInputMessage="1" showErrorMessage="1" sqref="F17:F18 F20:F22 F12 F6:F10 F2:F4">
      <formula1>"Yes, Partially, No"</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topLeftCell="A13" workbookViewId="0">
      <selection activeCell="E54" sqref="E2:F54"/>
    </sheetView>
  </sheetViews>
  <sheetFormatPr defaultRowHeight="12.75" x14ac:dyDescent="0.2"/>
  <cols>
    <col min="1" max="1" width="29.140625" customWidth="1"/>
    <col min="2" max="2" width="31.28515625" bestFit="1" customWidth="1"/>
    <col min="3" max="3" width="110" customWidth="1"/>
    <col min="4" max="4" width="29.28515625" customWidth="1"/>
    <col min="5" max="5" width="10.5703125" bestFit="1" customWidth="1"/>
    <col min="6" max="6" width="15.7109375" customWidth="1"/>
    <col min="7" max="7" width="11" bestFit="1" customWidth="1"/>
    <col min="8" max="8" width="10.5703125" bestFit="1" customWidth="1"/>
  </cols>
  <sheetData>
    <row r="1" spans="1:8" ht="15" x14ac:dyDescent="0.25">
      <c r="A1" s="24" t="s">
        <v>111</v>
      </c>
      <c r="B1" s="24" t="s">
        <v>4</v>
      </c>
      <c r="C1" s="25" t="s">
        <v>0</v>
      </c>
      <c r="D1" s="24" t="s">
        <v>5</v>
      </c>
      <c r="E1" s="26" t="s">
        <v>6</v>
      </c>
      <c r="F1" s="26" t="s">
        <v>1</v>
      </c>
      <c r="G1" s="26" t="s">
        <v>7</v>
      </c>
      <c r="H1" s="27" t="s">
        <v>23</v>
      </c>
    </row>
    <row r="2" spans="1:8" ht="30.75" customHeight="1" x14ac:dyDescent="0.25">
      <c r="A2" s="57" t="s">
        <v>28</v>
      </c>
      <c r="B2" s="57" t="s">
        <v>99</v>
      </c>
      <c r="C2" s="57" t="s">
        <v>120</v>
      </c>
      <c r="D2" s="29" t="s">
        <v>108</v>
      </c>
      <c r="E2" s="38"/>
      <c r="F2" s="42"/>
      <c r="G2" s="51" t="s">
        <v>3</v>
      </c>
      <c r="H2" s="31"/>
    </row>
    <row r="3" spans="1:8" ht="36" customHeight="1" x14ac:dyDescent="0.25">
      <c r="A3" s="61"/>
      <c r="B3" s="67"/>
      <c r="C3" s="67"/>
      <c r="D3" s="29" t="s">
        <v>72</v>
      </c>
      <c r="E3" s="38"/>
      <c r="F3" s="42"/>
      <c r="G3" s="53"/>
      <c r="H3" s="31"/>
    </row>
    <row r="4" spans="1:8" ht="15" customHeight="1" x14ac:dyDescent="0.25">
      <c r="A4" s="61"/>
      <c r="B4" s="48" t="s">
        <v>100</v>
      </c>
      <c r="C4" s="48" t="s">
        <v>101</v>
      </c>
      <c r="D4" s="29" t="s">
        <v>108</v>
      </c>
      <c r="E4" s="38"/>
      <c r="F4" s="42"/>
      <c r="G4" s="66" t="s">
        <v>3</v>
      </c>
      <c r="H4" s="31"/>
    </row>
    <row r="5" spans="1:8" ht="15" x14ac:dyDescent="0.25">
      <c r="A5" s="61"/>
      <c r="B5" s="48"/>
      <c r="C5" s="48"/>
      <c r="D5" s="29" t="s">
        <v>72</v>
      </c>
      <c r="E5" s="38"/>
      <c r="F5" s="42"/>
      <c r="G5" s="66"/>
      <c r="H5" s="31"/>
    </row>
    <row r="6" spans="1:8" ht="15" x14ac:dyDescent="0.25">
      <c r="A6" s="61"/>
      <c r="B6" s="48"/>
      <c r="C6" s="37" t="s">
        <v>102</v>
      </c>
      <c r="D6" s="29" t="s">
        <v>108</v>
      </c>
      <c r="E6" s="38"/>
      <c r="F6" s="42"/>
      <c r="G6" s="66"/>
      <c r="H6" s="31"/>
    </row>
    <row r="7" spans="1:8" ht="30" x14ac:dyDescent="0.25">
      <c r="A7" s="61"/>
      <c r="B7" s="48"/>
      <c r="C7" s="37" t="s">
        <v>103</v>
      </c>
      <c r="D7" s="29" t="s">
        <v>71</v>
      </c>
      <c r="E7" s="38"/>
      <c r="F7" s="42"/>
      <c r="G7" s="66"/>
      <c r="H7" s="31"/>
    </row>
    <row r="8" spans="1:8" ht="15" x14ac:dyDescent="0.25">
      <c r="A8" s="61"/>
      <c r="B8" s="37" t="s">
        <v>104</v>
      </c>
      <c r="C8" s="37" t="s">
        <v>105</v>
      </c>
      <c r="D8" s="29" t="s">
        <v>71</v>
      </c>
      <c r="E8" s="38"/>
      <c r="F8" s="42"/>
      <c r="G8" s="30" t="s">
        <v>3</v>
      </c>
      <c r="H8" s="31"/>
    </row>
    <row r="9" spans="1:8" ht="15" x14ac:dyDescent="0.25">
      <c r="A9" s="61"/>
      <c r="B9" s="57" t="s">
        <v>106</v>
      </c>
      <c r="C9" s="48" t="s">
        <v>109</v>
      </c>
      <c r="D9" s="29" t="s">
        <v>108</v>
      </c>
      <c r="E9" s="38"/>
      <c r="F9" s="42"/>
      <c r="G9" s="51" t="s">
        <v>3</v>
      </c>
      <c r="H9" s="31"/>
    </row>
    <row r="10" spans="1:8" ht="15" x14ac:dyDescent="0.25">
      <c r="A10" s="61"/>
      <c r="B10" s="61"/>
      <c r="C10" s="48"/>
      <c r="D10" s="29" t="s">
        <v>72</v>
      </c>
      <c r="E10" s="38"/>
      <c r="F10" s="42"/>
      <c r="G10" s="52"/>
      <c r="H10" s="31"/>
    </row>
    <row r="11" spans="1:8" ht="15" x14ac:dyDescent="0.25">
      <c r="A11" s="61"/>
      <c r="B11" s="61"/>
      <c r="C11" s="57" t="s">
        <v>110</v>
      </c>
      <c r="D11" s="29" t="s">
        <v>108</v>
      </c>
      <c r="E11" s="38"/>
      <c r="F11" s="42"/>
      <c r="G11" s="52"/>
      <c r="H11" s="31"/>
    </row>
    <row r="12" spans="1:8" ht="15" x14ac:dyDescent="0.25">
      <c r="A12" s="61"/>
      <c r="B12" s="67"/>
      <c r="C12" s="67"/>
      <c r="D12" s="29" t="s">
        <v>72</v>
      </c>
      <c r="E12" s="38"/>
      <c r="F12" s="42"/>
      <c r="G12" s="53"/>
      <c r="H12" s="31"/>
    </row>
    <row r="13" spans="1:8" ht="15" x14ac:dyDescent="0.25">
      <c r="A13" s="61"/>
      <c r="B13" s="48" t="s">
        <v>17</v>
      </c>
      <c r="C13" s="48" t="s">
        <v>107</v>
      </c>
      <c r="D13" s="29" t="s">
        <v>108</v>
      </c>
      <c r="E13" s="38"/>
      <c r="F13" s="42"/>
      <c r="G13" s="66" t="s">
        <v>3</v>
      </c>
      <c r="H13" s="31"/>
    </row>
    <row r="14" spans="1:8" ht="15" x14ac:dyDescent="0.25">
      <c r="A14" s="61"/>
      <c r="B14" s="48"/>
      <c r="C14" s="48"/>
      <c r="D14" s="29" t="s">
        <v>72</v>
      </c>
      <c r="E14" s="38"/>
      <c r="F14" s="42"/>
      <c r="G14" s="66"/>
      <c r="H14" s="31"/>
    </row>
    <row r="15" spans="1:8" ht="15" x14ac:dyDescent="0.25">
      <c r="A15" s="61"/>
      <c r="B15" s="64" t="s">
        <v>15</v>
      </c>
      <c r="C15" s="65" t="s">
        <v>118</v>
      </c>
      <c r="D15" s="29" t="s">
        <v>72</v>
      </c>
      <c r="E15" s="38"/>
      <c r="F15" s="42"/>
      <c r="G15" s="66" t="s">
        <v>3</v>
      </c>
      <c r="H15" s="31"/>
    </row>
    <row r="16" spans="1:8" ht="15" x14ac:dyDescent="0.25">
      <c r="A16" s="61"/>
      <c r="B16" s="64"/>
      <c r="C16" s="65"/>
      <c r="D16" s="29" t="s">
        <v>71</v>
      </c>
      <c r="E16" s="38"/>
      <c r="F16" s="42"/>
      <c r="G16" s="66"/>
      <c r="H16" s="31"/>
    </row>
    <row r="17" spans="1:8" ht="15" x14ac:dyDescent="0.25">
      <c r="A17" s="61"/>
      <c r="B17" s="64"/>
      <c r="C17" s="65"/>
      <c r="D17" s="29" t="s">
        <v>73</v>
      </c>
      <c r="E17" s="38"/>
      <c r="F17" s="42"/>
      <c r="G17" s="66"/>
      <c r="H17" s="31"/>
    </row>
    <row r="18" spans="1:8" ht="15" x14ac:dyDescent="0.25">
      <c r="A18" s="67"/>
      <c r="B18" s="64"/>
      <c r="C18" s="65"/>
      <c r="D18" s="29" t="s">
        <v>75</v>
      </c>
      <c r="E18" s="43"/>
      <c r="F18" s="43"/>
      <c r="G18" s="66"/>
      <c r="H18" s="31"/>
    </row>
    <row r="20" spans="1:8" ht="15" x14ac:dyDescent="0.25">
      <c r="A20" s="57" t="s">
        <v>76</v>
      </c>
      <c r="B20" s="57" t="s">
        <v>99</v>
      </c>
      <c r="C20" s="57" t="s">
        <v>120</v>
      </c>
      <c r="D20" s="29" t="s">
        <v>108</v>
      </c>
      <c r="E20" s="38"/>
      <c r="F20" s="42"/>
      <c r="G20" s="51" t="s">
        <v>3</v>
      </c>
      <c r="H20" s="31"/>
    </row>
    <row r="21" spans="1:8" ht="15" x14ac:dyDescent="0.25">
      <c r="A21" s="61"/>
      <c r="B21" s="67"/>
      <c r="C21" s="67"/>
      <c r="D21" s="29" t="s">
        <v>72</v>
      </c>
      <c r="E21" s="38"/>
      <c r="F21" s="42"/>
      <c r="G21" s="53"/>
      <c r="H21" s="31"/>
    </row>
    <row r="22" spans="1:8" ht="15" x14ac:dyDescent="0.25">
      <c r="A22" s="61"/>
      <c r="B22" s="48" t="s">
        <v>100</v>
      </c>
      <c r="C22" s="48" t="s">
        <v>101</v>
      </c>
      <c r="D22" s="29" t="s">
        <v>108</v>
      </c>
      <c r="E22" s="38"/>
      <c r="F22" s="42"/>
      <c r="G22" s="66" t="s">
        <v>3</v>
      </c>
      <c r="H22" s="31"/>
    </row>
    <row r="23" spans="1:8" ht="15" x14ac:dyDescent="0.25">
      <c r="A23" s="61"/>
      <c r="B23" s="48"/>
      <c r="C23" s="48"/>
      <c r="D23" s="29" t="s">
        <v>72</v>
      </c>
      <c r="E23" s="38"/>
      <c r="F23" s="42"/>
      <c r="G23" s="66"/>
      <c r="H23" s="31"/>
    </row>
    <row r="24" spans="1:8" ht="15" x14ac:dyDescent="0.25">
      <c r="A24" s="61"/>
      <c r="B24" s="48"/>
      <c r="C24" s="37" t="s">
        <v>102</v>
      </c>
      <c r="D24" s="29" t="s">
        <v>108</v>
      </c>
      <c r="E24" s="38"/>
      <c r="F24" s="42"/>
      <c r="G24" s="66"/>
      <c r="H24" s="31"/>
    </row>
    <row r="25" spans="1:8" ht="30" x14ac:dyDescent="0.25">
      <c r="A25" s="61"/>
      <c r="B25" s="48"/>
      <c r="C25" s="37" t="s">
        <v>103</v>
      </c>
      <c r="D25" s="29" t="s">
        <v>71</v>
      </c>
      <c r="E25" s="38"/>
      <c r="F25" s="42"/>
      <c r="G25" s="66"/>
      <c r="H25" s="31"/>
    </row>
    <row r="26" spans="1:8" ht="15" x14ac:dyDescent="0.25">
      <c r="A26" s="61"/>
      <c r="B26" s="37" t="s">
        <v>104</v>
      </c>
      <c r="C26" s="37" t="s">
        <v>105</v>
      </c>
      <c r="D26" s="29" t="s">
        <v>71</v>
      </c>
      <c r="E26" s="38"/>
      <c r="F26" s="42"/>
      <c r="G26" s="30" t="s">
        <v>3</v>
      </c>
      <c r="H26" s="31"/>
    </row>
    <row r="27" spans="1:8" ht="15" x14ac:dyDescent="0.25">
      <c r="A27" s="61"/>
      <c r="B27" s="57" t="s">
        <v>106</v>
      </c>
      <c r="C27" s="48" t="s">
        <v>109</v>
      </c>
      <c r="D27" s="29" t="s">
        <v>108</v>
      </c>
      <c r="E27" s="38"/>
      <c r="F27" s="42"/>
      <c r="G27" s="51" t="s">
        <v>3</v>
      </c>
      <c r="H27" s="31"/>
    </row>
    <row r="28" spans="1:8" ht="15" x14ac:dyDescent="0.25">
      <c r="A28" s="61"/>
      <c r="B28" s="61"/>
      <c r="C28" s="48"/>
      <c r="D28" s="29" t="s">
        <v>72</v>
      </c>
      <c r="E28" s="38"/>
      <c r="F28" s="42"/>
      <c r="G28" s="52"/>
      <c r="H28" s="31"/>
    </row>
    <row r="29" spans="1:8" ht="15" x14ac:dyDescent="0.25">
      <c r="A29" s="61"/>
      <c r="B29" s="61"/>
      <c r="C29" s="57" t="s">
        <v>110</v>
      </c>
      <c r="D29" s="29" t="s">
        <v>108</v>
      </c>
      <c r="E29" s="38"/>
      <c r="F29" s="42"/>
      <c r="G29" s="52"/>
      <c r="H29" s="31"/>
    </row>
    <row r="30" spans="1:8" ht="15" x14ac:dyDescent="0.25">
      <c r="A30" s="61"/>
      <c r="B30" s="67"/>
      <c r="C30" s="67"/>
      <c r="D30" s="29" t="s">
        <v>72</v>
      </c>
      <c r="E30" s="38"/>
      <c r="F30" s="42"/>
      <c r="G30" s="53"/>
      <c r="H30" s="31"/>
    </row>
    <row r="31" spans="1:8" ht="15" x14ac:dyDescent="0.25">
      <c r="A31" s="61"/>
      <c r="B31" s="48" t="s">
        <v>17</v>
      </c>
      <c r="C31" s="48" t="s">
        <v>107</v>
      </c>
      <c r="D31" s="29" t="s">
        <v>108</v>
      </c>
      <c r="E31" s="38"/>
      <c r="F31" s="42"/>
      <c r="G31" s="66" t="s">
        <v>3</v>
      </c>
      <c r="H31" s="31"/>
    </row>
    <row r="32" spans="1:8" ht="15" x14ac:dyDescent="0.25">
      <c r="A32" s="61"/>
      <c r="B32" s="48"/>
      <c r="C32" s="48"/>
      <c r="D32" s="29" t="s">
        <v>72</v>
      </c>
      <c r="E32" s="38"/>
      <c r="F32" s="42"/>
      <c r="G32" s="66"/>
      <c r="H32" s="31"/>
    </row>
    <row r="33" spans="1:8" ht="15" x14ac:dyDescent="0.25">
      <c r="A33" s="61"/>
      <c r="B33" s="64" t="s">
        <v>15</v>
      </c>
      <c r="C33" s="65" t="s">
        <v>118</v>
      </c>
      <c r="D33" s="29" t="s">
        <v>72</v>
      </c>
      <c r="E33" s="38"/>
      <c r="F33" s="42"/>
      <c r="G33" s="66" t="s">
        <v>3</v>
      </c>
      <c r="H33" s="31"/>
    </row>
    <row r="34" spans="1:8" ht="15" x14ac:dyDescent="0.25">
      <c r="A34" s="61"/>
      <c r="B34" s="64"/>
      <c r="C34" s="65"/>
      <c r="D34" s="29" t="s">
        <v>71</v>
      </c>
      <c r="E34" s="38"/>
      <c r="F34" s="42"/>
      <c r="G34" s="66"/>
      <c r="H34" s="31"/>
    </row>
    <row r="35" spans="1:8" ht="15" x14ac:dyDescent="0.25">
      <c r="A35" s="61"/>
      <c r="B35" s="64"/>
      <c r="C35" s="65"/>
      <c r="D35" s="29" t="s">
        <v>73</v>
      </c>
      <c r="E35" s="38"/>
      <c r="F35" s="42"/>
      <c r="G35" s="66"/>
      <c r="H35" s="31"/>
    </row>
    <row r="36" spans="1:8" ht="15" x14ac:dyDescent="0.25">
      <c r="A36" s="67"/>
      <c r="B36" s="64"/>
      <c r="C36" s="65"/>
      <c r="D36" s="29" t="s">
        <v>75</v>
      </c>
      <c r="E36" s="43"/>
      <c r="F36" s="43"/>
      <c r="G36" s="66"/>
      <c r="H36" s="31"/>
    </row>
    <row r="38" spans="1:8" ht="15" x14ac:dyDescent="0.25">
      <c r="A38" s="57" t="s">
        <v>122</v>
      </c>
      <c r="B38" s="57" t="s">
        <v>99</v>
      </c>
      <c r="C38" s="57" t="s">
        <v>120</v>
      </c>
      <c r="D38" s="29" t="s">
        <v>108</v>
      </c>
      <c r="E38" s="38"/>
      <c r="F38" s="42"/>
      <c r="G38" s="51" t="s">
        <v>3</v>
      </c>
      <c r="H38" s="31"/>
    </row>
    <row r="39" spans="1:8" ht="15" x14ac:dyDescent="0.25">
      <c r="A39" s="61"/>
      <c r="B39" s="67"/>
      <c r="C39" s="67"/>
      <c r="D39" s="29" t="s">
        <v>72</v>
      </c>
      <c r="E39" s="38"/>
      <c r="F39" s="42"/>
      <c r="G39" s="53"/>
      <c r="H39" s="31"/>
    </row>
    <row r="40" spans="1:8" ht="15" x14ac:dyDescent="0.25">
      <c r="A40" s="61"/>
      <c r="B40" s="48" t="s">
        <v>100</v>
      </c>
      <c r="C40" s="48" t="s">
        <v>101</v>
      </c>
      <c r="D40" s="29" t="s">
        <v>108</v>
      </c>
      <c r="E40" s="38"/>
      <c r="F40" s="42"/>
      <c r="G40" s="66" t="s">
        <v>3</v>
      </c>
      <c r="H40" s="31"/>
    </row>
    <row r="41" spans="1:8" ht="15" x14ac:dyDescent="0.25">
      <c r="A41" s="61"/>
      <c r="B41" s="48"/>
      <c r="C41" s="48"/>
      <c r="D41" s="29" t="s">
        <v>72</v>
      </c>
      <c r="E41" s="38"/>
      <c r="F41" s="42"/>
      <c r="G41" s="66"/>
      <c r="H41" s="31"/>
    </row>
    <row r="42" spans="1:8" ht="15" x14ac:dyDescent="0.25">
      <c r="A42" s="61"/>
      <c r="B42" s="48"/>
      <c r="C42" s="37" t="s">
        <v>102</v>
      </c>
      <c r="D42" s="29" t="s">
        <v>108</v>
      </c>
      <c r="E42" s="38"/>
      <c r="F42" s="42"/>
      <c r="G42" s="66"/>
      <c r="H42" s="31"/>
    </row>
    <row r="43" spans="1:8" ht="30" x14ac:dyDescent="0.25">
      <c r="A43" s="61"/>
      <c r="B43" s="48"/>
      <c r="C43" s="37" t="s">
        <v>103</v>
      </c>
      <c r="D43" s="29" t="s">
        <v>71</v>
      </c>
      <c r="E43" s="38"/>
      <c r="F43" s="42"/>
      <c r="G43" s="66"/>
      <c r="H43" s="31"/>
    </row>
    <row r="44" spans="1:8" ht="15" x14ac:dyDescent="0.25">
      <c r="A44" s="61"/>
      <c r="B44" s="37" t="s">
        <v>104</v>
      </c>
      <c r="C44" s="37" t="s">
        <v>105</v>
      </c>
      <c r="D44" s="29" t="s">
        <v>71</v>
      </c>
      <c r="E44" s="38"/>
      <c r="F44" s="42"/>
      <c r="G44" s="30" t="s">
        <v>3</v>
      </c>
      <c r="H44" s="31"/>
    </row>
    <row r="45" spans="1:8" ht="15" x14ac:dyDescent="0.25">
      <c r="A45" s="61"/>
      <c r="B45" s="57" t="s">
        <v>106</v>
      </c>
      <c r="C45" s="48" t="s">
        <v>109</v>
      </c>
      <c r="D45" s="29" t="s">
        <v>108</v>
      </c>
      <c r="E45" s="38"/>
      <c r="F45" s="42"/>
      <c r="G45" s="51" t="s">
        <v>3</v>
      </c>
      <c r="H45" s="31"/>
    </row>
    <row r="46" spans="1:8" ht="15" x14ac:dyDescent="0.25">
      <c r="A46" s="61"/>
      <c r="B46" s="61"/>
      <c r="C46" s="48"/>
      <c r="D46" s="29" t="s">
        <v>72</v>
      </c>
      <c r="E46" s="38"/>
      <c r="F46" s="42"/>
      <c r="G46" s="52"/>
      <c r="H46" s="31"/>
    </row>
    <row r="47" spans="1:8" ht="15" x14ac:dyDescent="0.25">
      <c r="A47" s="61"/>
      <c r="B47" s="61"/>
      <c r="C47" s="57" t="s">
        <v>110</v>
      </c>
      <c r="D47" s="29" t="s">
        <v>108</v>
      </c>
      <c r="E47" s="38"/>
      <c r="F47" s="42"/>
      <c r="G47" s="52"/>
      <c r="H47" s="31"/>
    </row>
    <row r="48" spans="1:8" ht="15" x14ac:dyDescent="0.25">
      <c r="A48" s="61"/>
      <c r="B48" s="67"/>
      <c r="C48" s="67"/>
      <c r="D48" s="29" t="s">
        <v>72</v>
      </c>
      <c r="E48" s="38"/>
      <c r="F48" s="42"/>
      <c r="G48" s="53"/>
      <c r="H48" s="31"/>
    </row>
    <row r="49" spans="1:8" ht="15" x14ac:dyDescent="0.25">
      <c r="A49" s="61"/>
      <c r="B49" s="48" t="s">
        <v>17</v>
      </c>
      <c r="C49" s="48" t="s">
        <v>107</v>
      </c>
      <c r="D49" s="29" t="s">
        <v>108</v>
      </c>
      <c r="E49" s="38"/>
      <c r="F49" s="42"/>
      <c r="G49" s="66" t="s">
        <v>3</v>
      </c>
      <c r="H49" s="31"/>
    </row>
    <row r="50" spans="1:8" ht="15" x14ac:dyDescent="0.25">
      <c r="A50" s="61"/>
      <c r="B50" s="48"/>
      <c r="C50" s="48"/>
      <c r="D50" s="29" t="s">
        <v>72</v>
      </c>
      <c r="E50" s="38"/>
      <c r="F50" s="42"/>
      <c r="G50" s="66"/>
      <c r="H50" s="31"/>
    </row>
    <row r="51" spans="1:8" ht="15" x14ac:dyDescent="0.25">
      <c r="A51" s="61"/>
      <c r="B51" s="64" t="s">
        <v>15</v>
      </c>
      <c r="C51" s="65" t="s">
        <v>118</v>
      </c>
      <c r="D51" s="29" t="s">
        <v>72</v>
      </c>
      <c r="E51" s="38"/>
      <c r="F51" s="42"/>
      <c r="G51" s="66" t="s">
        <v>3</v>
      </c>
      <c r="H51" s="31"/>
    </row>
    <row r="52" spans="1:8" ht="15" x14ac:dyDescent="0.25">
      <c r="A52" s="61"/>
      <c r="B52" s="64"/>
      <c r="C52" s="65"/>
      <c r="D52" s="29" t="s">
        <v>71</v>
      </c>
      <c r="E52" s="38"/>
      <c r="F52" s="42"/>
      <c r="G52" s="66"/>
      <c r="H52" s="31"/>
    </row>
    <row r="53" spans="1:8" ht="15" x14ac:dyDescent="0.25">
      <c r="A53" s="61"/>
      <c r="B53" s="64"/>
      <c r="C53" s="65"/>
      <c r="D53" s="29" t="s">
        <v>73</v>
      </c>
      <c r="E53" s="38"/>
      <c r="F53" s="42"/>
      <c r="G53" s="66"/>
      <c r="H53" s="31"/>
    </row>
    <row r="54" spans="1:8" ht="15" x14ac:dyDescent="0.25">
      <c r="A54" s="67"/>
      <c r="B54" s="64"/>
      <c r="C54" s="65"/>
      <c r="D54" s="29" t="s">
        <v>75</v>
      </c>
      <c r="E54" s="43"/>
      <c r="F54" s="30"/>
      <c r="G54" s="66"/>
      <c r="H54" s="31"/>
    </row>
  </sheetData>
  <autoFilter ref="A1:H18"/>
  <mergeCells count="51">
    <mergeCell ref="B15:B18"/>
    <mergeCell ref="G15:G18"/>
    <mergeCell ref="B9:B12"/>
    <mergeCell ref="C9:C10"/>
    <mergeCell ref="G9:G12"/>
    <mergeCell ref="C11:C12"/>
    <mergeCell ref="B13:B14"/>
    <mergeCell ref="C13:C14"/>
    <mergeCell ref="G13:G14"/>
    <mergeCell ref="C15:C18"/>
    <mergeCell ref="B2:B3"/>
    <mergeCell ref="C2:C3"/>
    <mergeCell ref="G2:G3"/>
    <mergeCell ref="B4:B7"/>
    <mergeCell ref="C4:C5"/>
    <mergeCell ref="G4:G7"/>
    <mergeCell ref="C31:C32"/>
    <mergeCell ref="G31:G32"/>
    <mergeCell ref="A20:A36"/>
    <mergeCell ref="B20:B21"/>
    <mergeCell ref="C20:C21"/>
    <mergeCell ref="G20:G21"/>
    <mergeCell ref="B22:B25"/>
    <mergeCell ref="C22:C23"/>
    <mergeCell ref="G22:G25"/>
    <mergeCell ref="B27:B30"/>
    <mergeCell ref="C27:C28"/>
    <mergeCell ref="G27:G30"/>
    <mergeCell ref="C29:C30"/>
    <mergeCell ref="B31:B32"/>
    <mergeCell ref="A2:A18"/>
    <mergeCell ref="A38:A54"/>
    <mergeCell ref="B38:B39"/>
    <mergeCell ref="C38:C39"/>
    <mergeCell ref="G38:G39"/>
    <mergeCell ref="B40:B43"/>
    <mergeCell ref="C40:C41"/>
    <mergeCell ref="G40:G43"/>
    <mergeCell ref="B45:B48"/>
    <mergeCell ref="C45:C46"/>
    <mergeCell ref="G45:G48"/>
    <mergeCell ref="C47:C48"/>
    <mergeCell ref="B49:B50"/>
    <mergeCell ref="C49:C50"/>
    <mergeCell ref="G51:G54"/>
    <mergeCell ref="G49:G50"/>
    <mergeCell ref="B51:B54"/>
    <mergeCell ref="C51:C54"/>
    <mergeCell ref="C33:C36"/>
    <mergeCell ref="G33:G36"/>
    <mergeCell ref="B33:B36"/>
  </mergeCells>
  <dataValidations count="3">
    <dataValidation type="list" allowBlank="1" showInputMessage="1" showErrorMessage="1" sqref="G38 G20 G22 G26:G27 G31 G33 G15 G13 G8:G9 G4 G2 G51 G49 G44:G45 G40">
      <formula1>"Yes, Partially, No"</formula1>
    </dataValidation>
    <dataValidation type="list" allowBlank="1" showInputMessage="1" showErrorMessage="1" sqref="E20:E36 E2:E18 E38:E54">
      <formula1>"Yes, No, In progress"</formula1>
    </dataValidation>
    <dataValidation type="list" allowBlank="1" showInputMessage="1" showErrorMessage="1" sqref="F38:F54 F20:F36 F2:F18">
      <formula1>"Passed, Failed, Deferred, Not Applicable"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activeCell="E2" sqref="E2:F13"/>
    </sheetView>
  </sheetViews>
  <sheetFormatPr defaultRowHeight="12.75" x14ac:dyDescent="0.2"/>
  <cols>
    <col min="1" max="1" width="29.140625" customWidth="1"/>
    <col min="2" max="2" width="31.28515625" bestFit="1" customWidth="1"/>
    <col min="3" max="3" width="110" customWidth="1"/>
    <col min="4" max="4" width="29.28515625" customWidth="1"/>
    <col min="5" max="5" width="10.5703125" bestFit="1" customWidth="1"/>
    <col min="6" max="6" width="15.7109375" customWidth="1"/>
    <col min="7" max="7" width="11" bestFit="1" customWidth="1"/>
    <col min="8" max="8" width="10.5703125" bestFit="1" customWidth="1"/>
  </cols>
  <sheetData>
    <row r="1" spans="1:8" ht="15" x14ac:dyDescent="0.25">
      <c r="A1" s="24" t="s">
        <v>112</v>
      </c>
      <c r="B1" s="24" t="s">
        <v>4</v>
      </c>
      <c r="C1" s="25" t="s">
        <v>0</v>
      </c>
      <c r="D1" s="24" t="s">
        <v>5</v>
      </c>
      <c r="E1" s="26" t="s">
        <v>6</v>
      </c>
      <c r="F1" s="26" t="s">
        <v>1</v>
      </c>
      <c r="G1" s="26" t="s">
        <v>7</v>
      </c>
      <c r="H1" s="27" t="s">
        <v>23</v>
      </c>
    </row>
    <row r="2" spans="1:8" ht="15" customHeight="1" x14ac:dyDescent="0.25">
      <c r="A2" s="68" t="s">
        <v>123</v>
      </c>
      <c r="B2" s="48" t="s">
        <v>100</v>
      </c>
      <c r="C2" s="39" t="s">
        <v>115</v>
      </c>
      <c r="D2" s="29" t="s">
        <v>108</v>
      </c>
      <c r="E2" s="38"/>
      <c r="F2" s="30"/>
      <c r="G2" s="66" t="s">
        <v>3</v>
      </c>
      <c r="H2" s="31"/>
    </row>
    <row r="3" spans="1:8" ht="30" x14ac:dyDescent="0.25">
      <c r="A3" s="68"/>
      <c r="B3" s="48"/>
      <c r="C3" s="37" t="s">
        <v>117</v>
      </c>
      <c r="D3" s="29" t="s">
        <v>71</v>
      </c>
      <c r="E3" s="38"/>
      <c r="F3" s="43"/>
      <c r="G3" s="66"/>
      <c r="H3" s="31"/>
    </row>
    <row r="4" spans="1:8" ht="15" x14ac:dyDescent="0.25">
      <c r="A4" s="68"/>
      <c r="B4" s="57" t="s">
        <v>106</v>
      </c>
      <c r="C4" s="57" t="s">
        <v>113</v>
      </c>
      <c r="D4" s="29" t="s">
        <v>108</v>
      </c>
      <c r="E4" s="38"/>
      <c r="F4" s="43"/>
      <c r="G4" s="51" t="s">
        <v>3</v>
      </c>
      <c r="H4" s="31"/>
    </row>
    <row r="5" spans="1:8" ht="15" x14ac:dyDescent="0.25">
      <c r="A5" s="68"/>
      <c r="B5" s="61"/>
      <c r="C5" s="67"/>
      <c r="D5" s="29" t="s">
        <v>72</v>
      </c>
      <c r="E5" s="38"/>
      <c r="F5" s="43"/>
      <c r="G5" s="52"/>
      <c r="H5" s="31"/>
    </row>
    <row r="6" spans="1:8" ht="15" x14ac:dyDescent="0.25">
      <c r="A6" s="68"/>
      <c r="B6" s="48" t="s">
        <v>17</v>
      </c>
      <c r="C6" s="48" t="s">
        <v>114</v>
      </c>
      <c r="D6" s="29" t="s">
        <v>108</v>
      </c>
      <c r="E6" s="38"/>
      <c r="F6" s="43"/>
      <c r="G6" s="66" t="s">
        <v>3</v>
      </c>
      <c r="H6" s="31"/>
    </row>
    <row r="7" spans="1:8" ht="15" x14ac:dyDescent="0.25">
      <c r="A7" s="68"/>
      <c r="B7" s="48"/>
      <c r="C7" s="48"/>
      <c r="D7" s="29" t="s">
        <v>72</v>
      </c>
      <c r="E7" s="38"/>
      <c r="F7" s="43"/>
      <c r="G7" s="66"/>
      <c r="H7" s="31"/>
    </row>
    <row r="8" spans="1:8" ht="30" x14ac:dyDescent="0.25">
      <c r="A8" s="68"/>
      <c r="B8" s="37" t="s">
        <v>116</v>
      </c>
      <c r="C8" s="37" t="s">
        <v>121</v>
      </c>
      <c r="D8" s="29" t="s">
        <v>71</v>
      </c>
      <c r="E8" s="38"/>
      <c r="F8" s="43"/>
      <c r="G8" s="30" t="s">
        <v>3</v>
      </c>
      <c r="H8" s="31"/>
    </row>
    <row r="9" spans="1:8" ht="15" x14ac:dyDescent="0.25">
      <c r="A9" s="68"/>
      <c r="B9" s="64" t="s">
        <v>15</v>
      </c>
      <c r="C9" s="65" t="s">
        <v>119</v>
      </c>
      <c r="D9" s="29" t="s">
        <v>72</v>
      </c>
      <c r="E9" s="38"/>
      <c r="F9" s="43"/>
      <c r="G9" s="66" t="s">
        <v>3</v>
      </c>
      <c r="H9" s="31"/>
    </row>
    <row r="10" spans="1:8" ht="15" x14ac:dyDescent="0.25">
      <c r="A10" s="68"/>
      <c r="B10" s="64"/>
      <c r="C10" s="65"/>
      <c r="D10" s="29" t="s">
        <v>71</v>
      </c>
      <c r="E10" s="38"/>
      <c r="F10" s="43"/>
      <c r="G10" s="66"/>
      <c r="H10" s="31"/>
    </row>
    <row r="11" spans="1:8" ht="15" x14ac:dyDescent="0.25">
      <c r="A11" s="68"/>
      <c r="B11" s="64"/>
      <c r="C11" s="65"/>
      <c r="D11" s="29" t="s">
        <v>73</v>
      </c>
      <c r="E11" s="38"/>
      <c r="F11" s="43"/>
      <c r="G11" s="66"/>
      <c r="H11" s="31"/>
    </row>
    <row r="12" spans="1:8" ht="15" x14ac:dyDescent="0.25">
      <c r="A12" s="68"/>
      <c r="B12" s="64"/>
      <c r="C12" s="65"/>
      <c r="D12" s="29" t="s">
        <v>74</v>
      </c>
      <c r="E12" s="38"/>
      <c r="F12" s="43"/>
      <c r="G12" s="66"/>
      <c r="H12" s="31"/>
    </row>
    <row r="13" spans="1:8" ht="15" x14ac:dyDescent="0.25">
      <c r="A13" s="69"/>
      <c r="B13" s="64"/>
      <c r="C13" s="65"/>
      <c r="D13" s="29" t="s">
        <v>75</v>
      </c>
      <c r="E13" s="38"/>
      <c r="F13" s="43"/>
      <c r="G13" s="66"/>
      <c r="H13" s="31"/>
    </row>
  </sheetData>
  <autoFilter ref="A1:H1"/>
  <mergeCells count="12">
    <mergeCell ref="C9:C13"/>
    <mergeCell ref="G9:G13"/>
    <mergeCell ref="A2:A13"/>
    <mergeCell ref="B2:B3"/>
    <mergeCell ref="G2:G3"/>
    <mergeCell ref="B4:B5"/>
    <mergeCell ref="C4:C5"/>
    <mergeCell ref="G4:G5"/>
    <mergeCell ref="B6:B7"/>
    <mergeCell ref="C6:C7"/>
    <mergeCell ref="G6:G7"/>
    <mergeCell ref="B9:B13"/>
  </mergeCells>
  <dataValidations count="3">
    <dataValidation type="list" allowBlank="1" showInputMessage="1" showErrorMessage="1" sqref="F2:F13">
      <formula1>"Passed, Failed, Deferred, Not Applicable"</formula1>
    </dataValidation>
    <dataValidation type="list" allowBlank="1" showInputMessage="1" showErrorMessage="1" sqref="E2:E13">
      <formula1>"Yes, No, In progress"</formula1>
    </dataValidation>
    <dataValidation type="list" allowBlank="1" showInputMessage="1" showErrorMessage="1" sqref="G4 G6 G2 G8:G9">
      <formula1>"Yes, Partially, 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topLeftCell="C1" workbookViewId="0">
      <selection activeCell="J22" sqref="J22"/>
    </sheetView>
  </sheetViews>
  <sheetFormatPr defaultRowHeight="12.75" x14ac:dyDescent="0.2"/>
  <cols>
    <col min="1" max="1" width="31.28515625" bestFit="1" customWidth="1"/>
    <col min="2" max="2" width="95.7109375" customWidth="1"/>
    <col min="3" max="3" width="76.28515625" customWidth="1"/>
    <col min="4" max="4" width="10.5703125" bestFit="1" customWidth="1"/>
    <col min="5" max="5" width="15.7109375" customWidth="1"/>
    <col min="6" max="6" width="11" bestFit="1" customWidth="1"/>
    <col min="7" max="7" width="10.5703125" bestFit="1" customWidth="1"/>
  </cols>
  <sheetData>
    <row r="1" spans="1:7" ht="15" x14ac:dyDescent="0.25">
      <c r="A1" s="24" t="s">
        <v>83</v>
      </c>
      <c r="B1" s="25" t="s">
        <v>0</v>
      </c>
      <c r="C1" s="25" t="s">
        <v>90</v>
      </c>
      <c r="D1" s="26" t="s">
        <v>6</v>
      </c>
      <c r="E1" s="26" t="s">
        <v>1</v>
      </c>
      <c r="F1" s="26" t="s">
        <v>7</v>
      </c>
      <c r="G1" s="27" t="s">
        <v>23</v>
      </c>
    </row>
    <row r="2" spans="1:7" ht="30" x14ac:dyDescent="0.25">
      <c r="A2" s="37" t="s">
        <v>88</v>
      </c>
      <c r="B2" s="37" t="s">
        <v>89</v>
      </c>
      <c r="C2" s="37" t="s">
        <v>94</v>
      </c>
      <c r="D2" s="30"/>
      <c r="E2" s="30"/>
      <c r="F2" s="30" t="s">
        <v>3</v>
      </c>
      <c r="G2" s="31"/>
    </row>
    <row r="3" spans="1:7" ht="15" x14ac:dyDescent="0.25">
      <c r="A3" s="48" t="s">
        <v>91</v>
      </c>
      <c r="B3" s="48" t="s">
        <v>92</v>
      </c>
      <c r="C3" s="37" t="s">
        <v>86</v>
      </c>
      <c r="D3" s="30"/>
      <c r="E3" s="30"/>
      <c r="F3" s="66" t="s">
        <v>3</v>
      </c>
      <c r="G3" s="31"/>
    </row>
    <row r="4" spans="1:7" ht="15" x14ac:dyDescent="0.25">
      <c r="A4" s="48"/>
      <c r="B4" s="48"/>
      <c r="C4" s="37" t="s">
        <v>87</v>
      </c>
      <c r="D4" s="30"/>
      <c r="E4" s="30"/>
      <c r="F4" s="66"/>
      <c r="G4" s="31"/>
    </row>
    <row r="5" spans="1:7" ht="15" x14ac:dyDescent="0.25">
      <c r="A5" s="48"/>
      <c r="B5" s="70"/>
      <c r="C5" s="37" t="s">
        <v>93</v>
      </c>
      <c r="D5" s="30"/>
      <c r="E5" s="30"/>
      <c r="F5" s="66"/>
      <c r="G5" s="31"/>
    </row>
    <row r="6" spans="1:7" ht="30" customHeight="1" x14ac:dyDescent="0.25">
      <c r="A6" s="71" t="s">
        <v>84</v>
      </c>
      <c r="B6" s="37" t="s">
        <v>96</v>
      </c>
      <c r="C6" s="37" t="s">
        <v>95</v>
      </c>
      <c r="D6" s="30"/>
      <c r="E6" s="30"/>
      <c r="F6" s="30" t="s">
        <v>3</v>
      </c>
      <c r="G6" s="31"/>
    </row>
    <row r="7" spans="1:7" ht="15" customHeight="1" x14ac:dyDescent="0.25">
      <c r="A7" s="71"/>
      <c r="B7" s="48" t="s">
        <v>85</v>
      </c>
      <c r="C7" s="37" t="s">
        <v>97</v>
      </c>
      <c r="D7" s="30"/>
      <c r="E7" s="30"/>
      <c r="F7" s="66" t="s">
        <v>3</v>
      </c>
      <c r="G7" s="31"/>
    </row>
    <row r="8" spans="1:7" ht="15" x14ac:dyDescent="0.25">
      <c r="A8" s="71"/>
      <c r="B8" s="70"/>
      <c r="C8" s="37" t="s">
        <v>98</v>
      </c>
      <c r="D8" s="30"/>
      <c r="E8" s="30"/>
      <c r="F8" s="66"/>
      <c r="G8" s="31"/>
    </row>
    <row r="9" spans="1:7" x14ac:dyDescent="0.2">
      <c r="C9" s="1"/>
    </row>
    <row r="10" spans="1:7" x14ac:dyDescent="0.2">
      <c r="C10" s="1"/>
    </row>
    <row r="11" spans="1:7" x14ac:dyDescent="0.2">
      <c r="C11" s="1"/>
    </row>
    <row r="12" spans="1:7" x14ac:dyDescent="0.2">
      <c r="C12" s="1"/>
    </row>
    <row r="13" spans="1:7" x14ac:dyDescent="0.2">
      <c r="C13" s="1"/>
    </row>
  </sheetData>
  <autoFilter ref="A1:G1"/>
  <mergeCells count="6">
    <mergeCell ref="A3:A5"/>
    <mergeCell ref="B3:B5"/>
    <mergeCell ref="F3:F5"/>
    <mergeCell ref="A6:A8"/>
    <mergeCell ref="B7:B8"/>
    <mergeCell ref="F7:F8"/>
  </mergeCells>
  <dataValidations count="3">
    <dataValidation type="list" allowBlank="1" showInputMessage="1" showErrorMessage="1" sqref="E2:E8">
      <formula1>"Passed, Failed, Deferred, Not Applicable"</formula1>
    </dataValidation>
    <dataValidation type="list" allowBlank="1" showInputMessage="1" showErrorMessage="1" sqref="D2:D8">
      <formula1>"Yes, No, In progress"</formula1>
    </dataValidation>
    <dataValidation type="list" allowBlank="1" showInputMessage="1" showErrorMessage="1" sqref="F2:F8">
      <formula1>"Yes, Partially, 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J24" sqref="J24"/>
    </sheetView>
  </sheetViews>
  <sheetFormatPr defaultRowHeight="12.75" x14ac:dyDescent="0.2"/>
  <cols>
    <col min="1" max="1" width="13.85546875" customWidth="1"/>
    <col min="2" max="2" width="7.140625" customWidth="1"/>
    <col min="3" max="3" width="6.5703125" customWidth="1"/>
  </cols>
  <sheetData>
    <row r="1" spans="1:3" ht="15" x14ac:dyDescent="0.25">
      <c r="A1" s="40" t="s">
        <v>161</v>
      </c>
      <c r="B1" s="40"/>
      <c r="C1" s="40"/>
    </row>
    <row r="2" spans="1:3" ht="15" x14ac:dyDescent="0.25">
      <c r="A2" s="40" t="s">
        <v>162</v>
      </c>
      <c r="B2" s="40" t="s">
        <v>163</v>
      </c>
      <c r="C2" s="40" t="s">
        <v>164</v>
      </c>
    </row>
    <row r="3" spans="1:3" ht="12.75" customHeight="1" x14ac:dyDescent="0.25">
      <c r="A3" s="40" t="s">
        <v>165</v>
      </c>
      <c r="B3" s="41">
        <f>Table2[[#This Row],['#]]/SUM(Table2['#])</f>
        <v>1</v>
      </c>
      <c r="C3" s="40">
        <f t="array" ref="C3">SUM(IF('Sanity Test'!E2:E1000="",1,0)*IF('Sanity Test'!C2:C1000&lt;&gt;"",1,0))+SUM(IF('Benchmark validations'!F2:F1000="",1,0)*IF('Benchmark validations'!D2:D1000&lt;&gt;"",1,0))+SUM(IF('Platform additions'!F2:F1000="",1,0)*IF('Platform additions'!D2:D1000&lt;&gt;"",1,0))</f>
        <v>219</v>
      </c>
    </row>
    <row r="4" spans="1:3" ht="12.75" customHeight="1" x14ac:dyDescent="0.25">
      <c r="A4" s="40" t="s">
        <v>166</v>
      </c>
      <c r="B4" s="41">
        <f>Table2[[#This Row],['#]]/SUM(Table2['#])</f>
        <v>0</v>
      </c>
      <c r="C4" s="40">
        <f t="array" ref="C4">SUM(IF('Sanity Test'!E2:E1000="Passed",1,0)*IF('Sanity Test'!C2:C1000&lt;&gt;"",1,0))+SUM(IF('Benchmark validations'!F2:F1000="Passed",1,0)*IF('Benchmark validations'!D2:D1000&lt;&gt;"",1,0))+SUM(IF('Platform additions'!F2:F1000="Passed",1,0)*IF('Platform additions'!D2:D1000&lt;&gt;"",1,0))+SUM(IF('Sanity Test'!E2:E1000="Deferred",1,0)*IF('Sanity Test'!C2:C1000&lt;&gt;"",1,0))+SUM(IF('Benchmark validations'!F2:F1000="Deferred",1,0)*IF('Benchmark validations'!D2:D1000&lt;&gt;"",1,0))+SUM(IF('Platform additions'!F2:F1000="Deferred",1,0)*IF('Platform additions'!D2:D1000&lt;&gt;"",1,0))+SUM(IF('Sanity Test'!E2:E1000="Not Applicable",1,0)*IF('Sanity Test'!C2:C1000&lt;&gt;"",1,0))+SUM(IF('Benchmark validations'!F2:F1000="Not Applicable",1,0)*IF('Benchmark validations'!D2:D1000&lt;&gt;"",1,0))+SUM(IF('Platform additions'!F2:F1000="Not Applicable",1,0)*IF('Platform additions'!D2:D1000&lt;&gt;"",1,0))</f>
        <v>0</v>
      </c>
    </row>
    <row r="5" spans="1:3" ht="12.75" customHeight="1" x14ac:dyDescent="0.25">
      <c r="A5" s="40" t="s">
        <v>167</v>
      </c>
      <c r="B5" s="41">
        <f>Table2[[#This Row],['#]]/SUM(Table2['#])</f>
        <v>0</v>
      </c>
      <c r="C5" s="40">
        <f t="array" ref="C5">SUM(IF('Sanity Test'!E2:E1000="Failed",1,0)*IF('Sanity Test'!C2:C1000&lt;&gt;"",1,0))+SUM(IF('Benchmark validations'!F2:F1000="Failed",1,0)*IF('Benchmark validations'!D2:D1000&lt;&gt;"",1,0))+SUM(IF('Platform additions'!F2:F1000="Failed",1,0)*IF('Platform additions'!D2:D1000&lt;&gt;"",1,0))</f>
        <v>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098F3132287D144B591354E66AFD263" ma:contentTypeVersion="3" ma:contentTypeDescription="Create a new document." ma:contentTypeScope="" ma:versionID="c171a4c0a8b9cbc5aaf8f7730c3e7868">
  <xsd:schema xmlns:xsd="http://www.w3.org/2001/XMLSchema" xmlns:xs="http://www.w3.org/2001/XMLSchema" xmlns:p="http://schemas.microsoft.com/office/2006/metadata/properties" targetNamespace="http://schemas.microsoft.com/office/2006/metadata/properties" ma:root="true" ma:fieldsID="7a4c904adceef08a4cc9e27d46c1c09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F3B8D9-4DB9-4827-BD1A-1A479262C7B0}">
  <ds:schemaRefs>
    <ds:schemaRef ds:uri="http://schemas.microsoft.com/office/2006/documentManagement/types"/>
    <ds:schemaRef ds:uri="http://schemas.microsoft.com/office/2006/metadata/properties"/>
    <ds:schemaRef ds:uri="http://purl.org/dc/terms/"/>
    <ds:schemaRef ds:uri="http://purl.org/dc/elements/1.1/"/>
    <ds:schemaRef ds:uri="http://purl.org/dc/dcmitype/"/>
    <ds:schemaRef ds:uri="http://schemas.openxmlformats.org/package/2006/metadata/core-properties"/>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4F0CCB97-7EF1-44D7-B071-0CD06F059B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6E524CD-0E94-4639-B57E-F098CB41F6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SCAP_Test_Matrix</vt:lpstr>
      <vt:lpstr>Assignment Summary</vt:lpstr>
      <vt:lpstr>QA Status</vt:lpstr>
      <vt:lpstr>Sanity Test</vt:lpstr>
      <vt:lpstr>Benchmark validations</vt:lpstr>
      <vt:lpstr>Platform additions</vt:lpstr>
      <vt:lpstr>Release readiness</vt:lpstr>
      <vt:lpstr>Status</vt:lpstr>
    </vt:vector>
  </TitlesOfParts>
  <Company>McAfee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SCAP_Test_Matrix_for_Jun_2013_PT</dc:title>
  <dc:creator>Anic, Felipe</dc:creator>
  <cp:lastModifiedBy>Anic, Felipe</cp:lastModifiedBy>
  <cp:lastPrinted>2009-10-28T06:22:00Z</cp:lastPrinted>
  <dcterms:created xsi:type="dcterms:W3CDTF">2009-06-22T03:57:16Z</dcterms:created>
  <dcterms:modified xsi:type="dcterms:W3CDTF">2013-06-13T15:18:56Z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0x010100B098F3132287D144B591354E66AFD263</vt:lpwstr>
  </property>
</Properties>
</file>